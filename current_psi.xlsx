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worksheets/sheet16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99" firstSheet="0" activeTab="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대시보드" sheetId="2" state="visible" r:id="rId2"/>
    <sheet xmlns:r="http://schemas.openxmlformats.org/officeDocument/2006/relationships" name="PSI_메인" sheetId="3" state="visible" r:id="rId3"/>
    <sheet xmlns:r="http://schemas.openxmlformats.org/officeDocument/2006/relationships" name="안전재고" sheetId="4" state="visible" r:id="rId4"/>
    <sheet xmlns:r="http://schemas.openxmlformats.org/officeDocument/2006/relationships" name="ABC-XYZ분석 (2)" sheetId="5" state="visible" r:id="rId5"/>
    <sheet xmlns:r="http://schemas.openxmlformats.org/officeDocument/2006/relationships" name="재고분석" sheetId="6" state="visible" r:id="rId6"/>
    <sheet xmlns:r="http://schemas.openxmlformats.org/officeDocument/2006/relationships" name="공급물량" sheetId="7" state="visible" r:id="rId7"/>
    <sheet xmlns:r="http://schemas.openxmlformats.org/officeDocument/2006/relationships" name="발주리스트" sheetId="8" state="visible" r:id="rId8"/>
    <sheet xmlns:r="http://schemas.openxmlformats.org/officeDocument/2006/relationships" name="재고" sheetId="9" state="visible" r:id="rId9"/>
    <sheet xmlns:r="http://schemas.openxmlformats.org/officeDocument/2006/relationships" name="입항스케줄" sheetId="10" state="visible" r:id="rId10"/>
    <sheet xmlns:r="http://schemas.openxmlformats.org/officeDocument/2006/relationships" name="통합지표" sheetId="11" state="visible" r:id="rId11"/>
    <sheet xmlns:r="http://schemas.openxmlformats.org/officeDocument/2006/relationships" name="실출고율" sheetId="12" state="visible" r:id="rId12"/>
    <sheet xmlns:r="http://schemas.openxmlformats.org/officeDocument/2006/relationships" name="결품관리" sheetId="13" state="visible" r:id="rId13"/>
    <sheet xmlns:r="http://schemas.openxmlformats.org/officeDocument/2006/relationships" name="회전율관리" sheetId="14" state="visible" r:id="rId14"/>
    <sheet xmlns:r="http://schemas.openxmlformats.org/officeDocument/2006/relationships" name="납기준수관리" sheetId="15" state="visible" r:id="rId15"/>
    <sheet xmlns:r="http://schemas.openxmlformats.org/officeDocument/2006/relationships" name="수요변동성관리" sheetId="16" state="visible" r:id="rId16"/>
  </sheets>
  <definedNames>
    <definedName name="_xlnm._FilterDatabase" localSheetId="2" hidden="1">'PSI_메인'!$A$3:$CZ$100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0.0"/>
    <numFmt numFmtId="165" formatCode="_-* #,##0_-;\-* #,##0_-;_-* &quot;-&quot;_-;_-@_-"/>
    <numFmt numFmtId="166" formatCode="0_);[Red]\(0\)"/>
    <numFmt numFmtId="167" formatCode="0.0%"/>
    <numFmt numFmtId="168" formatCode="_-* #,##0.00_-;\-* #,##0.00_-;_-* &quot;-&quot;??_-;_-@_-"/>
    <numFmt numFmtId="169" formatCode="_-* #,##0.0000_-;\-* #,##0.0000_-;_-* &quot;-&quot;??_-;_-@_-"/>
    <numFmt numFmtId="170" formatCode="_-* #,##0.0_-;\-* #,##0.0_-;_-* &quot;-&quot;??_-;_-@_-"/>
    <numFmt numFmtId="171" formatCode="_-* #,##0.000_-;\-* #,##0.000_-;_-* &quot;-&quot;_-;_-@_-"/>
    <numFmt numFmtId="172" formatCode="_-* #,##0.00_-;\-* #,##0.00_-;_-* &quot;-&quot;_-;_-@_-"/>
    <numFmt numFmtId="173" formatCode="_-* #,##0.0_-;\-* #,##0.0_-;_-* &quot;-&quot;_-;_-@_-"/>
    <numFmt numFmtId="174" formatCode="yyyy\-mm\-dd\ h:mm:ss"/>
  </numFmts>
  <fonts count="67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sz val="9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b val="1"/>
      <color rgb="FF1F4E78"/>
      <sz val="12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C00000"/>
      <sz val="12"/>
    </font>
    <font>
      <name val="맑은 고딕"/>
      <charset val="129"/>
      <family val="3"/>
      <b val="1"/>
      <color rgb="FF00B050"/>
      <sz val="10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3"/>
      <color rgb="FF444444"/>
      <sz val="9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rgb="FF666666"/>
      <sz val="9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b val="1"/>
      <color theme="0"/>
      <sz val="9"/>
    </font>
    <font>
      <name val="맑은 고딕"/>
      <charset val="129"/>
      <family val="3"/>
      <color theme="0"/>
      <sz val="11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color indexed="8"/>
      <sz val="11"/>
      <scheme val="minor"/>
    </font>
    <font>
      <name val="맑은 고딕"/>
      <family val="2"/>
      <color rgb="FF00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Malgun Gothic"/>
      <charset val="129"/>
      <family val="3"/>
      <color theme="1"/>
      <sz val="10"/>
    </font>
    <font>
      <name val="Calibri"/>
      <family val="2"/>
      <color theme="1"/>
      <sz val="10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0"/>
      <scheme val="minor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b val="1"/>
      <color theme="1"/>
      <sz val="10"/>
    </font>
    <font>
      <name val="Segoe UI"/>
      <family val="2"/>
      <color theme="1"/>
      <sz val="10"/>
    </font>
    <font>
      <name val="맑은 고딕"/>
      <charset val="129"/>
      <family val="3"/>
      <b val="1"/>
      <color rgb="FFFF0000"/>
      <sz val="10"/>
      <scheme val="minor"/>
    </font>
    <font>
      <name val="맑은 고딕 (본문)"/>
      <charset val="129"/>
      <family val="3"/>
      <color theme="1"/>
      <sz val="9"/>
    </font>
    <font>
      <name val="맑은 고딕"/>
      <charset val="129"/>
      <family val="3"/>
      <b val="1"/>
      <color indexed="8"/>
      <sz val="9"/>
      <scheme val="minor"/>
    </font>
    <font>
      <name val="맑은 고딕 (본문)"/>
      <charset val="129"/>
      <family val="3"/>
      <b val="1"/>
      <color theme="1"/>
      <sz val="9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indexed="8"/>
      <sz val="9"/>
      <scheme val="minor"/>
    </font>
    <font>
      <name val="맑은 고딕"/>
      <charset val="129"/>
      <family val="2"/>
      <color theme="2" tint="-0.499984740745262"/>
      <sz val="10"/>
      <scheme val="minor"/>
    </font>
    <font>
      <name val="맑은 고딕"/>
      <charset val="129"/>
      <family val="2"/>
      <color theme="2" tint="-0.499984740745262"/>
      <sz val="9"/>
      <scheme val="minor"/>
    </font>
    <font>
      <name val="맑은 고딕"/>
      <charset val="129"/>
      <family val="3"/>
      <sz val="9"/>
      <scheme val="minor"/>
    </font>
    <font>
      <name val="宋体"/>
      <charset val="129"/>
      <family val="3"/>
      <sz val="12"/>
    </font>
    <font>
      <name val="微软雅黑"/>
      <charset val="134"/>
      <family val="2"/>
      <sz val="12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3"/>
      <b val="1"/>
      <color rgb="FFFF0000"/>
      <sz val="14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rgb="FF00B050"/>
      <sz val="11"/>
    </font>
    <font>
      <name val="맑은 고딕"/>
      <charset val="129"/>
      <family val="3"/>
      <b val="1"/>
      <color rgb="FFC00000"/>
      <sz val="11"/>
    </font>
    <font>
      <name val="맑은 고딕"/>
      <charset val="129"/>
      <family val="3"/>
      <sz val="11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color rgb="FFFFFFFF"/>
      <sz val="11"/>
      <scheme val="minor"/>
    </font>
    <font>
      <name val="맑은 고딕"/>
      <family val="2"/>
      <color rgb="FFFF0000"/>
      <sz val="11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sz val="11"/>
      <u val="single"/>
      <scheme val="minor"/>
    </font>
    <font>
      <name val="맑은 고딕"/>
      <family val="2"/>
      <sz val="11"/>
      <u val="single"/>
      <scheme val="minor"/>
    </font>
    <font>
      <name val="맑은 고딕"/>
      <family val="2"/>
      <sz val="11"/>
      <scheme val="minor"/>
    </font>
  </fonts>
  <fills count="2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5999938962981048"/>
        <bgColor rgb="FFE2EFDA"/>
      </patternFill>
    </fill>
    <fill>
      <patternFill patternType="solid">
        <fgColor rgb="FF1C4587"/>
        <bgColor indexed="64"/>
      </patternFill>
    </fill>
    <fill>
      <patternFill patternType="solid">
        <fgColor rgb="FF00B0F0"/>
        <bgColor rgb="FF1F4E78"/>
      </patternFill>
    </fill>
    <fill>
      <patternFill patternType="solid">
        <fgColor rgb="FFFFFF00"/>
        <bgColor rgb="FF1F4E78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 style="medium">
        <color rgb="FF454545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indexed="0"/>
      </top>
      <bottom/>
      <diagonal/>
    </border>
    <border>
      <left style="thin">
        <color auto="1"/>
      </left>
      <right/>
      <top style="thin">
        <color indexed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6">
    <xf numFmtId="0" fontId="15" fillId="0" borderId="0"/>
    <xf numFmtId="41" fontId="15" fillId="0" borderId="0" applyAlignment="1">
      <alignment vertical="center"/>
    </xf>
    <xf numFmtId="0" fontId="22" fillId="0" borderId="0" applyAlignment="1">
      <alignment vertical="center"/>
    </xf>
    <xf numFmtId="0" fontId="24" fillId="0" borderId="0"/>
    <xf numFmtId="41" fontId="4" fillId="0" borderId="0" applyAlignment="1">
      <alignment vertical="center"/>
    </xf>
    <xf numFmtId="9" fontId="4" fillId="0" borderId="0" applyAlignment="1">
      <alignment vertical="center"/>
    </xf>
    <xf numFmtId="0" fontId="4" fillId="0" borderId="0" applyAlignment="1">
      <alignment vertical="center"/>
    </xf>
    <xf numFmtId="0" fontId="24" fillId="0" borderId="0"/>
    <xf numFmtId="41" fontId="24" fillId="0" borderId="0" applyAlignment="1">
      <alignment vertical="center"/>
    </xf>
    <xf numFmtId="0" fontId="4" fillId="0" borderId="0" applyAlignment="1">
      <alignment vertical="center"/>
    </xf>
    <xf numFmtId="41" fontId="4" fillId="0" borderId="0" applyAlignment="1">
      <alignment vertical="center"/>
    </xf>
    <xf numFmtId="0" fontId="17" fillId="0" borderId="0" applyAlignment="1">
      <alignment vertical="center"/>
    </xf>
    <xf numFmtId="9" fontId="4" fillId="0" borderId="0" applyAlignment="1">
      <alignment vertical="center"/>
    </xf>
    <xf numFmtId="0" fontId="48" fillId="0" borderId="0"/>
    <xf numFmtId="9" fontId="15" fillId="0" borderId="0" applyAlignment="1">
      <alignment vertical="center"/>
    </xf>
    <xf numFmtId="0" fontId="60" fillId="0" borderId="0"/>
  </cellStyleXfs>
  <cellXfs count="589">
    <xf numFmtId="0" fontId="0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3" fontId="0" fillId="8" borderId="1" applyAlignment="1" pivotButton="0" quotePrefix="0" xfId="0">
      <alignment horizontal="center" vertical="center" wrapText="1"/>
    </xf>
    <xf numFmtId="3" fontId="0" fillId="9" borderId="1" applyAlignment="1" pivotButton="0" quotePrefix="0" xfId="0">
      <alignment horizontal="center" vertical="center" wrapText="1"/>
    </xf>
    <xf numFmtId="0" fontId="11" fillId="0" borderId="0" pivotButton="0" quotePrefix="0" xfId="0"/>
    <xf numFmtId="3" fontId="0" fillId="4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12" fillId="0" borderId="0" pivotButton="0" quotePrefix="1" xfId="0"/>
    <xf numFmtId="0" fontId="16" fillId="0" borderId="0" pivotButton="0" quotePrefix="0" xfId="0"/>
    <xf numFmtId="3" fontId="0" fillId="0" borderId="2" applyAlignment="1" pivotButton="0" quotePrefix="0" xfId="0">
      <alignment horizontal="center" vertical="center" wrapText="1"/>
    </xf>
    <xf numFmtId="3" fontId="0" fillId="4" borderId="8" applyAlignment="1" pivotButton="0" quotePrefix="0" xfId="0">
      <alignment horizontal="center" vertical="center" wrapText="1"/>
    </xf>
    <xf numFmtId="3" fontId="0" fillId="6" borderId="9" applyAlignment="1" pivotButton="0" quotePrefix="0" xfId="0">
      <alignment horizontal="center" vertical="center" wrapText="1"/>
    </xf>
    <xf numFmtId="3" fontId="0" fillId="0" borderId="11" applyAlignment="1" pivotButton="0" quotePrefix="0" xfId="0">
      <alignment horizontal="center" vertical="center" wrapText="1"/>
    </xf>
    <xf numFmtId="3" fontId="0" fillId="6" borderId="2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 wrapText="1"/>
    </xf>
    <xf numFmtId="0" fontId="20" fillId="3" borderId="8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0" fillId="3" borderId="9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center" vertical="center" wrapText="1"/>
    </xf>
    <xf numFmtId="0" fontId="21" fillId="0" borderId="0" pivotButton="0" quotePrefix="0" xfId="0"/>
    <xf numFmtId="0" fontId="23" fillId="0" borderId="0" applyAlignment="1" pivotButton="0" quotePrefix="0" xfId="2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5" fontId="27" fillId="0" borderId="1" applyAlignment="1" pivotButton="0" quotePrefix="0" xfId="4">
      <alignment horizontal="right"/>
    </xf>
    <xf numFmtId="165" fontId="27" fillId="0" borderId="1" pivotButton="0" quotePrefix="0" xfId="4"/>
    <xf numFmtId="165" fontId="0" fillId="0" borderId="1" applyAlignment="1" pivotButton="0" quotePrefix="0" xfId="1">
      <alignment horizontal="center" vertical="center" wrapText="1"/>
    </xf>
    <xf numFmtId="0" fontId="4" fillId="0" borderId="0" applyAlignment="1" pivotButton="0" quotePrefix="0" xfId="6">
      <alignment horizontal="center" vertical="center"/>
    </xf>
    <xf numFmtId="165" fontId="0" fillId="0" borderId="0" applyAlignment="1" pivotButton="0" quotePrefix="0" xfId="4">
      <alignment horizontal="center" vertical="center"/>
    </xf>
    <xf numFmtId="0" fontId="31" fillId="0" borderId="1" applyAlignment="1" pivotButton="0" quotePrefix="0" xfId="6">
      <alignment horizontal="center" vertical="center" wrapText="1"/>
    </xf>
    <xf numFmtId="165" fontId="31" fillId="0" borderId="1" applyAlignment="1" pivotButton="0" quotePrefix="0" xfId="4">
      <alignment horizontal="center" vertical="center" wrapText="1"/>
    </xf>
    <xf numFmtId="0" fontId="31" fillId="0" borderId="0" applyAlignment="1" pivotButton="0" quotePrefix="0" xfId="6">
      <alignment horizontal="center" vertical="center" wrapText="1"/>
    </xf>
    <xf numFmtId="0" fontId="31" fillId="0" borderId="1" applyAlignment="1" pivotButton="0" quotePrefix="0" xfId="6">
      <alignment horizontal="center" vertical="center"/>
    </xf>
    <xf numFmtId="165" fontId="31" fillId="0" borderId="1" applyAlignment="1" pivotButton="0" quotePrefix="0" xfId="4">
      <alignment horizontal="center" vertical="center"/>
    </xf>
    <xf numFmtId="0" fontId="32" fillId="0" borderId="1" applyAlignment="1" pivotButton="0" quotePrefix="0" xfId="6">
      <alignment horizontal="center" vertical="center" wrapText="1"/>
    </xf>
    <xf numFmtId="0" fontId="33" fillId="0" borderId="1" applyAlignment="1" pivotButton="0" quotePrefix="0" xfId="6">
      <alignment horizontal="center" vertical="center" wrapText="1"/>
    </xf>
    <xf numFmtId="0" fontId="4" fillId="0" borderId="0" applyAlignment="1" pivotButton="0" quotePrefix="0" xfId="6">
      <alignment vertical="center"/>
    </xf>
    <xf numFmtId="0" fontId="4" fillId="0" borderId="1" applyAlignment="1" pivotButton="0" quotePrefix="0" xfId="6">
      <alignment vertical="center"/>
    </xf>
    <xf numFmtId="166" fontId="17" fillId="0" borderId="1" applyAlignment="1" pivotButton="0" quotePrefix="0" xfId="6">
      <alignment horizontal="center"/>
    </xf>
    <xf numFmtId="166" fontId="4" fillId="0" borderId="1" applyAlignment="1" pivotButton="0" quotePrefix="0" xfId="6">
      <alignment horizontal="center" vertical="center"/>
    </xf>
    <xf numFmtId="0" fontId="4" fillId="0" borderId="1" applyAlignment="1" pivotButton="0" quotePrefix="0" xfId="6">
      <alignment horizontal="center" vertical="center"/>
    </xf>
    <xf numFmtId="165" fontId="26" fillId="0" borderId="17" applyAlignment="1" pivotButton="0" quotePrefix="0" xfId="4">
      <alignment horizontal="center"/>
    </xf>
    <xf numFmtId="165" fontId="26" fillId="0" borderId="19" applyAlignment="1" pivotButton="0" quotePrefix="0" xfId="4">
      <alignment horizontal="center"/>
    </xf>
    <xf numFmtId="165" fontId="0" fillId="0" borderId="1" applyAlignment="1" pivotButton="0" quotePrefix="0" xfId="4">
      <alignment vertical="center"/>
    </xf>
    <xf numFmtId="167" fontId="0" fillId="0" borderId="1" applyAlignment="1" pivotButton="0" quotePrefix="0" xfId="5">
      <alignment vertical="center"/>
    </xf>
    <xf numFmtId="9" fontId="0" fillId="0" borderId="1" applyAlignment="1" pivotButton="0" quotePrefix="0" xfId="5">
      <alignment vertical="center"/>
    </xf>
    <xf numFmtId="164" fontId="4" fillId="0" borderId="1" applyAlignment="1" pivotButton="0" quotePrefix="0" xfId="6">
      <alignment horizontal="center" vertical="center"/>
    </xf>
    <xf numFmtId="9" fontId="0" fillId="0" borderId="1" applyAlignment="1" pivotButton="0" quotePrefix="0" xfId="5">
      <alignment horizontal="center" vertical="center"/>
    </xf>
    <xf numFmtId="165" fontId="0" fillId="0" borderId="1" applyAlignment="1" pivotButton="0" quotePrefix="0" xfId="4">
      <alignment horizontal="center" vertical="center"/>
    </xf>
    <xf numFmtId="0" fontId="32" fillId="0" borderId="1" applyAlignment="1" pivotButton="0" quotePrefix="0" xfId="6">
      <alignment vertical="center" wrapText="1"/>
    </xf>
    <xf numFmtId="0" fontId="4" fillId="0" borderId="1" applyAlignment="1" pivotButton="0" quotePrefix="0" xfId="6">
      <alignment vertical="center" wrapText="1"/>
    </xf>
    <xf numFmtId="0" fontId="4" fillId="0" borderId="1" applyAlignment="1" pivotButton="0" quotePrefix="0" xfId="6">
      <alignment horizontal="left" vertical="center" wrapText="1"/>
    </xf>
    <xf numFmtId="0" fontId="31" fillId="0" borderId="1" applyAlignment="1" pivotButton="0" quotePrefix="0" xfId="6">
      <alignment horizontal="left" vertical="center" wrapText="1"/>
    </xf>
    <xf numFmtId="0" fontId="31" fillId="0" borderId="1" applyAlignment="1" pivotButton="0" quotePrefix="0" xfId="6">
      <alignment vertical="center" wrapText="1"/>
    </xf>
    <xf numFmtId="0" fontId="34" fillId="0" borderId="1" applyAlignment="1" pivotButton="0" quotePrefix="0" xfId="6">
      <alignment vertical="center" wrapText="1"/>
    </xf>
    <xf numFmtId="165" fontId="0" fillId="0" borderId="0" applyAlignment="1" pivotButton="0" quotePrefix="0" xfId="4">
      <alignment vertical="center"/>
    </xf>
    <xf numFmtId="0" fontId="32" fillId="13" borderId="1" applyAlignment="1" pivotButton="0" quotePrefix="0" xfId="6">
      <alignment vertical="center" wrapText="1"/>
    </xf>
    <xf numFmtId="0" fontId="4" fillId="13" borderId="1" applyAlignment="1" pivotButton="0" quotePrefix="0" xfId="6">
      <alignment vertical="center" wrapText="1"/>
    </xf>
    <xf numFmtId="0" fontId="4" fillId="13" borderId="1" applyAlignment="1" pivotButton="0" quotePrefix="0" xfId="6">
      <alignment horizontal="left" vertical="center" wrapText="1"/>
    </xf>
    <xf numFmtId="0" fontId="31" fillId="13" borderId="1" applyAlignment="1" pivotButton="0" quotePrefix="0" xfId="6">
      <alignment horizontal="left" vertical="center" wrapText="1"/>
    </xf>
    <xf numFmtId="0" fontId="31" fillId="13" borderId="1" applyAlignment="1" pivotButton="0" quotePrefix="0" xfId="6">
      <alignment vertical="center" wrapText="1"/>
    </xf>
    <xf numFmtId="0" fontId="34" fillId="13" borderId="1" applyAlignment="1" pivotButton="0" quotePrefix="0" xfId="6">
      <alignment vertical="center" wrapText="1"/>
    </xf>
    <xf numFmtId="0" fontId="4" fillId="13" borderId="1" applyAlignment="1" pivotButton="0" quotePrefix="0" xfId="6">
      <alignment vertical="center"/>
    </xf>
    <xf numFmtId="165" fontId="31" fillId="0" borderId="0" applyAlignment="1" pivotButton="0" quotePrefix="0" xfId="4">
      <alignment horizontal="center" vertical="center" wrapText="1"/>
    </xf>
    <xf numFmtId="0" fontId="4" fillId="0" borderId="0" applyAlignment="1" pivotButton="0" quotePrefix="0" xfId="6">
      <alignment vertical="center" wrapText="1"/>
    </xf>
    <xf numFmtId="0" fontId="31" fillId="0" borderId="0" applyAlignment="1" pivotButton="0" quotePrefix="0" xfId="6">
      <alignment vertical="center" wrapText="1"/>
    </xf>
    <xf numFmtId="165" fontId="31" fillId="0" borderId="0" applyAlignment="1" pivotButton="0" quotePrefix="0" xfId="4">
      <alignment vertical="center" wrapText="1"/>
    </xf>
    <xf numFmtId="0" fontId="4" fillId="0" borderId="0" applyAlignment="1" pivotButton="0" quotePrefix="0" xfId="6">
      <alignment horizontal="left" vertical="center" wrapText="1"/>
    </xf>
    <xf numFmtId="0" fontId="31" fillId="0" borderId="0" applyAlignment="1" pivotButton="0" quotePrefix="0" xfId="6">
      <alignment horizontal="left" vertical="center" wrapText="1"/>
    </xf>
    <xf numFmtId="9" fontId="0" fillId="0" borderId="0" applyAlignment="1" pivotButton="0" quotePrefix="0" xfId="5">
      <alignment vertical="center"/>
    </xf>
    <xf numFmtId="165" fontId="0" fillId="0" borderId="3" applyAlignment="1" pivotButton="0" quotePrefix="0" xfId="4">
      <alignment vertical="center"/>
    </xf>
    <xf numFmtId="167" fontId="0" fillId="0" borderId="0" applyAlignment="1" pivotButton="0" quotePrefix="0" xfId="5">
      <alignment vertical="center"/>
    </xf>
    <xf numFmtId="0" fontId="5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 wrapText="1"/>
    </xf>
    <xf numFmtId="0" fontId="9" fillId="7" borderId="8" applyAlignment="1" pivotButton="0" quotePrefix="0" xfId="0">
      <alignment horizontal="center" vertical="center" wrapText="1"/>
    </xf>
    <xf numFmtId="3" fontId="0" fillId="7" borderId="9" applyAlignment="1" pivotButton="0" quotePrefix="0" xfId="0">
      <alignment horizontal="center" vertical="center" wrapText="1"/>
    </xf>
    <xf numFmtId="0" fontId="9" fillId="7" borderId="10" applyAlignment="1" pivotButton="0" quotePrefix="0" xfId="0">
      <alignment horizontal="center" vertical="center" wrapText="1"/>
    </xf>
    <xf numFmtId="3" fontId="0" fillId="7" borderId="11" applyAlignment="1" pivotButton="0" quotePrefix="0" xfId="0">
      <alignment horizontal="center" vertical="center" wrapText="1"/>
    </xf>
    <xf numFmtId="3" fontId="0" fillId="7" borderId="12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3" fontId="9" fillId="7" borderId="11" applyAlignment="1" pivotButton="0" quotePrefix="0" xfId="0">
      <alignment horizontal="center" vertical="center" wrapText="1"/>
    </xf>
    <xf numFmtId="164" fontId="9" fillId="7" borderId="11" applyAlignment="1" pivotButton="0" quotePrefix="0" xfId="0">
      <alignment horizontal="center" vertical="center" wrapText="1"/>
    </xf>
    <xf numFmtId="0" fontId="9" fillId="7" borderId="12" applyAlignment="1" pivotButton="0" quotePrefix="0" xfId="0">
      <alignment horizontal="center" vertical="center" wrapText="1"/>
    </xf>
    <xf numFmtId="0" fontId="5" fillId="10" borderId="13" applyAlignment="1" pivotButton="0" quotePrefix="0" xfId="0">
      <alignment horizontal="center" vertical="center" wrapText="1"/>
    </xf>
    <xf numFmtId="0" fontId="5" fillId="10" borderId="14" applyAlignment="1" pivotButton="0" quotePrefix="0" xfId="0">
      <alignment horizontal="center" vertical="center" wrapText="1"/>
    </xf>
    <xf numFmtId="0" fontId="5" fillId="10" borderId="15" applyAlignment="1" pivotButton="0" quotePrefix="0" xfId="0">
      <alignment horizontal="center" vertical="center" wrapText="1"/>
    </xf>
    <xf numFmtId="0" fontId="0" fillId="12" borderId="0" pivotButton="0" quotePrefix="0" xfId="0"/>
    <xf numFmtId="0" fontId="0" fillId="14" borderId="8" applyAlignment="1" pivotButton="0" quotePrefix="0" xfId="0">
      <alignment horizontal="center" vertical="center" wrapText="1"/>
    </xf>
    <xf numFmtId="0" fontId="38" fillId="15" borderId="0" applyAlignment="1" pivotButton="0" quotePrefix="0" xfId="9">
      <alignment vertical="center"/>
    </xf>
    <xf numFmtId="0" fontId="30" fillId="15" borderId="0" applyAlignment="1" pivotButton="0" quotePrefix="0" xfId="9">
      <alignment vertical="center"/>
    </xf>
    <xf numFmtId="0" fontId="30" fillId="15" borderId="0" applyAlignment="1" pivotButton="0" quotePrefix="0" xfId="9">
      <alignment horizontal="left" vertical="center"/>
    </xf>
    <xf numFmtId="165" fontId="30" fillId="15" borderId="0" applyAlignment="1" pivotButton="0" quotePrefix="0" xfId="10">
      <alignment vertical="center"/>
    </xf>
    <xf numFmtId="165" fontId="30" fillId="0" borderId="0" applyAlignment="1" pivotButton="0" quotePrefix="0" xfId="10">
      <alignment vertical="center"/>
    </xf>
    <xf numFmtId="165" fontId="25" fillId="15" borderId="0" applyAlignment="1" pivotButton="0" quotePrefix="0" xfId="10">
      <alignment horizontal="center" vertical="center"/>
    </xf>
    <xf numFmtId="0" fontId="25" fillId="15" borderId="0" applyAlignment="1" pivotButton="0" quotePrefix="0" xfId="11">
      <alignment vertical="center"/>
    </xf>
    <xf numFmtId="165" fontId="25" fillId="15" borderId="0" applyAlignment="1" pivotButton="0" quotePrefix="0" xfId="10">
      <alignment vertical="center"/>
    </xf>
    <xf numFmtId="0" fontId="39" fillId="16" borderId="1" applyAlignment="1" pivotButton="0" quotePrefix="0" xfId="2">
      <alignment horizontal="center" vertical="center"/>
    </xf>
    <xf numFmtId="0" fontId="40" fillId="16" borderId="1" applyAlignment="1" pivotButton="0" quotePrefix="0" xfId="2">
      <alignment horizontal="center" vertical="center"/>
    </xf>
    <xf numFmtId="0" fontId="41" fillId="16" borderId="1" applyAlignment="1" pivotButton="0" quotePrefix="0" xfId="11">
      <alignment horizontal="left" vertical="center"/>
    </xf>
    <xf numFmtId="0" fontId="41" fillId="17" borderId="1" applyAlignment="1" pivotButton="0" quotePrefix="0" xfId="11">
      <alignment horizontal="center" vertical="center"/>
    </xf>
    <xf numFmtId="165" fontId="41" fillId="17" borderId="1" applyAlignment="1" pivotButton="0" quotePrefix="0" xfId="10">
      <alignment horizontal="center" vertical="center"/>
    </xf>
    <xf numFmtId="0" fontId="41" fillId="17" borderId="1" applyAlignment="1" pivotButton="0" quotePrefix="0" xfId="2">
      <alignment horizontal="center" vertical="center"/>
    </xf>
    <xf numFmtId="0" fontId="28" fillId="15" borderId="0" applyAlignment="1" pivotButton="0" quotePrefix="0" xfId="9">
      <alignment vertical="center"/>
    </xf>
    <xf numFmtId="165" fontId="28" fillId="15" borderId="0" applyAlignment="1" pivotButton="0" quotePrefix="0" xfId="10">
      <alignment vertical="center"/>
    </xf>
    <xf numFmtId="0" fontId="28" fillId="15" borderId="0" applyAlignment="1" pivotButton="0" quotePrefix="0" xfId="11">
      <alignment vertical="center"/>
    </xf>
    <xf numFmtId="0" fontId="28" fillId="15" borderId="0" applyAlignment="1" pivotButton="0" quotePrefix="0" xfId="11">
      <alignment horizontal="center" vertical="center"/>
    </xf>
    <xf numFmtId="0" fontId="17" fillId="0" borderId="0" applyAlignment="1" pivotButton="0" quotePrefix="0" xfId="9">
      <alignment vertical="center"/>
    </xf>
    <xf numFmtId="165" fontId="17" fillId="0" borderId="0" applyAlignment="1" pivotButton="0" quotePrefix="0" xfId="10">
      <alignment vertical="center"/>
    </xf>
    <xf numFmtId="0" fontId="17" fillId="0" borderId="0" applyAlignment="1" pivotButton="0" quotePrefix="0" xfId="9">
      <alignment horizontal="center" vertical="center"/>
    </xf>
    <xf numFmtId="165" fontId="17" fillId="0" borderId="0" applyAlignment="1" pivotButton="0" quotePrefix="0" xfId="10">
      <alignment vertical="center" wrapText="1"/>
    </xf>
    <xf numFmtId="0" fontId="17" fillId="0" borderId="0" applyAlignment="1" pivotButton="0" quotePrefix="0" xfId="9">
      <alignment vertical="center" wrapText="1"/>
    </xf>
    <xf numFmtId="0" fontId="18" fillId="0" borderId="1" applyAlignment="1" pivotButton="0" quotePrefix="0" xfId="9">
      <alignment horizontal="center" vertical="center"/>
    </xf>
    <xf numFmtId="0" fontId="18" fillId="0" borderId="20" applyAlignment="1" pivotButton="0" quotePrefix="0" xfId="9">
      <alignment horizontal="center" vertical="center"/>
    </xf>
    <xf numFmtId="166" fontId="17" fillId="0" borderId="1" applyAlignment="1" pivotButton="0" quotePrefix="0" xfId="9">
      <alignment horizontal="center" vertical="center"/>
    </xf>
    <xf numFmtId="0" fontId="18" fillId="0" borderId="22" applyAlignment="1" pivotButton="0" quotePrefix="0" xfId="9">
      <alignment horizontal="center" vertical="center"/>
    </xf>
    <xf numFmtId="0" fontId="18" fillId="0" borderId="20" applyAlignment="1" pivotButton="0" quotePrefix="0" xfId="13">
      <alignment horizontal="center" vertical="center"/>
    </xf>
    <xf numFmtId="0" fontId="18" fillId="0" borderId="1" applyAlignment="1" pivotButton="0" quotePrefix="0" xfId="13">
      <alignment horizontal="center" vertical="center"/>
    </xf>
    <xf numFmtId="0" fontId="49" fillId="0" borderId="1" applyAlignment="1" pivotButton="0" quotePrefix="0" xfId="9">
      <alignment horizontal="center" vertical="center"/>
    </xf>
    <xf numFmtId="165" fontId="15" fillId="0" borderId="0" applyAlignment="1" pivotButton="0" quotePrefix="0" xfId="1">
      <alignment vertical="center"/>
    </xf>
    <xf numFmtId="165" fontId="15" fillId="0" borderId="29" applyAlignment="1" pivotButton="0" quotePrefix="0" xfId="1">
      <alignment vertical="center"/>
    </xf>
    <xf numFmtId="165" fontId="15" fillId="0" borderId="26" applyAlignment="1" pivotButton="0" quotePrefix="0" xfId="1">
      <alignment vertical="center"/>
    </xf>
    <xf numFmtId="165" fontId="0" fillId="0" borderId="29" applyAlignment="1" pivotButton="0" quotePrefix="0" xfId="4">
      <alignment vertical="center"/>
    </xf>
    <xf numFmtId="0" fontId="13" fillId="0" borderId="0" pivotButton="0" quotePrefix="0" xfId="0"/>
    <xf numFmtId="0" fontId="0" fillId="11" borderId="0" pivotButton="0" quotePrefix="0" xfId="0"/>
    <xf numFmtId="0" fontId="53" fillId="0" borderId="0" applyAlignment="1" pivotButton="0" quotePrefix="0" xfId="0">
      <alignment vertical="center"/>
    </xf>
    <xf numFmtId="0" fontId="53" fillId="0" borderId="34" applyAlignment="1" pivotButton="0" quotePrefix="0" xfId="0">
      <alignment horizontal="center" vertical="center"/>
    </xf>
    <xf numFmtId="0" fontId="52" fillId="0" borderId="0" pivotButton="0" quotePrefix="0" xfId="0"/>
    <xf numFmtId="0" fontId="52" fillId="0" borderId="34" applyAlignment="1" pivotButton="0" quotePrefix="0" xfId="0">
      <alignment vertical="center"/>
    </xf>
    <xf numFmtId="0" fontId="4" fillId="11" borderId="0" applyAlignment="1" pivotButton="0" quotePrefix="0" xfId="6">
      <alignment horizontal="center" vertical="center"/>
    </xf>
    <xf numFmtId="0" fontId="54" fillId="11" borderId="0" applyAlignment="1" pivotButton="0" quotePrefix="0" xfId="6">
      <alignment horizontal="left" vertical="center"/>
    </xf>
    <xf numFmtId="0" fontId="55" fillId="0" borderId="0" applyAlignment="1" pivotButton="0" quotePrefix="0" xfId="0">
      <alignment vertical="center"/>
    </xf>
    <xf numFmtId="0" fontId="18" fillId="0" borderId="0" pivotButton="0" quotePrefix="0" xfId="0"/>
    <xf numFmtId="168" fontId="0" fillId="0" borderId="0" pivotButton="0" quotePrefix="0" xfId="0"/>
    <xf numFmtId="165" fontId="4" fillId="0" borderId="0" applyAlignment="1" pivotButton="0" quotePrefix="0" xfId="6">
      <alignment horizontal="center" vertical="center"/>
    </xf>
    <xf numFmtId="9" fontId="0" fillId="0" borderId="0" applyAlignment="1" pivotButton="0" quotePrefix="0" xfId="5">
      <alignment horizontal="center" vertical="center"/>
    </xf>
    <xf numFmtId="0" fontId="4" fillId="0" borderId="21" applyAlignment="1" pivotButton="0" quotePrefix="0" xfId="6">
      <alignment vertical="center"/>
    </xf>
    <xf numFmtId="0" fontId="36" fillId="0" borderId="21" applyAlignment="1" pivotButton="0" quotePrefix="0" xfId="6">
      <alignment vertical="center" wrapText="1"/>
    </xf>
    <xf numFmtId="9" fontId="15" fillId="0" borderId="21" applyAlignment="1" pivotButton="0" quotePrefix="0" xfId="14">
      <alignment horizontal="center" vertical="center"/>
    </xf>
    <xf numFmtId="0" fontId="31" fillId="0" borderId="21" applyAlignment="1" pivotButton="0" quotePrefix="0" xfId="0">
      <alignment horizontal="center"/>
    </xf>
    <xf numFmtId="0" fontId="0" fillId="0" borderId="21" pivotButton="0" quotePrefix="0" xfId="0"/>
    <xf numFmtId="0" fontId="5" fillId="10" borderId="35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3" fontId="0" fillId="0" borderId="2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9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center" vertical="center" wrapText="1"/>
    </xf>
    <xf numFmtId="0" fontId="9" fillId="4" borderId="15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/>
    </xf>
    <xf numFmtId="0" fontId="17" fillId="0" borderId="21" pivotButton="0" quotePrefix="0" xfId="0"/>
    <xf numFmtId="0" fontId="17" fillId="0" borderId="6" applyAlignment="1" pivotButton="0" quotePrefix="0" xfId="0">
      <alignment horizontal="center"/>
    </xf>
    <xf numFmtId="0" fontId="17" fillId="0" borderId="10" applyAlignment="1" pivotButton="0" quotePrefix="0" xfId="0">
      <alignment horizontal="center"/>
    </xf>
    <xf numFmtId="0" fontId="17" fillId="0" borderId="11" pivotButton="0" quotePrefix="0" xfId="0"/>
    <xf numFmtId="0" fontId="17" fillId="20" borderId="13" applyAlignment="1" pivotButton="0" quotePrefix="0" xfId="0">
      <alignment horizontal="center"/>
    </xf>
    <xf numFmtId="0" fontId="9" fillId="21" borderId="14" applyAlignment="1" pivotButton="0" quotePrefix="0" xfId="0">
      <alignment horizontal="center" vertical="center" wrapText="1"/>
    </xf>
    <xf numFmtId="0" fontId="9" fillId="21" borderId="15" applyAlignment="1" pivotButton="0" quotePrefix="0" xfId="0">
      <alignment horizontal="center" vertical="center" wrapText="1"/>
    </xf>
    <xf numFmtId="0" fontId="58" fillId="0" borderId="0" pivotButton="0" quotePrefix="0" xfId="0"/>
    <xf numFmtId="0" fontId="57" fillId="0" borderId="0" pivotButton="0" quotePrefix="0" xfId="0"/>
    <xf numFmtId="165" fontId="17" fillId="0" borderId="0" applyAlignment="1" pivotButton="0" quotePrefix="0" xfId="1">
      <alignment vertical="center"/>
    </xf>
    <xf numFmtId="165" fontId="17" fillId="0" borderId="21" pivotButton="0" quotePrefix="0" xfId="0"/>
    <xf numFmtId="165" fontId="17" fillId="0" borderId="11" pivotButton="0" quotePrefix="0" xfId="0"/>
    <xf numFmtId="0" fontId="31" fillId="20" borderId="14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49" fontId="31" fillId="0" borderId="0" applyAlignment="1" pivotButton="0" quotePrefix="0" xfId="6">
      <alignment horizontal="left" vertical="center"/>
    </xf>
    <xf numFmtId="169" fontId="0" fillId="0" borderId="0" pivotButton="0" quotePrefix="0" xfId="0"/>
    <xf numFmtId="0" fontId="59" fillId="0" borderId="21" pivotButton="0" quotePrefix="0" xfId="0"/>
    <xf numFmtId="49" fontId="31" fillId="0" borderId="21" applyAlignment="1" pivotButton="0" quotePrefix="0" xfId="6">
      <alignment horizontal="center" vertical="center"/>
    </xf>
    <xf numFmtId="0" fontId="4" fillId="0" borderId="21" applyAlignment="1" pivotButton="0" quotePrefix="0" xfId="6">
      <alignment horizontal="center" vertical="center"/>
    </xf>
    <xf numFmtId="0" fontId="4" fillId="0" borderId="0" applyAlignment="1" pivotButton="0" quotePrefix="0" xfId="6">
      <alignment horizontal="left" vertical="center"/>
    </xf>
    <xf numFmtId="0" fontId="3" fillId="0" borderId="0" applyAlignment="1" pivotButton="0" quotePrefix="0" xfId="6">
      <alignment vertical="center"/>
    </xf>
    <xf numFmtId="0" fontId="35" fillId="0" borderId="21" applyAlignment="1" pivotButton="0" quotePrefix="0" xfId="6">
      <alignment vertical="center" wrapText="1"/>
    </xf>
    <xf numFmtId="0" fontId="32" fillId="0" borderId="21" applyAlignment="1" pivotButton="0" quotePrefix="0" xfId="6">
      <alignment vertical="center" wrapText="1"/>
    </xf>
    <xf numFmtId="0" fontId="32" fillId="0" borderId="21" applyAlignment="1" pivotButton="0" quotePrefix="0" xfId="6">
      <alignment horizontal="center" vertical="center" wrapText="1"/>
    </xf>
    <xf numFmtId="9" fontId="32" fillId="0" borderId="21" applyAlignment="1" pivotButton="0" quotePrefix="0" xfId="5">
      <alignment vertical="center" wrapText="1"/>
    </xf>
    <xf numFmtId="165" fontId="32" fillId="0" borderId="21" applyAlignment="1" pivotButton="0" quotePrefix="0" xfId="4">
      <alignment vertical="center" wrapText="1"/>
    </xf>
    <xf numFmtId="0" fontId="4" fillId="0" borderId="1" applyAlignment="1" pivotButton="0" quotePrefix="0" xfId="6">
      <alignment horizontal="right" vertical="center"/>
    </xf>
    <xf numFmtId="9" fontId="0" fillId="0" borderId="1" applyAlignment="1" pivotButton="0" quotePrefix="0" xfId="5">
      <alignment horizontal="right" vertical="center"/>
    </xf>
    <xf numFmtId="165" fontId="32" fillId="0" borderId="1" applyAlignment="1" pivotButton="0" quotePrefix="0" xfId="4">
      <alignment horizontal="right" vertical="center" wrapText="1"/>
    </xf>
    <xf numFmtId="9" fontId="32" fillId="0" borderId="1" applyAlignment="1" pivotButton="0" quotePrefix="0" xfId="5">
      <alignment horizontal="right" vertical="center" wrapText="1"/>
    </xf>
    <xf numFmtId="167" fontId="32" fillId="0" borderId="1" applyAlignment="1" pivotButton="0" quotePrefix="0" xfId="5">
      <alignment horizontal="right" vertical="center" wrapText="1"/>
    </xf>
    <xf numFmtId="0" fontId="32" fillId="0" borderId="1" applyAlignment="1" pivotButton="0" quotePrefix="0" xfId="6">
      <alignment horizontal="right" vertical="center" wrapText="1"/>
    </xf>
    <xf numFmtId="0" fontId="32" fillId="13" borderId="1" applyAlignment="1" pivotButton="0" quotePrefix="0" xfId="6">
      <alignment horizontal="right" vertical="center" wrapText="1"/>
    </xf>
    <xf numFmtId="9" fontId="32" fillId="13" borderId="1" applyAlignment="1" pivotButton="0" quotePrefix="0" xfId="5">
      <alignment horizontal="right" vertical="center" wrapText="1"/>
    </xf>
    <xf numFmtId="165" fontId="32" fillId="13" borderId="1" applyAlignment="1" pivotButton="0" quotePrefix="0" xfId="4">
      <alignment horizontal="right" vertical="center" wrapText="1"/>
    </xf>
    <xf numFmtId="167" fontId="32" fillId="13" borderId="1" applyAlignment="1" pivotButton="0" quotePrefix="0" xfId="5">
      <alignment horizontal="right" vertical="center" wrapText="1"/>
    </xf>
    <xf numFmtId="0" fontId="35" fillId="0" borderId="21" applyAlignment="1" pivotButton="0" quotePrefix="0" xfId="6">
      <alignment horizontal="center" vertical="center" wrapText="1"/>
    </xf>
    <xf numFmtId="0" fontId="3" fillId="0" borderId="21" applyAlignment="1" pivotButton="0" quotePrefix="0" xfId="6">
      <alignment vertical="center"/>
    </xf>
    <xf numFmtId="0" fontId="35" fillId="11" borderId="21" applyAlignment="1" pivotButton="0" quotePrefix="0" xfId="6">
      <alignment vertical="center" wrapText="1"/>
    </xf>
    <xf numFmtId="0" fontId="36" fillId="11" borderId="21" applyAlignment="1" pivotButton="0" quotePrefix="0" xfId="6">
      <alignment vertical="center" wrapText="1"/>
    </xf>
    <xf numFmtId="0" fontId="51" fillId="0" borderId="0" applyAlignment="1" pivotButton="0" quotePrefix="0" xfId="0">
      <alignment vertical="center"/>
    </xf>
    <xf numFmtId="0" fontId="55" fillId="0" borderId="0" applyAlignment="1" pivotButton="0" quotePrefix="1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165" fontId="17" fillId="0" borderId="9" applyAlignment="1" pivotButton="0" quotePrefix="0" xfId="1">
      <alignment vertical="center"/>
    </xf>
    <xf numFmtId="165" fontId="17" fillId="0" borderId="9" pivotButton="0" quotePrefix="0" xfId="0"/>
    <xf numFmtId="165" fontId="17" fillId="0" borderId="7" pivotButton="0" quotePrefix="0" xfId="0"/>
    <xf numFmtId="165" fontId="17" fillId="0" borderId="12" pivotButton="0" quotePrefix="0" xfId="0"/>
    <xf numFmtId="0" fontId="31" fillId="0" borderId="0" pivotButton="0" quotePrefix="0" xfId="0"/>
    <xf numFmtId="164" fontId="17" fillId="0" borderId="9" pivotButton="0" quotePrefix="0" xfId="0"/>
    <xf numFmtId="164" fontId="17" fillId="0" borderId="12" pivotButton="0" quotePrefix="0" xfId="0"/>
    <xf numFmtId="0" fontId="0" fillId="0" borderId="29" pivotButton="0" quotePrefix="0" xfId="0"/>
    <xf numFmtId="0" fontId="23" fillId="0" borderId="0" applyAlignment="1" pivotButton="0" quotePrefix="0" xfId="2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1" applyAlignment="1" pivotButton="0" quotePrefix="0" xfId="0">
      <alignment horizontal="center" vertical="center" wrapText="1"/>
    </xf>
    <xf numFmtId="170" fontId="0" fillId="0" borderId="0" pivotButton="0" quotePrefix="0" xfId="0"/>
    <xf numFmtId="0" fontId="50" fillId="0" borderId="0" applyAlignment="1" pivotButton="0" quotePrefix="0" xfId="0">
      <alignment horizontal="center" vertical="center" wrapText="1"/>
    </xf>
    <xf numFmtId="0" fontId="31" fillId="0" borderId="29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1" fillId="18" borderId="0" pivotButton="0" quotePrefix="0" xfId="0"/>
    <xf numFmtId="0" fontId="17" fillId="0" borderId="0" pivotButton="0" quotePrefix="0" xfId="0"/>
    <xf numFmtId="0" fontId="31" fillId="11" borderId="0" pivotButton="0" quotePrefix="0" xfId="0"/>
    <xf numFmtId="0" fontId="0" fillId="0" borderId="29" applyAlignment="1" pivotButton="0" quotePrefix="0" xfId="0">
      <alignment horizontal="center"/>
    </xf>
    <xf numFmtId="0" fontId="23" fillId="0" borderId="29" applyAlignment="1" pivotButton="0" quotePrefix="0" xfId="2">
      <alignment horizontal="center" vertical="center"/>
    </xf>
    <xf numFmtId="9" fontId="15" fillId="0" borderId="29" applyAlignment="1" pivotButton="0" quotePrefix="0" xfId="14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14" fontId="18" fillId="0" borderId="29" applyAlignment="1" pivotButton="0" quotePrefix="0" xfId="0">
      <alignment horizontal="center" vertical="center"/>
    </xf>
    <xf numFmtId="9" fontId="18" fillId="0" borderId="29" applyAlignment="1" pivotButton="0" quotePrefix="0" xfId="14">
      <alignment horizontal="center" vertical="center"/>
    </xf>
    <xf numFmtId="0" fontId="18" fillId="0" borderId="29" applyAlignment="1" pivotButton="0" quotePrefix="0" xfId="0">
      <alignment horizontal="center" vertical="center"/>
    </xf>
    <xf numFmtId="165" fontId="18" fillId="0" borderId="29" applyAlignment="1" pivotButton="0" quotePrefix="0" xfId="0">
      <alignment horizontal="center" vertical="center"/>
    </xf>
    <xf numFmtId="0" fontId="18" fillId="0" borderId="3" applyAlignment="1" pivotButton="0" quotePrefix="0" xfId="2">
      <alignment horizontal="left" vertical="center"/>
    </xf>
    <xf numFmtId="0" fontId="61" fillId="22" borderId="29" applyAlignment="1" pivotButton="0" quotePrefix="0" xfId="0">
      <alignment horizontal="center" vertical="center" shrinkToFit="1"/>
    </xf>
    <xf numFmtId="14" fontId="61" fillId="22" borderId="29" applyAlignment="1" pivotButton="0" quotePrefix="0" xfId="0">
      <alignment horizontal="center" vertical="center" wrapText="1"/>
    </xf>
    <xf numFmtId="0" fontId="61" fillId="22" borderId="29" applyAlignment="1" pivotButton="0" quotePrefix="0" xfId="0">
      <alignment horizontal="center" vertical="center" wrapText="1"/>
    </xf>
    <xf numFmtId="0" fontId="18" fillId="0" borderId="1" applyAlignment="1" pivotButton="0" quotePrefix="0" xfId="0">
      <alignment vertical="center"/>
    </xf>
    <xf numFmtId="14" fontId="18" fillId="0" borderId="29" applyAlignment="1" pivotButton="0" quotePrefix="0" xfId="0">
      <alignment horizontal="center" vertical="center" wrapText="1"/>
    </xf>
    <xf numFmtId="165" fontId="18" fillId="0" borderId="29" applyAlignment="1" pivotButton="0" quotePrefix="0" xfId="1">
      <alignment horizontal="center" vertical="center" wrapText="1"/>
    </xf>
    <xf numFmtId="0" fontId="18" fillId="0" borderId="29" applyAlignment="1" pivotButton="0" quotePrefix="0" xfId="0">
      <alignment horizontal="center" vertical="center" wrapText="1"/>
    </xf>
    <xf numFmtId="0" fontId="60" fillId="0" borderId="0" pivotButton="0" quotePrefix="0" xfId="15"/>
    <xf numFmtId="9" fontId="15" fillId="0" borderId="0" applyAlignment="1" pivotButton="0" quotePrefix="0" xfId="14">
      <alignment horizontal="center" vertical="center"/>
    </xf>
    <xf numFmtId="9" fontId="0" fillId="0" borderId="29" applyAlignment="1" pivotButton="0" quotePrefix="0" xfId="0">
      <alignment horizontal="center"/>
    </xf>
    <xf numFmtId="0" fontId="62" fillId="11" borderId="0" pivotButton="0" quotePrefix="0" xfId="0"/>
    <xf numFmtId="0" fontId="56" fillId="11" borderId="0" pivotButton="0" quotePrefix="0" xfId="0"/>
    <xf numFmtId="2" fontId="0" fillId="0" borderId="29" pivotButton="0" quotePrefix="0" xfId="0"/>
    <xf numFmtId="0" fontId="23" fillId="0" borderId="29" applyAlignment="1" pivotButton="0" quotePrefix="0" xfId="2">
      <alignment vertical="center"/>
    </xf>
    <xf numFmtId="2" fontId="0" fillId="0" borderId="29" applyAlignment="1" pivotButton="0" quotePrefix="0" xfId="0">
      <alignment horizontal="center"/>
    </xf>
    <xf numFmtId="2" fontId="31" fillId="0" borderId="29" applyAlignment="1" pivotButton="0" quotePrefix="0" xfId="0">
      <alignment horizontal="center"/>
    </xf>
    <xf numFmtId="0" fontId="31" fillId="0" borderId="29" applyAlignment="1" pivotButton="0" quotePrefix="0" xfId="0">
      <alignment horizontal="center" vertical="center" wrapText="1"/>
    </xf>
    <xf numFmtId="0" fontId="31" fillId="0" borderId="29" applyAlignment="1" pivotButton="0" quotePrefix="0" xfId="0">
      <alignment vertical="center" wrapText="1"/>
    </xf>
    <xf numFmtId="0" fontId="0" fillId="0" borderId="29" applyAlignment="1" pivotButton="0" quotePrefix="0" xfId="0">
      <alignment vertical="center" wrapText="1"/>
    </xf>
    <xf numFmtId="0" fontId="0" fillId="11" borderId="29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9" fontId="15" fillId="0" borderId="0" applyAlignment="1" pivotButton="0" quotePrefix="1" xfId="14">
      <alignment vertical="center"/>
    </xf>
    <xf numFmtId="14" fontId="0" fillId="0" borderId="0" pivotButton="0" quotePrefix="0" xfId="0"/>
    <xf numFmtId="14" fontId="55" fillId="0" borderId="0" applyAlignment="1" pivotButton="0" quotePrefix="0" xfId="0">
      <alignment horizontal="center"/>
    </xf>
    <xf numFmtId="14" fontId="56" fillId="11" borderId="0" pivotButton="0" quotePrefix="0" xfId="0"/>
    <xf numFmtId="14" fontId="62" fillId="0" borderId="0" pivotButton="0" quotePrefix="0" xfId="0"/>
    <xf numFmtId="165" fontId="0" fillId="0" borderId="29" pivotButton="0" quotePrefix="0" xfId="0"/>
    <xf numFmtId="165" fontId="15" fillId="0" borderId="27" applyAlignment="1" pivotButton="0" quotePrefix="0" xfId="1">
      <alignment vertical="center"/>
    </xf>
    <xf numFmtId="9" fontId="31" fillId="0" borderId="29" applyAlignment="1" pivotButton="0" quotePrefix="0" xfId="0">
      <alignment horizontal="center"/>
    </xf>
    <xf numFmtId="14" fontId="0" fillId="0" borderId="29" applyAlignment="1" pivotButton="0" quotePrefix="0" xfId="0">
      <alignment horizontal="center"/>
    </xf>
    <xf numFmtId="9" fontId="31" fillId="0" borderId="29" applyAlignment="1" pivotButton="0" quotePrefix="0" xfId="14">
      <alignment horizontal="center" vertical="center"/>
    </xf>
    <xf numFmtId="1" fontId="17" fillId="0" borderId="21" pivotButton="0" quotePrefix="0" xfId="0"/>
    <xf numFmtId="1" fontId="17" fillId="0" borderId="11" pivotButton="0" quotePrefix="0" xfId="0"/>
    <xf numFmtId="0" fontId="62" fillId="0" borderId="0" pivotButton="0" quotePrefix="0" xfId="0"/>
    <xf numFmtId="0" fontId="3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3" fontId="0" fillId="6" borderId="33" applyAlignment="1" pivotButton="0" quotePrefix="0" xfId="0">
      <alignment horizontal="center" vertical="center" wrapText="1"/>
    </xf>
    <xf numFmtId="3" fontId="0" fillId="4" borderId="36" applyAlignment="1" pivotButton="0" quotePrefix="0" xfId="0">
      <alignment horizontal="center" vertical="center" wrapText="1"/>
    </xf>
    <xf numFmtId="3" fontId="0" fillId="4" borderId="32" applyAlignment="1" pivotButton="0" quotePrefix="0" xfId="0">
      <alignment horizontal="center" vertical="center" wrapText="1"/>
    </xf>
    <xf numFmtId="3" fontId="0" fillId="5" borderId="32" applyAlignment="1" pivotButton="0" quotePrefix="0" xfId="0">
      <alignment horizontal="center" vertical="center" wrapText="1"/>
    </xf>
    <xf numFmtId="3" fontId="0" fillId="6" borderId="32" applyAlignment="1" pivotButton="0" quotePrefix="0" xfId="0">
      <alignment horizontal="center" vertical="center" wrapText="1"/>
    </xf>
    <xf numFmtId="3" fontId="0" fillId="0" borderId="32" applyAlignment="1" pivotButton="0" quotePrefix="0" xfId="0">
      <alignment horizontal="center" vertical="center" wrapText="1"/>
    </xf>
    <xf numFmtId="3" fontId="0" fillId="6" borderId="37" applyAlignment="1" pivotButton="0" quotePrefix="0" xfId="0">
      <alignment horizontal="center" vertical="center" wrapText="1"/>
    </xf>
    <xf numFmtId="3" fontId="0" fillId="6" borderId="29" applyAlignment="1" pivotButton="0" quotePrefix="0" xfId="0">
      <alignment horizontal="center" vertical="center" wrapText="1"/>
    </xf>
    <xf numFmtId="3" fontId="0" fillId="4" borderId="29" applyAlignment="1" pivotButton="0" quotePrefix="0" xfId="0">
      <alignment horizontal="center" vertical="center" wrapText="1"/>
    </xf>
    <xf numFmtId="3" fontId="0" fillId="5" borderId="29" applyAlignment="1" pivotButton="0" quotePrefix="0" xfId="0">
      <alignment horizontal="center" vertical="center" wrapText="1"/>
    </xf>
    <xf numFmtId="3" fontId="0" fillId="0" borderId="29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4" fillId="0" borderId="31" applyAlignment="1" pivotButton="0" quotePrefix="0" xfId="6">
      <alignment vertical="center"/>
    </xf>
    <xf numFmtId="9" fontId="0" fillId="0" borderId="40" applyAlignment="1" pivotButton="0" quotePrefix="0" xfId="5">
      <alignment horizontal="center" vertical="center"/>
    </xf>
    <xf numFmtId="9" fontId="0" fillId="0" borderId="30" applyAlignment="1" pivotButton="0" quotePrefix="0" xfId="5">
      <alignment horizontal="center" vertical="center"/>
    </xf>
    <xf numFmtId="0" fontId="31" fillId="0" borderId="16" applyAlignment="1" pivotButton="0" quotePrefix="0" xfId="6">
      <alignment horizontal="center" vertical="center" wrapText="1"/>
    </xf>
    <xf numFmtId="0" fontId="31" fillId="0" borderId="28" applyAlignment="1" pivotButton="0" quotePrefix="0" xfId="6">
      <alignment horizontal="center" vertical="center" wrapText="1"/>
    </xf>
    <xf numFmtId="165" fontId="31" fillId="0" borderId="28" applyAlignment="1" pivotButton="0" quotePrefix="0" xfId="4">
      <alignment horizontal="center" vertical="center" wrapText="1"/>
    </xf>
    <xf numFmtId="167" fontId="31" fillId="0" borderId="28" applyAlignment="1" pivotButton="0" quotePrefix="0" xfId="5">
      <alignment horizontal="center" vertical="center" wrapText="1"/>
    </xf>
    <xf numFmtId="9" fontId="31" fillId="0" borderId="28" applyAlignment="1" pivotButton="0" quotePrefix="0" xfId="5">
      <alignment horizontal="center" vertical="center" wrapText="1"/>
    </xf>
    <xf numFmtId="165" fontId="31" fillId="0" borderId="40" applyAlignment="1" pivotButton="0" quotePrefix="0" xfId="4">
      <alignment horizontal="center" vertical="center" wrapText="1"/>
    </xf>
    <xf numFmtId="0" fontId="18" fillId="0" borderId="28" applyAlignment="1" pivotButton="0" quotePrefix="0" xfId="9">
      <alignment horizontal="center" vertical="center"/>
    </xf>
    <xf numFmtId="0" fontId="18" fillId="0" borderId="27" applyAlignment="1" pivotButton="0" quotePrefix="0" xfId="9">
      <alignment horizontal="center" vertical="center"/>
    </xf>
    <xf numFmtId="166" fontId="17" fillId="0" borderId="1" applyAlignment="1" pivotButton="0" quotePrefix="0" xfId="6">
      <alignment horizontal="center" vertical="center"/>
    </xf>
    <xf numFmtId="165" fontId="26" fillId="0" borderId="17" applyAlignment="1" pivotButton="0" quotePrefix="0" xfId="4">
      <alignment horizontal="center" vertical="center"/>
    </xf>
    <xf numFmtId="165" fontId="26" fillId="0" borderId="19" applyAlignment="1" pivotButton="0" quotePrefix="0" xfId="4">
      <alignment horizontal="center" vertical="center"/>
    </xf>
    <xf numFmtId="165" fontId="27" fillId="0" borderId="1" applyAlignment="1" pivotButton="0" quotePrefix="0" xfId="4">
      <alignment vertical="center"/>
    </xf>
    <xf numFmtId="165" fontId="27" fillId="0" borderId="1" applyAlignment="1" pivotButton="0" quotePrefix="0" xfId="4">
      <alignment horizontal="right" vertical="center"/>
    </xf>
    <xf numFmtId="0" fontId="31" fillId="0" borderId="30" applyAlignment="1" pivotButton="0" quotePrefix="0" xfId="6">
      <alignment horizontal="center" vertical="center"/>
    </xf>
    <xf numFmtId="165" fontId="4" fillId="0" borderId="30" applyAlignment="1" pivotButton="0" quotePrefix="0" xfId="6">
      <alignment horizontal="center" vertical="center"/>
    </xf>
    <xf numFmtId="0" fontId="4" fillId="0" borderId="30" applyAlignment="1" pivotButton="0" quotePrefix="0" xfId="6">
      <alignment vertical="center"/>
    </xf>
    <xf numFmtId="0" fontId="4" fillId="0" borderId="31" applyAlignment="1" pivotButton="0" quotePrefix="0" xfId="6">
      <alignment horizontal="center" vertical="center"/>
    </xf>
    <xf numFmtId="0" fontId="4" fillId="0" borderId="41" applyAlignment="1" pivotButton="0" quotePrefix="0" xfId="6">
      <alignment vertical="center"/>
    </xf>
    <xf numFmtId="0" fontId="2" fillId="0" borderId="0" applyAlignment="1" pivotButton="0" quotePrefix="0" xfId="6">
      <alignment vertical="center"/>
    </xf>
    <xf numFmtId="165" fontId="15" fillId="0" borderId="21" applyAlignment="1" pivotButton="0" quotePrefix="0" xfId="1">
      <alignment horizontal="center" vertical="center"/>
    </xf>
    <xf numFmtId="14" fontId="31" fillId="0" borderId="0" pivotButton="0" quotePrefix="0" xfId="0"/>
    <xf numFmtId="171" fontId="15" fillId="0" borderId="41" applyAlignment="1" pivotButton="0" quotePrefix="0" xfId="1">
      <alignment vertical="center"/>
    </xf>
    <xf numFmtId="0" fontId="0" fillId="0" borderId="41" applyAlignment="1" pivotButton="0" quotePrefix="0" xfId="0">
      <alignment horizontal="center" vertical="center" wrapText="1"/>
    </xf>
    <xf numFmtId="0" fontId="0" fillId="0" borderId="42" applyAlignment="1" pivotButton="0" quotePrefix="0" xfId="0">
      <alignment horizontal="center" vertical="center" wrapText="1"/>
    </xf>
    <xf numFmtId="0" fontId="0" fillId="0" borderId="41" pivotButton="0" quotePrefix="0" xfId="0"/>
    <xf numFmtId="0" fontId="5" fillId="2" borderId="0" applyAlignment="1" pivotButton="0" quotePrefix="0" xfId="0">
      <alignment horizontal="center" vertical="center" wrapText="1"/>
    </xf>
    <xf numFmtId="10" fontId="55" fillId="0" borderId="41" pivotButton="0" quotePrefix="0" xfId="0"/>
    <xf numFmtId="168" fontId="31" fillId="0" borderId="0" applyAlignment="1" pivotButton="0" quotePrefix="0" xfId="0">
      <alignment horizontal="center"/>
    </xf>
    <xf numFmtId="172" fontId="15" fillId="0" borderId="26" applyAlignment="1" pivotButton="0" quotePrefix="0" xfId="1">
      <alignment vertical="center"/>
    </xf>
    <xf numFmtId="0" fontId="55" fillId="0" borderId="0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/>
    </xf>
    <xf numFmtId="165" fontId="17" fillId="0" borderId="0" pivotButton="0" quotePrefix="0" xfId="0"/>
    <xf numFmtId="0" fontId="0" fillId="0" borderId="36" applyAlignment="1" pivotButton="0" quotePrefix="0" xfId="0">
      <alignment horizontal="center" vertical="center" wrapText="1"/>
    </xf>
    <xf numFmtId="0" fontId="19" fillId="2" borderId="27" applyAlignment="1" pivotButton="0" quotePrefix="0" xfId="0">
      <alignment horizontal="center" vertical="center" wrapText="1"/>
    </xf>
    <xf numFmtId="173" fontId="15" fillId="0" borderId="0" applyAlignment="1" pivotButton="0" quotePrefix="0" xfId="1">
      <alignment vertical="center"/>
    </xf>
    <xf numFmtId="0" fontId="19" fillId="2" borderId="32" applyAlignment="1" pivotButton="0" quotePrefix="0" xfId="0">
      <alignment horizontal="center" vertical="center" wrapText="1"/>
    </xf>
    <xf numFmtId="0" fontId="0" fillId="0" borderId="41" applyAlignment="1" pivotButton="0" quotePrefix="0" xfId="0">
      <alignment vertical="center"/>
    </xf>
    <xf numFmtId="0" fontId="0" fillId="0" borderId="41" applyAlignment="1" pivotButton="0" quotePrefix="0" xfId="0">
      <alignment horizontal="center" vertical="center"/>
    </xf>
    <xf numFmtId="173" fontId="0" fillId="0" borderId="41" pivotButton="0" quotePrefix="0" xfId="0"/>
    <xf numFmtId="0" fontId="63" fillId="0" borderId="0" pivotButton="0" quotePrefix="0" xfId="15"/>
    <xf numFmtId="0" fontId="55" fillId="18" borderId="0" pivotButton="0" quotePrefix="0" xfId="15"/>
    <xf numFmtId="0" fontId="64" fillId="0" borderId="0" pivotButton="0" quotePrefix="0" xfId="15"/>
    <xf numFmtId="0" fontId="64" fillId="0" borderId="29" pivotButton="0" quotePrefix="0" xfId="15"/>
    <xf numFmtId="0" fontId="18" fillId="11" borderId="0" pivotButton="0" quotePrefix="0" xfId="0"/>
    <xf numFmtId="0" fontId="55" fillId="11" borderId="0" pivotButton="0" quotePrefix="0" xfId="0"/>
    <xf numFmtId="0" fontId="17" fillId="0" borderId="29" pivotButton="0" quotePrefix="0" xfId="0"/>
    <xf numFmtId="0" fontId="17" fillId="0" borderId="29" applyAlignment="1" pivotButton="0" quotePrefix="0" xfId="0">
      <alignment wrapText="1"/>
    </xf>
    <xf numFmtId="0" fontId="17" fillId="11" borderId="0" pivotButton="0" quotePrefix="0" xfId="0"/>
    <xf numFmtId="0" fontId="17" fillId="18" borderId="0" pivotButton="0" quotePrefix="0" xfId="0"/>
    <xf numFmtId="0" fontId="55" fillId="0" borderId="29" applyAlignment="1" pivotButton="0" quotePrefix="0" xfId="0">
      <alignment horizontal="center"/>
    </xf>
    <xf numFmtId="0" fontId="64" fillId="0" borderId="29" applyAlignment="1" pivotButton="0" quotePrefix="0" xfId="15">
      <alignment horizontal="left"/>
    </xf>
    <xf numFmtId="0" fontId="18" fillId="0" borderId="29" pivotButton="0" quotePrefix="0" xfId="0"/>
    <xf numFmtId="2" fontId="0" fillId="0" borderId="41" pivotButton="0" quotePrefix="0" xfId="0"/>
    <xf numFmtId="0" fontId="0" fillId="0" borderId="41" applyAlignment="1" pivotButton="0" quotePrefix="0" xfId="0">
      <alignment horizontal="center"/>
    </xf>
    <xf numFmtId="0" fontId="55" fillId="0" borderId="41" applyAlignment="1" pivotButton="0" quotePrefix="0" xfId="0">
      <alignment horizontal="center" vertical="center" wrapText="1"/>
    </xf>
    <xf numFmtId="10" fontId="55" fillId="0" borderId="41" applyAlignment="1" pivotButton="0" quotePrefix="0" xfId="0">
      <alignment vertical="center" wrapText="1"/>
    </xf>
    <xf numFmtId="0" fontId="18" fillId="0" borderId="41" applyAlignment="1" pivotButton="0" quotePrefix="0" xfId="0">
      <alignment vertical="center" wrapText="1"/>
    </xf>
    <xf numFmtId="10" fontId="55" fillId="11" borderId="41" applyAlignment="1" pivotButton="0" quotePrefix="0" xfId="0">
      <alignment vertical="center" wrapText="1"/>
    </xf>
    <xf numFmtId="0" fontId="55" fillId="11" borderId="41" applyAlignment="1" pivotButton="0" quotePrefix="0" xfId="0">
      <alignment vertical="center" wrapText="1"/>
    </xf>
    <xf numFmtId="0" fontId="18" fillId="11" borderId="41" applyAlignment="1" pivotButton="0" quotePrefix="0" xfId="0">
      <alignment vertical="center" wrapText="1"/>
    </xf>
    <xf numFmtId="165" fontId="0" fillId="0" borderId="41" pivotButton="0" quotePrefix="0" xfId="0"/>
    <xf numFmtId="0" fontId="50" fillId="24" borderId="27" applyAlignment="1" pivotButton="0" quotePrefix="0" xfId="0">
      <alignment horizontal="center" vertical="center" wrapText="1"/>
    </xf>
    <xf numFmtId="0" fontId="17" fillId="0" borderId="41" pivotButton="0" quotePrefix="0" xfId="0"/>
    <xf numFmtId="0" fontId="65" fillId="0" borderId="41" pivotButton="0" quotePrefix="0" xfId="15"/>
    <xf numFmtId="0" fontId="56" fillId="0" borderId="0" pivotButton="0" quotePrefix="0" xfId="0"/>
    <xf numFmtId="0" fontId="65" fillId="0" borderId="0" applyAlignment="1" pivotButton="0" quotePrefix="0" xfId="15">
      <alignment horizontal="left" vertical="center"/>
    </xf>
    <xf numFmtId="0" fontId="65" fillId="0" borderId="0" applyAlignment="1" pivotButton="0" quotePrefix="1" xfId="15">
      <alignment vertical="center"/>
    </xf>
    <xf numFmtId="0" fontId="65" fillId="0" borderId="0" pivotButton="0" quotePrefix="0" xfId="15"/>
    <xf numFmtId="0" fontId="0" fillId="0" borderId="0" applyAlignment="1" pivotButton="0" quotePrefix="0" xfId="0">
      <alignment horizontal="right"/>
    </xf>
    <xf numFmtId="165" fontId="15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2" fontId="0" fillId="0" borderId="41" applyAlignment="1" pivotButton="0" quotePrefix="0" xfId="0">
      <alignment horizontal="center"/>
    </xf>
    <xf numFmtId="172" fontId="0" fillId="0" borderId="0" pivotButton="0" quotePrefix="0" xfId="1"/>
    <xf numFmtId="171" fontId="0" fillId="0" borderId="0" pivotButton="0" quotePrefix="0" xfId="1"/>
    <xf numFmtId="0" fontId="31" fillId="0" borderId="21" applyAlignment="1" pivotButton="0" quotePrefix="0" xfId="0">
      <alignment horizontal="left"/>
    </xf>
    <xf numFmtId="0" fontId="5" fillId="10" borderId="43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left" vertical="center" wrapText="1"/>
    </xf>
    <xf numFmtId="0" fontId="0" fillId="0" borderId="45" pivotButton="0" quotePrefix="0" xfId="0"/>
    <xf numFmtId="0" fontId="0" fillId="0" borderId="41" applyAlignment="1" pivotButton="0" quotePrefix="0" xfId="0">
      <alignment horizontal="left" vertical="center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left" vertical="center" wrapText="1"/>
    </xf>
    <xf numFmtId="0" fontId="0" fillId="0" borderId="47" applyAlignment="1" pivotButton="0" quotePrefix="0" xfId="0">
      <alignment horizontal="center" vertical="center" wrapText="1"/>
    </xf>
    <xf numFmtId="0" fontId="0" fillId="0" borderId="48" pivotButton="0" quotePrefix="0" xfId="0"/>
    <xf numFmtId="0" fontId="62" fillId="0" borderId="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center" wrapText="1"/>
    </xf>
    <xf numFmtId="14" fontId="37" fillId="0" borderId="0" applyAlignment="1" pivotButton="0" quotePrefix="0" xfId="9">
      <alignment vertical="center"/>
    </xf>
    <xf numFmtId="0" fontId="23" fillId="0" borderId="31" applyAlignment="1" pivotButton="0" quotePrefix="0" xfId="2">
      <alignment horizontal="left" vertical="center"/>
    </xf>
    <xf numFmtId="0" fontId="0" fillId="25" borderId="33" applyAlignment="1" pivotButton="0" quotePrefix="0" xfId="0">
      <alignment vertical="center"/>
    </xf>
    <xf numFmtId="0" fontId="0" fillId="25" borderId="33" applyAlignment="1" pivotButton="0" quotePrefix="0" xfId="0">
      <alignment horizontal="center" vertical="center"/>
    </xf>
    <xf numFmtId="0" fontId="0" fillId="25" borderId="33" applyAlignment="1" pivotButton="0" quotePrefix="0" xfId="0">
      <alignment horizontal="center" vertical="center" wrapText="1"/>
    </xf>
    <xf numFmtId="3" fontId="0" fillId="25" borderId="33" applyAlignment="1" pivotButton="0" quotePrefix="0" xfId="0">
      <alignment horizontal="center" vertical="center" wrapText="1"/>
    </xf>
    <xf numFmtId="172" fontId="0" fillId="25" borderId="33" applyAlignment="1" pivotButton="0" quotePrefix="0" xfId="1">
      <alignment vertical="center"/>
    </xf>
    <xf numFmtId="165" fontId="0" fillId="25" borderId="33" applyAlignment="1" pivotButton="0" quotePrefix="0" xfId="1">
      <alignment vertical="center"/>
    </xf>
    <xf numFmtId="0" fontId="0" fillId="25" borderId="32" applyAlignment="1" pivotButton="0" quotePrefix="0" xfId="0">
      <alignment horizontal="center" vertical="center" wrapText="1"/>
    </xf>
    <xf numFmtId="0" fontId="0" fillId="26" borderId="33" applyAlignment="1" pivotButton="0" quotePrefix="0" xfId="0">
      <alignment vertical="center"/>
    </xf>
    <xf numFmtId="0" fontId="0" fillId="26" borderId="33" applyAlignment="1" pivotButton="0" quotePrefix="0" xfId="0">
      <alignment horizontal="center" vertical="center" wrapText="1"/>
    </xf>
    <xf numFmtId="3" fontId="0" fillId="26" borderId="33" applyAlignment="1" pivotButton="0" quotePrefix="0" xfId="0">
      <alignment horizontal="center" vertical="center" wrapText="1"/>
    </xf>
    <xf numFmtId="172" fontId="0" fillId="26" borderId="33" applyAlignment="1" pivotButton="0" quotePrefix="0" xfId="1">
      <alignment vertical="center"/>
    </xf>
    <xf numFmtId="165" fontId="0" fillId="26" borderId="33" applyAlignment="1" pivotButton="0" quotePrefix="0" xfId="1">
      <alignment vertical="center"/>
    </xf>
    <xf numFmtId="0" fontId="0" fillId="26" borderId="32" applyAlignment="1" pivotButton="0" quotePrefix="0" xfId="0">
      <alignment horizontal="center" vertical="center" wrapText="1"/>
    </xf>
    <xf numFmtId="165" fontId="0" fillId="25" borderId="32" applyAlignment="1" pivotButton="0" quotePrefix="0" xfId="1">
      <alignment vertical="center"/>
    </xf>
    <xf numFmtId="165" fontId="0" fillId="26" borderId="32" applyAlignment="1" pivotButton="0" quotePrefix="0" xfId="1">
      <alignment vertical="center"/>
    </xf>
    <xf numFmtId="165" fontId="0" fillId="25" borderId="30" applyAlignment="1" pivotButton="0" quotePrefix="0" xfId="1">
      <alignment vertical="center"/>
    </xf>
    <xf numFmtId="165" fontId="0" fillId="25" borderId="50" applyAlignment="1" pivotButton="0" quotePrefix="0" xfId="1">
      <alignment vertical="center"/>
    </xf>
    <xf numFmtId="0" fontId="0" fillId="25" borderId="49" pivotButton="0" quotePrefix="0" xfId="0"/>
    <xf numFmtId="0" fontId="0" fillId="26" borderId="49" pivotButton="0" quotePrefix="0" xfId="0"/>
    <xf numFmtId="165" fontId="15" fillId="0" borderId="49" applyAlignment="1" pivotButton="0" quotePrefix="0" xfId="1">
      <alignment vertical="center"/>
    </xf>
    <xf numFmtId="0" fontId="31" fillId="0" borderId="1" applyAlignment="1" pivotButton="0" quotePrefix="0" xfId="9">
      <alignment vertical="center"/>
    </xf>
    <xf numFmtId="0" fontId="31" fillId="0" borderId="20" applyAlignment="1" pivotButton="0" quotePrefix="0" xfId="9">
      <alignment vertical="center"/>
    </xf>
    <xf numFmtId="0" fontId="31" fillId="0" borderId="27" applyAlignment="1" pivotButton="0" quotePrefix="0" xfId="9">
      <alignment vertical="center"/>
    </xf>
    <xf numFmtId="0" fontId="31" fillId="0" borderId="18" applyAlignment="1" pivotButton="0" quotePrefix="0" xfId="9">
      <alignment vertical="center"/>
    </xf>
    <xf numFmtId="0" fontId="29" fillId="0" borderId="1" applyAlignment="1" pivotButton="0" quotePrefix="1" xfId="2">
      <alignment horizontal="center" vertical="center"/>
    </xf>
    <xf numFmtId="0" fontId="28" fillId="0" borderId="50" applyAlignment="1" pivotButton="0" quotePrefix="0" xfId="11">
      <alignment vertical="center"/>
    </xf>
    <xf numFmtId="0" fontId="45" fillId="0" borderId="1" applyAlignment="1" pivotButton="0" quotePrefix="0" xfId="2">
      <alignment horizontal="center" vertical="center"/>
    </xf>
    <xf numFmtId="0" fontId="29" fillId="0" borderId="1" applyAlignment="1" pivotButton="0" quotePrefix="0" xfId="2">
      <alignment horizontal="center" vertical="center"/>
    </xf>
    <xf numFmtId="0" fontId="29" fillId="0" borderId="1" applyAlignment="1" pivotButton="0" quotePrefix="0" xfId="9">
      <alignment horizontal="center" vertical="center"/>
    </xf>
    <xf numFmtId="0" fontId="29" fillId="0" borderId="50" applyAlignment="1" pivotButton="0" quotePrefix="0" xfId="9">
      <alignment horizontal="center" vertical="center"/>
    </xf>
    <xf numFmtId="0" fontId="42" fillId="0" borderId="1" applyAlignment="1" pivotButton="0" quotePrefix="0" xfId="2">
      <alignment horizontal="center" vertical="center"/>
    </xf>
    <xf numFmtId="0" fontId="43" fillId="0" borderId="1" applyAlignment="1" pivotButton="0" quotePrefix="0" xfId="9">
      <alignment horizontal="left" vertical="center"/>
    </xf>
    <xf numFmtId="0" fontId="38" fillId="0" borderId="1" applyAlignment="1" pivotButton="0" quotePrefix="0" xfId="11">
      <alignment horizontal="left" vertical="center"/>
    </xf>
    <xf numFmtId="0" fontId="30" fillId="0" borderId="1" applyAlignment="1" pivotButton="0" quotePrefix="0" xfId="11">
      <alignment vertical="center"/>
    </xf>
    <xf numFmtId="165" fontId="30" fillId="0" borderId="1" applyAlignment="1" pivotButton="0" quotePrefix="0" xfId="10">
      <alignment vertical="center"/>
    </xf>
    <xf numFmtId="0" fontId="44" fillId="0" borderId="1" applyAlignment="1" pivotButton="0" quotePrefix="0" xfId="2">
      <alignment horizontal="right" vertical="center"/>
    </xf>
    <xf numFmtId="0" fontId="46" fillId="0" borderId="1" applyAlignment="1" pivotButton="0" quotePrefix="0" xfId="9">
      <alignment horizontal="left" vertical="center"/>
    </xf>
    <xf numFmtId="0" fontId="38" fillId="0" borderId="1" applyAlignment="1" pivotButton="0" quotePrefix="0" xfId="9">
      <alignment horizontal="left" vertical="center"/>
    </xf>
    <xf numFmtId="0" fontId="30" fillId="0" borderId="1" applyAlignment="1" pivotButton="0" quotePrefix="0" xfId="9">
      <alignment vertical="center"/>
    </xf>
    <xf numFmtId="0" fontId="28" fillId="0" borderId="19" applyAlignment="1" pivotButton="0" quotePrefix="0" xfId="9">
      <alignment horizontal="center" vertical="center"/>
    </xf>
    <xf numFmtId="49" fontId="43" fillId="0" borderId="1" applyAlignment="1" pivotButton="0" quotePrefix="0" xfId="9">
      <alignment horizontal="left" vertical="center"/>
    </xf>
    <xf numFmtId="49" fontId="38" fillId="0" borderId="19" applyAlignment="1" pivotButton="0" quotePrefix="0" xfId="9">
      <alignment horizontal="left" vertical="center"/>
    </xf>
    <xf numFmtId="0" fontId="30" fillId="0" borderId="1" applyAlignment="1" pivotButton="0" quotePrefix="0" xfId="9">
      <alignment horizontal="left" vertical="center"/>
    </xf>
    <xf numFmtId="49" fontId="43" fillId="0" borderId="50" applyAlignment="1" pivotButton="0" quotePrefix="0" xfId="9">
      <alignment horizontal="left" vertical="center"/>
    </xf>
    <xf numFmtId="0" fontId="30" fillId="0" borderId="50" applyAlignment="1" pivotButton="0" quotePrefix="0" xfId="9">
      <alignment horizontal="left" vertical="center"/>
    </xf>
    <xf numFmtId="165" fontId="30" fillId="0" borderId="50" applyAlignment="1" pivotButton="0" quotePrefix="0" xfId="10">
      <alignment vertical="center"/>
    </xf>
    <xf numFmtId="0" fontId="44" fillId="0" borderId="50" applyAlignment="1" pivotButton="0" quotePrefix="0" xfId="2">
      <alignment horizontal="right" vertical="center"/>
    </xf>
    <xf numFmtId="171" fontId="5" fillId="2" borderId="50" applyAlignment="1" pivotButton="0" quotePrefix="0" xfId="1">
      <alignment horizontal="center" vertical="center" wrapText="1"/>
    </xf>
    <xf numFmtId="172" fontId="5" fillId="23" borderId="50" applyAlignment="1" pivotButton="0" quotePrefix="0" xfId="1">
      <alignment horizontal="center" vertical="center" wrapText="1"/>
    </xf>
    <xf numFmtId="165" fontId="15" fillId="0" borderId="50" applyAlignment="1" pivotButton="0" quotePrefix="0" xfId="1">
      <alignment vertical="center"/>
    </xf>
    <xf numFmtId="0" fontId="0" fillId="0" borderId="50" applyAlignment="1" pivotButton="0" quotePrefix="0" xfId="0">
      <alignment vertical="center"/>
    </xf>
    <xf numFmtId="0" fontId="0" fillId="0" borderId="50" pivotButton="0" quotePrefix="0" xfId="0"/>
    <xf numFmtId="0" fontId="4" fillId="0" borderId="50" applyAlignment="1" pivotButton="0" quotePrefix="0" xfId="6">
      <alignment horizontal="center" vertical="center"/>
    </xf>
    <xf numFmtId="9" fontId="0" fillId="0" borderId="21" applyAlignment="1" pivotButton="0" quotePrefix="0" xfId="14">
      <alignment horizontal="center" vertical="center"/>
    </xf>
    <xf numFmtId="0" fontId="0" fillId="12" borderId="0" applyAlignment="1" pivotButton="0" quotePrefix="0" xfId="0">
      <alignment horizontal="center"/>
    </xf>
    <xf numFmtId="0" fontId="4" fillId="0" borderId="20" applyAlignment="1" pivotButton="0" quotePrefix="0" xfId="6">
      <alignment horizontal="center" vertical="center"/>
    </xf>
    <xf numFmtId="0" fontId="4" fillId="0" borderId="18" applyAlignment="1" pivotButton="0" quotePrefix="0" xfId="6">
      <alignment horizontal="center" vertical="center"/>
    </xf>
    <xf numFmtId="0" fontId="31" fillId="0" borderId="28" applyAlignment="1" pivotButton="0" quotePrefix="0" xfId="9">
      <alignment vertical="center"/>
    </xf>
    <xf numFmtId="0" fontId="55" fillId="19" borderId="0" applyAlignment="1" pivotButton="0" quotePrefix="0" xfId="13">
      <alignment horizontal="center" vertical="center" wrapText="1"/>
    </xf>
    <xf numFmtId="0" fontId="55" fillId="19" borderId="51" applyAlignment="1" pivotButton="0" quotePrefix="0" xfId="13">
      <alignment horizontal="center" vertical="center" wrapText="1"/>
    </xf>
    <xf numFmtId="166" fontId="55" fillId="19" borderId="51" applyAlignment="1" pivotButton="0" quotePrefix="0" xfId="13">
      <alignment horizontal="center" vertical="center" wrapText="1"/>
    </xf>
    <xf numFmtId="0" fontId="18" fillId="25" borderId="33" applyAlignment="1" pivotButton="0" quotePrefix="0" xfId="9">
      <alignment horizontal="center" vertical="center"/>
    </xf>
    <xf numFmtId="0" fontId="31" fillId="25" borderId="33" applyAlignment="1" pivotButton="0" quotePrefix="0" xfId="9">
      <alignment vertical="center"/>
    </xf>
    <xf numFmtId="0" fontId="17" fillId="25" borderId="33" applyAlignment="1" pivotButton="0" quotePrefix="0" xfId="9">
      <alignment horizontal="center" vertical="center"/>
    </xf>
    <xf numFmtId="0" fontId="18" fillId="26" borderId="33" applyAlignment="1" pivotButton="0" quotePrefix="0" xfId="9">
      <alignment horizontal="center" vertical="center"/>
    </xf>
    <xf numFmtId="0" fontId="31" fillId="26" borderId="33" applyAlignment="1" pivotButton="0" quotePrefix="0" xfId="9">
      <alignment vertical="center"/>
    </xf>
    <xf numFmtId="0" fontId="17" fillId="26" borderId="33" applyAlignment="1" pivotButton="0" quotePrefix="0" xfId="9">
      <alignment horizontal="center" vertical="center"/>
    </xf>
    <xf numFmtId="0" fontId="18" fillId="25" borderId="52" applyAlignment="1" pivotButton="0" quotePrefix="0" xfId="9">
      <alignment horizontal="center" vertical="center"/>
    </xf>
    <xf numFmtId="0" fontId="18" fillId="26" borderId="52" applyAlignment="1" pivotButton="0" quotePrefix="0" xfId="9">
      <alignment horizontal="center" vertical="center"/>
    </xf>
    <xf numFmtId="0" fontId="18" fillId="25" borderId="30" applyAlignment="1" pivotButton="0" quotePrefix="0" xfId="9">
      <alignment horizontal="center" vertical="center"/>
    </xf>
    <xf numFmtId="0" fontId="31" fillId="25" borderId="30" applyAlignment="1" pivotButton="0" quotePrefix="0" xfId="9">
      <alignment vertical="center"/>
    </xf>
    <xf numFmtId="0" fontId="17" fillId="25" borderId="30" applyAlignment="1" pivotButton="0" quotePrefix="0" xfId="9">
      <alignment horizontal="center" vertical="center"/>
    </xf>
    <xf numFmtId="0" fontId="18" fillId="25" borderId="53" applyAlignment="1" pivotButton="0" quotePrefix="0" xfId="9">
      <alignment horizontal="center" vertical="center"/>
    </xf>
    <xf numFmtId="0" fontId="31" fillId="0" borderId="50" applyAlignment="1" pivotButton="0" quotePrefix="0" xfId="9">
      <alignment vertical="center"/>
    </xf>
    <xf numFmtId="14" fontId="17" fillId="0" borderId="50" applyAlignment="1" pivotButton="0" quotePrefix="0" xfId="9">
      <alignment vertical="center"/>
    </xf>
    <xf numFmtId="14" fontId="17" fillId="0" borderId="50" applyAlignment="1" pivotButton="0" quotePrefix="0" xfId="9">
      <alignment horizontal="center" vertical="center"/>
    </xf>
    <xf numFmtId="0" fontId="0" fillId="0" borderId="50" applyAlignment="1" pivotButton="0" quotePrefix="0" xfId="0">
      <alignment horizontal="center"/>
    </xf>
    <xf numFmtId="165" fontId="56" fillId="13" borderId="28" applyAlignment="1" pivotButton="0" quotePrefix="0" xfId="4">
      <alignment horizontal="center" vertical="center" wrapText="1"/>
    </xf>
    <xf numFmtId="0" fontId="17" fillId="19" borderId="54" applyAlignment="1" pivotButton="0" quotePrefix="0" xfId="13">
      <alignment horizontal="center" vertical="center" wrapText="1"/>
    </xf>
    <xf numFmtId="166" fontId="17" fillId="0" borderId="50" applyAlignment="1" pivotButton="0" quotePrefix="0" xfId="9">
      <alignment horizontal="center" vertical="center"/>
    </xf>
    <xf numFmtId="14" fontId="17" fillId="0" borderId="33" applyAlignment="1" pivotButton="0" quotePrefix="0" xfId="9">
      <alignment horizontal="center" vertical="center"/>
    </xf>
    <xf numFmtId="0" fontId="17" fillId="0" borderId="33" applyAlignment="1" pivotButton="0" quotePrefix="0" xfId="9">
      <alignment vertical="center"/>
    </xf>
    <xf numFmtId="14" fontId="17" fillId="0" borderId="33" applyAlignment="1" pivotButton="0" quotePrefix="0" xfId="9">
      <alignment vertical="center"/>
    </xf>
    <xf numFmtId="166" fontId="17" fillId="0" borderId="32" applyAlignment="1" pivotButton="0" quotePrefix="0" xfId="9">
      <alignment horizontal="center" vertical="center"/>
    </xf>
    <xf numFmtId="0" fontId="17" fillId="0" borderId="30" applyAlignment="1" pivotButton="0" quotePrefix="0" xfId="9">
      <alignment vertical="center"/>
    </xf>
    <xf numFmtId="0" fontId="17" fillId="0" borderId="28" applyAlignment="1" pivotButton="0" quotePrefix="0" xfId="9">
      <alignment vertical="center"/>
    </xf>
    <xf numFmtId="14" fontId="17" fillId="0" borderId="40" applyAlignment="1" pivotButton="0" quotePrefix="0" xfId="9">
      <alignment horizontal="center" vertical="center"/>
    </xf>
    <xf numFmtId="0" fontId="17" fillId="0" borderId="1" applyAlignment="1" pivotButton="0" quotePrefix="0" xfId="9">
      <alignment vertical="center"/>
    </xf>
    <xf numFmtId="14" fontId="17" fillId="0" borderId="2" applyAlignment="1" pivotButton="0" quotePrefix="0" xfId="9">
      <alignment horizontal="center" vertical="center"/>
    </xf>
    <xf numFmtId="14" fontId="17" fillId="0" borderId="1" applyAlignment="1" pivotButton="0" quotePrefix="0" xfId="9">
      <alignment vertical="center"/>
    </xf>
    <xf numFmtId="14" fontId="17" fillId="0" borderId="1" applyAlignment="1" pivotButton="0" quotePrefix="0" xfId="9">
      <alignment horizontal="center" vertical="center"/>
    </xf>
    <xf numFmtId="0" fontId="17" fillId="0" borderId="1" applyAlignment="1" pivotButton="0" quotePrefix="0" xfId="9">
      <alignment horizontal="center" vertical="center"/>
    </xf>
    <xf numFmtId="0" fontId="1" fillId="0" borderId="1" applyAlignment="1" pivotButton="0" quotePrefix="0" xfId="6">
      <alignment vertical="center"/>
    </xf>
    <xf numFmtId="172" fontId="5" fillId="2" borderId="38" applyAlignment="1" pivotButton="0" quotePrefix="0" xfId="1">
      <alignment horizontal="center" vertical="center" wrapText="1"/>
    </xf>
    <xf numFmtId="0" fontId="66" fillId="25" borderId="0" pivotButton="0" quotePrefix="0" xfId="0"/>
    <xf numFmtId="0" fontId="18" fillId="25" borderId="51" pivotButton="0" quotePrefix="0" xfId="0"/>
    <xf numFmtId="174" fontId="0" fillId="0" borderId="0" pivotButton="0" quotePrefix="0" xfId="0"/>
    <xf numFmtId="0" fontId="5" fillId="3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2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6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5" fillId="3" borderId="44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31" pivotButton="0" quotePrefix="0" xfId="0"/>
    <xf numFmtId="0" fontId="5" fillId="3" borderId="50" applyAlignment="1" pivotButton="0" quotePrefix="0" xfId="0">
      <alignment horizontal="center" vertical="center" wrapText="1"/>
    </xf>
    <xf numFmtId="14" fontId="5" fillId="2" borderId="0" applyAlignment="1" pivotButton="0" quotePrefix="0" xfId="0">
      <alignment horizontal="center" vertical="center" wrapText="1"/>
    </xf>
    <xf numFmtId="165" fontId="0" fillId="0" borderId="1" applyAlignment="1" pivotButton="0" quotePrefix="0" xfId="1">
      <alignment horizontal="center" vertical="center" wrapText="1"/>
    </xf>
    <xf numFmtId="165" fontId="17" fillId="0" borderId="0" applyAlignment="1" pivotButton="0" quotePrefix="0" xfId="1">
      <alignment vertical="center"/>
    </xf>
    <xf numFmtId="165" fontId="17" fillId="0" borderId="9" applyAlignment="1" pivotButton="0" quotePrefix="0" xfId="1">
      <alignment vertical="center"/>
    </xf>
    <xf numFmtId="170" fontId="0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165" fontId="17" fillId="0" borderId="21" pivotButton="0" quotePrefix="0" xfId="0"/>
    <xf numFmtId="165" fontId="17" fillId="0" borderId="9" pivotButton="0" quotePrefix="0" xfId="0"/>
    <xf numFmtId="165" fontId="17" fillId="0" borderId="7" pivotButton="0" quotePrefix="0" xfId="0"/>
    <xf numFmtId="165" fontId="17" fillId="0" borderId="11" pivotButton="0" quotePrefix="0" xfId="0"/>
    <xf numFmtId="165" fontId="17" fillId="0" borderId="12" pivotButton="0" quotePrefix="0" xfId="0"/>
    <xf numFmtId="165" fontId="17" fillId="0" borderId="0" pivotButton="0" quotePrefix="0" xfId="0"/>
    <xf numFmtId="164" fontId="9" fillId="7" borderId="11" applyAlignment="1" pivotButton="0" quotePrefix="0" xfId="0">
      <alignment horizontal="center" vertical="center" wrapText="1"/>
    </xf>
    <xf numFmtId="164" fontId="17" fillId="0" borderId="9" pivotButton="0" quotePrefix="0" xfId="0"/>
    <xf numFmtId="164" fontId="17" fillId="0" borderId="12" pivotButton="0" quotePrefix="0" xfId="0"/>
    <xf numFmtId="165" fontId="15" fillId="0" borderId="0" applyAlignment="1" pivotButton="0" quotePrefix="0" xfId="1">
      <alignment vertical="center"/>
    </xf>
    <xf numFmtId="165" fontId="15" fillId="0" borderId="29" applyAlignment="1" pivotButton="0" quotePrefix="0" xfId="1">
      <alignment vertical="center"/>
    </xf>
    <xf numFmtId="165" fontId="15" fillId="0" borderId="26" applyAlignment="1" pivotButton="0" quotePrefix="0" xfId="1">
      <alignment vertical="center"/>
    </xf>
    <xf numFmtId="172" fontId="15" fillId="0" borderId="26" applyAlignment="1" pivotButton="0" quotePrefix="0" xfId="1">
      <alignment vertical="center"/>
    </xf>
    <xf numFmtId="168" fontId="0" fillId="0" borderId="0" pivotButton="0" quotePrefix="0" xfId="0"/>
    <xf numFmtId="168" fontId="31" fillId="0" borderId="0" applyAlignment="1" pivotButton="0" quotePrefix="0" xfId="0">
      <alignment horizontal="center"/>
    </xf>
    <xf numFmtId="165" fontId="15" fillId="0" borderId="49" applyAlignment="1" pivotButton="0" quotePrefix="0" xfId="1">
      <alignment vertical="center"/>
    </xf>
    <xf numFmtId="165" fontId="0" fillId="0" borderId="0" applyAlignment="1" pivotButton="0" quotePrefix="0" xfId="4">
      <alignment vertical="center"/>
    </xf>
    <xf numFmtId="167" fontId="0" fillId="0" borderId="0" applyAlignment="1" pivotButton="0" quotePrefix="0" xfId="5">
      <alignment vertical="center"/>
    </xf>
    <xf numFmtId="165" fontId="0" fillId="0" borderId="0" applyAlignment="1" pivotButton="0" quotePrefix="0" xfId="4">
      <alignment horizontal="center" vertical="center"/>
    </xf>
    <xf numFmtId="165" fontId="31" fillId="0" borderId="28" applyAlignment="1" pivotButton="0" quotePrefix="0" xfId="4">
      <alignment horizontal="center" vertical="center" wrapText="1"/>
    </xf>
    <xf numFmtId="165" fontId="56" fillId="13" borderId="28" applyAlignment="1" pivotButton="0" quotePrefix="0" xfId="4">
      <alignment horizontal="center" vertical="center" wrapText="1"/>
    </xf>
    <xf numFmtId="167" fontId="31" fillId="0" borderId="28" applyAlignment="1" pivotButton="0" quotePrefix="0" xfId="5">
      <alignment horizontal="center" vertical="center" wrapText="1"/>
    </xf>
    <xf numFmtId="165" fontId="31" fillId="0" borderId="40" applyAlignment="1" pivotButton="0" quotePrefix="0" xfId="4">
      <alignment horizontal="center" vertical="center" wrapText="1"/>
    </xf>
    <xf numFmtId="165" fontId="31" fillId="0" borderId="1" applyAlignment="1" pivotButton="0" quotePrefix="0" xfId="4">
      <alignment horizontal="center" vertical="center"/>
    </xf>
    <xf numFmtId="165" fontId="31" fillId="0" borderId="1" applyAlignment="1" pivotButton="0" quotePrefix="0" xfId="4">
      <alignment horizontal="center" vertical="center" wrapText="1"/>
    </xf>
    <xf numFmtId="166" fontId="17" fillId="0" borderId="1" applyAlignment="1" pivotButton="0" quotePrefix="0" xfId="6">
      <alignment horizontal="center" vertical="center"/>
    </xf>
    <xf numFmtId="166" fontId="4" fillId="0" borderId="1" applyAlignment="1" pivotButton="0" quotePrefix="0" xfId="6">
      <alignment horizontal="center" vertical="center"/>
    </xf>
    <xf numFmtId="165" fontId="26" fillId="0" borderId="17" applyAlignment="1" pivotButton="0" quotePrefix="0" xfId="4">
      <alignment horizontal="center" vertical="center"/>
    </xf>
    <xf numFmtId="165" fontId="26" fillId="0" borderId="19" applyAlignment="1" pivotButton="0" quotePrefix="0" xfId="4">
      <alignment horizontal="center" vertical="center"/>
    </xf>
    <xf numFmtId="165" fontId="27" fillId="0" borderId="1" applyAlignment="1" pivotButton="0" quotePrefix="0" xfId="4">
      <alignment vertical="center"/>
    </xf>
    <xf numFmtId="165" fontId="27" fillId="0" borderId="1" applyAlignment="1" pivotButton="0" quotePrefix="0" xfId="4">
      <alignment horizontal="right" vertical="center"/>
    </xf>
    <xf numFmtId="165" fontId="0" fillId="0" borderId="1" applyAlignment="1" pivotButton="0" quotePrefix="0" xfId="4">
      <alignment vertical="center"/>
    </xf>
    <xf numFmtId="165" fontId="0" fillId="0" borderId="29" applyAlignment="1" pivotButton="0" quotePrefix="0" xfId="4">
      <alignment vertical="center"/>
    </xf>
    <xf numFmtId="167" fontId="0" fillId="0" borderId="1" applyAlignment="1" pivotButton="0" quotePrefix="0" xfId="5">
      <alignment vertical="center"/>
    </xf>
    <xf numFmtId="164" fontId="4" fillId="0" borderId="1" applyAlignment="1" pivotButton="0" quotePrefix="0" xfId="6">
      <alignment horizontal="center" vertical="center"/>
    </xf>
    <xf numFmtId="165" fontId="0" fillId="0" borderId="1" applyAlignment="1" pivotButton="0" quotePrefix="0" xfId="4">
      <alignment horizontal="center" vertical="center"/>
    </xf>
    <xf numFmtId="165" fontId="4" fillId="0" borderId="30" applyAlignment="1" pivotButton="0" quotePrefix="0" xfId="6">
      <alignment horizontal="center" vertical="center"/>
    </xf>
    <xf numFmtId="165" fontId="15" fillId="0" borderId="21" applyAlignment="1" pivotButton="0" quotePrefix="0" xfId="1">
      <alignment horizontal="center" vertical="center"/>
    </xf>
    <xf numFmtId="166" fontId="17" fillId="0" borderId="1" applyAlignment="1" pivotButton="0" quotePrefix="0" xfId="6">
      <alignment horizontal="center"/>
    </xf>
    <xf numFmtId="165" fontId="26" fillId="0" borderId="17" applyAlignment="1" pivotButton="0" quotePrefix="0" xfId="4">
      <alignment horizontal="center"/>
    </xf>
    <xf numFmtId="165" fontId="26" fillId="0" borderId="19" applyAlignment="1" pivotButton="0" quotePrefix="0" xfId="4">
      <alignment horizontal="center"/>
    </xf>
    <xf numFmtId="165" fontId="27" fillId="0" borderId="1" pivotButton="0" quotePrefix="0" xfId="4"/>
    <xf numFmtId="165" fontId="27" fillId="0" borderId="1" applyAlignment="1" pivotButton="0" quotePrefix="0" xfId="4">
      <alignment horizontal="right"/>
    </xf>
    <xf numFmtId="165" fontId="32" fillId="0" borderId="1" applyAlignment="1" pivotButton="0" quotePrefix="0" xfId="4">
      <alignment horizontal="right" vertical="center" wrapText="1"/>
    </xf>
    <xf numFmtId="167" fontId="32" fillId="0" borderId="1" applyAlignment="1" pivotButton="0" quotePrefix="0" xfId="5">
      <alignment horizontal="right" vertical="center" wrapText="1"/>
    </xf>
    <xf numFmtId="165" fontId="32" fillId="13" borderId="1" applyAlignment="1" pivotButton="0" quotePrefix="0" xfId="4">
      <alignment horizontal="right" vertical="center" wrapText="1"/>
    </xf>
    <xf numFmtId="167" fontId="32" fillId="13" borderId="1" applyAlignment="1" pivotButton="0" quotePrefix="0" xfId="5">
      <alignment horizontal="right" vertical="center" wrapText="1"/>
    </xf>
    <xf numFmtId="165" fontId="4" fillId="0" borderId="0" applyAlignment="1" pivotButton="0" quotePrefix="0" xfId="6">
      <alignment horizontal="center" vertical="center"/>
    </xf>
    <xf numFmtId="165" fontId="32" fillId="0" borderId="21" applyAlignment="1" pivotButton="0" quotePrefix="0" xfId="4">
      <alignment vertical="center" wrapText="1"/>
    </xf>
    <xf numFmtId="165" fontId="31" fillId="0" borderId="0" applyAlignment="1" pivotButton="0" quotePrefix="0" xfId="4">
      <alignment horizontal="center" vertical="center" wrapText="1"/>
    </xf>
    <xf numFmtId="165" fontId="31" fillId="0" borderId="0" applyAlignment="1" pivotButton="0" quotePrefix="0" xfId="4">
      <alignment vertical="center" wrapText="1"/>
    </xf>
    <xf numFmtId="165" fontId="0" fillId="0" borderId="3" applyAlignment="1" pivotButton="0" quotePrefix="0" xfId="4">
      <alignment vertical="center"/>
    </xf>
    <xf numFmtId="171" fontId="0" fillId="0" borderId="0" pivotButton="0" quotePrefix="0" xfId="1"/>
    <xf numFmtId="172" fontId="0" fillId="0" borderId="0" pivotButton="0" quotePrefix="0" xfId="1"/>
    <xf numFmtId="171" fontId="5" fillId="2" borderId="50" applyAlignment="1" pivotButton="0" quotePrefix="0" xfId="1">
      <alignment horizontal="center" vertical="center" wrapText="1"/>
    </xf>
    <xf numFmtId="172" fontId="5" fillId="23" borderId="50" applyAlignment="1" pivotButton="0" quotePrefix="0" xfId="1">
      <alignment horizontal="center" vertical="center" wrapText="1"/>
    </xf>
    <xf numFmtId="172" fontId="5" fillId="2" borderId="38" applyAlignment="1" pivotButton="0" quotePrefix="0" xfId="1">
      <alignment horizontal="center" vertical="center" wrapText="1"/>
    </xf>
    <xf numFmtId="172" fontId="0" fillId="25" borderId="33" applyAlignment="1" pivotButton="0" quotePrefix="0" xfId="1">
      <alignment vertical="center"/>
    </xf>
    <xf numFmtId="165" fontId="15" fillId="0" borderId="50" applyAlignment="1" pivotButton="0" quotePrefix="0" xfId="1">
      <alignment vertical="center"/>
    </xf>
    <xf numFmtId="165" fontId="0" fillId="25" borderId="33" applyAlignment="1" pivotButton="0" quotePrefix="0" xfId="1">
      <alignment vertical="center"/>
    </xf>
    <xf numFmtId="165" fontId="0" fillId="25" borderId="32" applyAlignment="1" pivotButton="0" quotePrefix="0" xfId="1">
      <alignment vertical="center"/>
    </xf>
    <xf numFmtId="172" fontId="0" fillId="26" borderId="33" applyAlignment="1" pivotButton="0" quotePrefix="0" xfId="1">
      <alignment vertical="center"/>
    </xf>
    <xf numFmtId="165" fontId="0" fillId="26" borderId="33" applyAlignment="1" pivotButton="0" quotePrefix="0" xfId="1">
      <alignment vertical="center"/>
    </xf>
    <xf numFmtId="165" fontId="0" fillId="26" borderId="32" applyAlignment="1" pivotButton="0" quotePrefix="0" xfId="1">
      <alignment vertical="center"/>
    </xf>
    <xf numFmtId="165" fontId="15" fillId="0" borderId="0" applyAlignment="1" pivotButton="0" quotePrefix="0" xfId="1">
      <alignment horizontal="left" vertical="center"/>
    </xf>
    <xf numFmtId="169" fontId="0" fillId="0" borderId="0" pivotButton="0" quotePrefix="0" xfId="0"/>
    <xf numFmtId="165" fontId="0" fillId="25" borderId="30" applyAlignment="1" pivotButton="0" quotePrefix="0" xfId="1">
      <alignment vertical="center"/>
    </xf>
    <xf numFmtId="165" fontId="0" fillId="25" borderId="50" applyAlignment="1" pivotButton="0" quotePrefix="0" xfId="1">
      <alignment vertical="center"/>
    </xf>
    <xf numFmtId="173" fontId="15" fillId="0" borderId="0" applyAlignment="1" pivotButton="0" quotePrefix="0" xfId="1">
      <alignment vertical="center"/>
    </xf>
    <xf numFmtId="171" fontId="15" fillId="0" borderId="41" applyAlignment="1" pivotButton="0" quotePrefix="0" xfId="1">
      <alignment vertical="center"/>
    </xf>
    <xf numFmtId="165" fontId="0" fillId="0" borderId="41" pivotButton="0" quotePrefix="0" xfId="0"/>
    <xf numFmtId="173" fontId="0" fillId="0" borderId="41" pivotButton="0" quotePrefix="0" xfId="0"/>
    <xf numFmtId="174" fontId="0" fillId="0" borderId="0" pivotButton="0" quotePrefix="0" xfId="0"/>
    <xf numFmtId="165" fontId="30" fillId="15" borderId="0" applyAlignment="1" pivotButton="0" quotePrefix="0" xfId="10">
      <alignment vertical="center"/>
    </xf>
    <xf numFmtId="165" fontId="30" fillId="0" borderId="0" applyAlignment="1" pivotButton="0" quotePrefix="0" xfId="10">
      <alignment vertical="center"/>
    </xf>
    <xf numFmtId="165" fontId="28" fillId="15" borderId="0" applyAlignment="1" pivotButton="0" quotePrefix="0" xfId="10">
      <alignment vertical="center"/>
    </xf>
    <xf numFmtId="165" fontId="25" fillId="15" borderId="0" applyAlignment="1" pivotButton="0" quotePrefix="0" xfId="10">
      <alignment horizontal="center" vertical="center"/>
    </xf>
    <xf numFmtId="165" fontId="25" fillId="15" borderId="0" applyAlignment="1" pivotButton="0" quotePrefix="0" xfId="10">
      <alignment vertical="center"/>
    </xf>
    <xf numFmtId="165" fontId="41" fillId="17" borderId="1" applyAlignment="1" pivotButton="0" quotePrefix="0" xfId="10">
      <alignment horizontal="center" vertical="center"/>
    </xf>
    <xf numFmtId="165" fontId="30" fillId="0" borderId="1" applyAlignment="1" pivotButton="0" quotePrefix="0" xfId="10">
      <alignment vertical="center"/>
    </xf>
    <xf numFmtId="165" fontId="30" fillId="0" borderId="50" applyAlignment="1" pivotButton="0" quotePrefix="0" xfId="10">
      <alignment vertical="center"/>
    </xf>
    <xf numFmtId="166" fontId="17" fillId="0" borderId="1" applyAlignment="1" pivotButton="0" quotePrefix="0" xfId="9">
      <alignment horizontal="center" vertical="center"/>
    </xf>
    <xf numFmtId="165" fontId="17" fillId="0" borderId="0" applyAlignment="1" pivotButton="0" quotePrefix="0" xfId="10">
      <alignment vertical="center"/>
    </xf>
    <xf numFmtId="166" fontId="55" fillId="19" borderId="51" applyAlignment="1" pivotButton="0" quotePrefix="0" xfId="13">
      <alignment horizontal="center" vertical="center" wrapText="1"/>
    </xf>
    <xf numFmtId="165" fontId="17" fillId="0" borderId="0" applyAlignment="1" pivotButton="0" quotePrefix="0" xfId="10">
      <alignment vertical="center" wrapText="1"/>
    </xf>
    <xf numFmtId="166" fontId="17" fillId="0" borderId="32" applyAlignment="1" pivotButton="0" quotePrefix="0" xfId="9">
      <alignment horizontal="center" vertical="center"/>
    </xf>
    <xf numFmtId="166" fontId="17" fillId="0" borderId="50" applyAlignment="1" pivotButton="0" quotePrefix="0" xfId="9">
      <alignment horizontal="center" vertical="center"/>
    </xf>
    <xf numFmtId="165" fontId="15" fillId="0" borderId="27" applyAlignment="1" pivotButton="0" quotePrefix="0" xfId="1">
      <alignment vertical="center"/>
    </xf>
    <xf numFmtId="165" fontId="0" fillId="0" borderId="29" pivotButton="0" quotePrefix="0" xfId="0"/>
    <xf numFmtId="165" fontId="18" fillId="0" borderId="29" applyAlignment="1" pivotButton="0" quotePrefix="0" xfId="1">
      <alignment horizontal="center" vertical="center" wrapText="1"/>
    </xf>
    <xf numFmtId="165" fontId="18" fillId="0" borderId="29" applyAlignment="1" pivotButton="0" quotePrefix="0" xfId="0">
      <alignment horizontal="center" vertical="center"/>
    </xf>
  </cellXfs>
  <cellStyles count="16">
    <cellStyle name="표준" xfId="0" builtinId="0"/>
    <cellStyle name="쉼표 [0]" xfId="1" builtinId="6"/>
    <cellStyle name="표준 6" xfId="2"/>
    <cellStyle name="표준 8" xfId="3"/>
    <cellStyle name="쉼표 [0] 2" xfId="4"/>
    <cellStyle name="백분율 2" xfId="5"/>
    <cellStyle name="표준 2" xfId="6"/>
    <cellStyle name="표준 7" xfId="7"/>
    <cellStyle name="쉼표 [0] 2 2" xfId="8"/>
    <cellStyle name="표준 3" xfId="9"/>
    <cellStyle name="쉼표 [0] 3" xfId="10"/>
    <cellStyle name="표준 2 2" xfId="11"/>
    <cellStyle name="백분율 3" xfId="12"/>
    <cellStyle name="常规 19" xfId="13"/>
    <cellStyle name="백분율" xfId="14" builtinId="5"/>
    <cellStyle name="하이퍼링크" xfId="15" builtinId="8"/>
  </cellStyles>
  <dxfs count="159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FFC7CE"/>
          <bgColor rgb="FFFFC7CE"/>
        </patternFill>
      </fill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7" formatCode="0_);[Red]\(0\)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7" formatCode="0_);[Red]\(0\)"/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6" tint="0.7999816888943144"/>
        </patternFill>
      </fill>
      <alignment horizontal="center" vertical="center" wrapText="1"/>
      <border outline="0">
        <left style="thin">
          <color theme="0"/>
        </left>
        <right style="thin">
          <color theme="0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indexed="8"/>
        <extend val="0"/>
        <sz val="9"/>
        <vertAlign val="baseline"/>
        <scheme val="minor"/>
      </font>
      <fill>
        <patternFill patternType="solid">
          <fgColor indexed="64"/>
          <bgColor theme="4" tint="0.7999816888943144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 (본문)"/>
        <charset val="129"/>
        <family val="3"/>
        <strike val="0"/>
        <outline val="0"/>
        <shadow val="0"/>
        <condense val="0"/>
        <color theme="1"/>
        <extend val="0"/>
        <sz val="9"/>
        <vertAlign val="baseline"/>
      </font>
      <numFmt numFmtId="30" formatCode="@"/>
      <fill>
        <patternFill patternType="solid">
          <fgColor indexed="64"/>
          <bgColor rgb="FFFFFFFF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0" tint="-0.0499893185216834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border outline="0">
        <top style="thick">
          <color theme="0"/>
        </top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theme="4" tint="0.5999938962981048"/>
          <bgColor theme="4" tint="0.5999938962981048"/>
        </patternFill>
      </fill>
    </dxf>
    <dxf>
      <numFmt numFmtId="33" formatCode="_-* #,##0_-;\-* #,##0_-;_-* &quot;-&quot;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3" formatCode="_-* #,##0.0_-;\-* #,##0.0_-;_-* &quot;-&quot;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3" formatCode="_-* #,##0_-;\-* #,##0_-;_-* &quot;-&quot;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1" formatCode="_-* #,##0.000_-;\-* #,##0.000_-;_-* &quot;-&quot;_-;_-@_-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indexed="8"/>
        <extend val="0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charset val="129"/>
        <family val="3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rgb="FF1F4E78"/>
          <bgColor rgb="FF1F4E78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  <dxf>
      <numFmt numFmtId="182" formatCode="_-* #,##0.00_-;\-* #,##0.0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top style="thin">
          <color auto="1"/>
        </top>
      </border>
    </dxf>
    <dxf>
      <font>
        <name val="맑은 고딕"/>
        <charset val="129"/>
        <family val="3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1F4E78"/>
          <bgColor rgb="FF1F4E78"/>
        </patternFill>
      </fill>
      <alignment horizontal="center" vertical="center" wrapText="1"/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6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righ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 outline="0">
        <left style="thin">
          <color auto="1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7" formatCode="0_);[Red]\(0\)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7" formatCode="0_);[Red]\(0\)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맑은 고딕"/>
        <charset val="129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wrapText="1"/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numFmt numFmtId="33" formatCode="_-* #,##0_-;\-* #,##0_-;_-* &quot;-&quot;_-;_-@_-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2" formatCode="_-* #,##0.00_-;\-* #,##0.00_-;_-* &quot;-&quot;_-;_-@_-"/>
      <border>
        <left/>
        <right/>
        <top style="thin">
          <color auto="1"/>
        </top>
        <bottom style="thin">
          <color auto="1"/>
        </bottom>
      </border>
    </dxf>
    <dxf>
      <numFmt numFmtId="33" formatCode="_-* #,##0_-;\-* #,##0_-;_-* &quot;-&quot;_-;_-@_-"/>
      <border outline="0">
        <left/>
        <right/>
        <top style="thin">
          <color auto="1"/>
        </top>
        <bottom style="thin">
          <color auto="1"/>
        </bottom>
      </border>
    </dxf>
    <dxf>
      <numFmt numFmtId="33" formatCode="_-* #,##0_-;\-* #,##0_-;_-* &quot;-&quot;_-;_-@_-"/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general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indexed="8"/>
        <extend val="0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  <top style="thin">
          <color auto="1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통합지표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2"/>
          <order val="0"/>
          <tx>
            <strRef>
              <f>통합지표!$F$2</f>
              <strCache>
                <ptCount val="1"/>
                <pt idx="0">
                  <v>회전율</v>
                </pt>
              </strCache>
            </strRef>
          </tx>
          <spPr>
            <a:solidFill xmlns:a="http://schemas.openxmlformats.org/drawingml/2006/main">
              <a:schemeClr val="accent3">
                <a:lumMod val="75000"/>
              </a:schemeClr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통합지표!$B$3:$B$5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통합지표!$F$3:$F$5</f>
              <numCache>
                <formatCode>0.00</formatCode>
                <ptCount val="3"/>
                <pt idx="0">
                  <v>0.1777541260935509</v>
                </pt>
                <pt idx="1">
                  <v>0.3650173611111112</v>
                </pt>
                <pt idx="2">
                  <v>0.5233333333333333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814726431"/>
        <axId val="826797935"/>
      </barChart>
      <lineChart>
        <grouping val="stacked"/>
        <varyColors val="0"/>
        <ser>
          <idx val="3"/>
          <order val="1"/>
          <tx>
            <strRef>
              <f>통합지표!$C$2</f>
              <strCache>
                <ptCount val="1"/>
                <pt idx="0">
                  <v>실출고율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통합지표!$B$3:$B$5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통합지표!$C$3:$C$5</f>
              <numCache>
                <formatCode>0%</formatCode>
                <ptCount val="3"/>
                <pt idx="0">
                  <v>0.75</v>
                </pt>
                <pt idx="1">
                  <v>0.3846153846153846</v>
                </pt>
                <pt idx="2">
                  <v>1.311111111111111</v>
                </pt>
              </numCache>
            </numRef>
          </val>
          <smooth val="0"/>
        </ser>
        <ser>
          <idx val="4"/>
          <order val="2"/>
          <tx>
            <strRef>
              <f>통합지표!$D$2</f>
              <strCache>
                <ptCount val="1"/>
                <pt idx="0">
                  <v>결품률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통합지표!$B$3:$B$5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통합지표!$D$3:$D$5</f>
              <numCache>
                <formatCode>0%</formatCode>
                <ptCount val="3"/>
                <pt idx="0">
                  <v>0.33</v>
                </pt>
                <pt idx="1">
                  <v>0.17</v>
                </pt>
                <pt idx="2">
                  <v>0.33</v>
                </pt>
              </numCache>
            </numRef>
          </val>
          <smooth val="0"/>
        </ser>
        <ser>
          <idx val="5"/>
          <order val="3"/>
          <tx>
            <strRef>
              <f>통합지표!$E$2</f>
              <strCache>
                <ptCount val="1"/>
                <pt idx="0">
                  <v>납기준수</v>
                </pt>
              </strCache>
            </strRef>
          </tx>
          <spPr>
            <a:ln xmlns:a="http://schemas.openxmlformats.org/drawingml/2006/main" w="3492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통합지표!$B$3:$B$5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통합지표!$E$3:$E$5</f>
              <numCache>
                <formatCode>0%</formatCode>
                <ptCount val="3"/>
                <pt idx="0">
                  <v>0.5806451612903226</v>
                </pt>
                <pt idx="1">
                  <v>0.8780487804878049</v>
                </pt>
                <pt idx="2">
                  <v>0.6875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2761599"/>
        <axId val="552760639"/>
      </lineChart>
      <catAx>
        <axId val="81472643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26797935"/>
        <crosses val="autoZero"/>
        <auto val="1"/>
        <lblAlgn val="ctr"/>
        <lblOffset val="100"/>
        <noMultiLvlLbl val="0"/>
      </catAx>
      <valAx>
        <axId val="826797935"/>
        <scaling>
          <orientation val="minMax"/>
        </scaling>
        <delete val="0"/>
        <axPos val="r"/>
        <numFmt formatCode="0.0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14726431"/>
        <crosses val="max"/>
        <crossBetween val="between"/>
      </valAx>
      <catAx>
        <axId val="5527615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52760639"/>
        <crosses val="autoZero"/>
        <auto val="1"/>
        <lblAlgn val="ctr"/>
        <lblOffset val="100"/>
        <noMultiLvlLbl val="0"/>
      </catAx>
      <valAx>
        <axId val="5527606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5276159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 xml:space="preserve">포캐스트 </a:t>
            </a:r>
            <a:r>
              <a:rPr lang="en-US" altLang="ko-KR"/>
              <a:t xml:space="preserve">VS </a:t>
            </a:r>
            <a:r>
              <a:rPr lang="ko-KR" altLang="en-US"/>
              <a:t>실출고율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실출고율!$B$12</f>
              <strCache>
                <ptCount val="1"/>
                <pt idx="0">
                  <v>포캐스트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실출고율!$C$11:$E$11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실출고율!$C$12:$E$12</f>
              <numCache>
                <formatCode>General</formatCode>
                <ptCount val="3"/>
                <pt idx="0">
                  <v>360</v>
                </pt>
                <pt idx="1">
                  <v>520</v>
                </pt>
                <pt idx="2">
                  <v>450</v>
                </pt>
              </numCache>
            </numRef>
          </val>
        </ser>
        <ser>
          <idx val="1"/>
          <order val="1"/>
          <tx>
            <strRef>
              <f>실출고율!$B$13</f>
              <strCache>
                <ptCount val="1"/>
                <pt idx="0">
                  <v>출고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실출고율!$C$11:$E$11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실출고율!$C$13:$E$13</f>
              <numCache>
                <formatCode>General</formatCode>
                <ptCount val="3"/>
                <pt idx="0">
                  <v>270</v>
                </pt>
                <pt idx="1">
                  <v>200</v>
                </pt>
                <pt idx="2">
                  <v>590</v>
                </pt>
              </numCache>
            </numRef>
          </val>
        </ser>
        <dLbls>
          <dLblPos val="inBase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944575903"/>
        <axId val="944575423"/>
      </barChart>
      <lineChart>
        <grouping val="standard"/>
        <varyColors val="0"/>
        <ser>
          <idx val="2"/>
          <order val="2"/>
          <tx>
            <strRef>
              <f>실출고율!$B$14</f>
              <strCache>
                <ptCount val="1"/>
                <pt idx="0">
                  <v>실출고율</v>
                </pt>
              </strCache>
            </strRef>
          </tx>
          <spPr>
            <a:ln xmlns:a="http://schemas.openxmlformats.org/drawingml/2006/main" w="3492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실출고율!$C$11:$E$11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실출고율!$C$14:$E$14</f>
              <numCache>
                <formatCode>0%</formatCode>
                <ptCount val="3"/>
                <pt idx="0">
                  <v>0.75</v>
                </pt>
                <pt idx="1">
                  <v>0.3846153846153846</v>
                </pt>
                <pt idx="2">
                  <v>1.311111111111111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772396991"/>
        <axId val="772397471"/>
      </lineChart>
      <catAx>
        <axId val="94457590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944575423"/>
        <crosses val="autoZero"/>
        <auto val="1"/>
        <lblAlgn val="ctr"/>
        <lblOffset val="100"/>
        <noMultiLvlLbl val="0"/>
      </catAx>
      <valAx>
        <axId val="9445754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944575903"/>
        <crosses val="autoZero"/>
        <crossBetween val="between"/>
      </valAx>
      <catAx>
        <axId val="77239699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772397471"/>
        <crosses val="autoZero"/>
        <auto val="1"/>
        <lblAlgn val="ctr"/>
        <lblOffset val="100"/>
        <noMultiLvlLbl val="0"/>
      </catAx>
      <valAx>
        <axId val="772397471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72396991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 xml:space="preserve">회전율 </a:t>
            </a:r>
            <a:r>
              <a:rPr lang="en-US" altLang="ko-KR"/>
              <a:t xml:space="preserve">&amp; </a:t>
            </a:r>
            <a:r>
              <a:rPr lang="ko-KR" altLang="en-US"/>
              <a:t>회전일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회전율관리!$L$7</f>
              <strCache>
                <ptCount val="1"/>
                <pt idx="0">
                  <v>회전율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회전율관리!$K$8:$K$10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회전율관리!$L$8:$L$10</f>
              <numCache>
                <formatCode>0.00</formatCode>
                <ptCount val="3"/>
                <pt idx="0">
                  <v>0.1777541260935509</v>
                </pt>
                <pt idx="1">
                  <v>0.3650173611111112</v>
                </pt>
                <pt idx="2">
                  <v>0.5233333333333333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25106063"/>
        <axId val="825107503"/>
      </barChart>
      <lineChart>
        <grouping val="standard"/>
        <varyColors val="0"/>
        <ser>
          <idx val="1"/>
          <order val="1"/>
          <tx>
            <strRef>
              <f>회전율관리!$M$7</f>
              <strCache>
                <ptCount val="1"/>
                <pt idx="0">
                  <v>회전일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회전율관리!$K$8:$K$10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회전율관리!$M$8:$M$10</f>
              <numCache>
                <formatCode>_(* #,##0_);_(* \(#,##0\);_(* "-"_);_(@_)</formatCode>
                <ptCount val="3"/>
                <pt idx="0">
                  <v>168.7724536093817</v>
                </pt>
                <pt idx="1">
                  <v>82.18787158145064</v>
                </pt>
                <pt idx="2">
                  <v>57.32484076433121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30176527"/>
        <axId val="130178447"/>
      </lineChart>
      <catAx>
        <axId val="8251060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25107503"/>
        <crosses val="autoZero"/>
        <auto val="1"/>
        <lblAlgn val="ctr"/>
        <lblOffset val="100"/>
        <noMultiLvlLbl val="0"/>
      </catAx>
      <valAx>
        <axId val="8251075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25106063"/>
        <crosses val="autoZero"/>
        <crossBetween val="between"/>
      </valAx>
      <catAx>
        <axId val="130176527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30178447"/>
        <crosses val="autoZero"/>
        <auto val="1"/>
        <lblAlgn val="ctr"/>
        <lblOffset val="100"/>
        <noMultiLvlLbl val="0"/>
      </catAx>
      <valAx>
        <axId val="130178447"/>
        <scaling>
          <orientation val="minMax"/>
        </scaling>
        <delete val="0"/>
        <axPos val="r"/>
        <numFmt formatCode="_(* #,##0_);_(* \(#,##0\);_(* &quot;-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30176527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납기준수율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7"/>
          <order val="0"/>
          <tx>
            <strRef>
              <f>납기준수관리!$N$2</f>
              <strCache>
                <ptCount val="1"/>
                <pt idx="0">
                  <v>총지연일수</v>
                </pt>
              </strCache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납기준수관리!$B$3:$B$5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납기준수관리!$N$3:$N$5</f>
              <numCache>
                <formatCode>General</formatCode>
                <ptCount val="3"/>
                <pt idx="0">
                  <v>26</v>
                </pt>
                <pt idx="1">
                  <v>5</v>
                </pt>
                <pt idx="2">
                  <v>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811218847"/>
        <axId val="811212127"/>
      </barChart>
      <lineChart>
        <grouping val="standard"/>
        <varyColors val="0"/>
        <ser>
          <idx val="8"/>
          <order val="1"/>
          <tx>
            <strRef>
              <f>납기준수관리!$O$2</f>
              <strCache>
                <ptCount val="1"/>
                <pt idx="0">
                  <v>납기준수율</v>
                </pt>
              </strCache>
            </strRef>
          </tx>
          <spPr>
            <a:ln xmlns:a="http://schemas.openxmlformats.org/drawingml/2006/main" w="34925" cap="rnd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납기준수관리!$B$3:$B$5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납기준수관리!$O$3:$O$5</f>
              <numCache>
                <formatCode>0%</formatCode>
                <ptCount val="3"/>
                <pt idx="0">
                  <v>0.5806451612903226</v>
                </pt>
                <pt idx="1">
                  <v>0.8780487804878049</v>
                </pt>
                <pt idx="2">
                  <v>0.6875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75747983"/>
        <axId val="275737903"/>
      </lineChart>
      <catAx>
        <axId val="8112188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11212127"/>
        <crosses val="autoZero"/>
        <auto val="1"/>
        <lblAlgn val="ctr"/>
        <lblOffset val="100"/>
        <noMultiLvlLbl val="0"/>
      </catAx>
      <valAx>
        <axId val="81121212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11218847"/>
        <crosses val="autoZero"/>
        <crossBetween val="between"/>
      </valAx>
      <catAx>
        <axId val="275747983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275737903"/>
        <crosses val="autoZero"/>
        <auto val="1"/>
        <lblAlgn val="ctr"/>
        <lblOffset val="100"/>
        <noMultiLvlLbl val="0"/>
      </catAx>
      <valAx>
        <axId val="275737903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75747983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572222222222222"/>
          <y val="0.8206007582385535"/>
          <w val="0.4966666666666666"/>
          <h val="0.179399241761446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결품률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결품관리!$G$2</f>
              <strCache>
                <ptCount val="1"/>
                <pt idx="0">
                  <v>전체 결품률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결품관리!$H$1:$J$1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결품관리!$H$2:$J$2</f>
              <numCache>
                <formatCode>0%</formatCode>
                <ptCount val="3"/>
                <pt idx="0">
                  <v>0.33</v>
                </pt>
                <pt idx="1">
                  <v>0.17</v>
                </pt>
                <pt idx="2">
                  <v>0.33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755775"/>
        <axId val="18757215"/>
      </barChart>
      <lineChart>
        <grouping val="standard"/>
        <varyColors val="0"/>
        <ser>
          <idx val="1"/>
          <order val="1"/>
          <tx>
            <strRef>
              <f>결품관리!$G$3</f>
              <strCache>
                <ptCount val="1"/>
                <pt idx="0">
                  <v>AX 결품률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결품관리!$H$1:$J$1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결품관리!$H$3:$J$3</f>
              <numCache>
                <formatCode>0%</formatCode>
                <ptCount val="3"/>
                <pt idx="0">
                  <v>0</v>
                </pt>
                <pt idx="1">
                  <v>0.33</v>
                </pt>
                <pt idx="2">
                  <v>0.5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7050463"/>
        <axId val="767050943"/>
      </lineChart>
      <catAx>
        <axId val="18755775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8757215"/>
        <crosses val="autoZero"/>
        <auto val="1"/>
        <lblAlgn val="ctr"/>
        <lblOffset val="100"/>
        <noMultiLvlLbl val="0"/>
      </catAx>
      <valAx>
        <axId val="18757215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8755775"/>
        <crosses val="max"/>
        <crossBetween val="between"/>
      </valAx>
      <catAx>
        <axId val="7670504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67050943"/>
        <crosses val="autoZero"/>
        <auto val="1"/>
        <lblAlgn val="ctr"/>
        <lblOffset val="100"/>
        <noMultiLvlLbl val="0"/>
      </catAx>
      <valAx>
        <axId val="76705094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6705046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수요변동성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0"/>
          <order val="0"/>
          <tx>
            <strRef>
              <f>수요변동성관리!$B$14</f>
              <strCache>
                <ptCount val="1"/>
                <pt idx="0">
                  <v>X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delete val="1"/>
          </dLbls>
          <cat>
            <strRef>
              <f>수요변동성관리!$C$13:$E$13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수요변동성관리!$C$14:$E$14</f>
              <numCache>
                <formatCode>General</formatCode>
                <ptCount val="3"/>
                <pt idx="0">
                  <v>43</v>
                </pt>
                <pt idx="1">
                  <v>40</v>
                </pt>
                <pt idx="2">
                  <v>30</v>
                </pt>
              </numCache>
            </numRef>
          </val>
        </ser>
        <ser>
          <idx val="1"/>
          <order val="1"/>
          <tx>
            <strRef>
              <f>수요변동성관리!$B$15</f>
              <strCache>
                <ptCount val="1"/>
                <pt idx="0">
                  <v>Y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delete val="1"/>
          </dLbls>
          <cat>
            <strRef>
              <f>수요변동성관리!$C$13:$E$13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수요변동성관리!$C$15:$E$15</f>
              <numCache>
                <formatCode>General</formatCode>
                <ptCount val="3"/>
                <pt idx="0">
                  <v>74</v>
                </pt>
                <pt idx="1">
                  <v>55</v>
                </pt>
                <pt idx="2">
                  <v>58</v>
                </pt>
              </numCache>
            </numRef>
          </val>
        </ser>
        <ser>
          <idx val="2"/>
          <order val="2"/>
          <tx>
            <strRef>
              <f>수요변동성관리!$B$16</f>
              <strCache>
                <ptCount val="1"/>
                <pt idx="0">
                  <v>Z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delete val="1"/>
          </dLbls>
          <cat>
            <strRef>
              <f>수요변동성관리!$C$13:$E$13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수요변동성관리!$C$16:$E$16</f>
              <numCache>
                <formatCode>General</formatCode>
                <ptCount val="3"/>
                <pt idx="0">
                  <v>291</v>
                </pt>
                <pt idx="1">
                  <v>313</v>
                </pt>
                <pt idx="2">
                  <v>320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677642671"/>
        <axId val="677649391"/>
      </barChart>
      <catAx>
        <axId val="6776426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677649391"/>
        <crosses val="autoZero"/>
        <auto val="1"/>
        <lblAlgn val="ctr"/>
        <lblOffset val="100"/>
        <noMultiLvlLbl val="0"/>
      </catAx>
      <valAx>
        <axId val="67764939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67764267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 xml:space="preserve">포캐스트 </a:t>
            </a:r>
            <a:r>
              <a:rPr lang="en-US" altLang="ko-KR"/>
              <a:t xml:space="preserve">VS </a:t>
            </a:r>
            <a:r>
              <a:rPr lang="ko-KR" altLang="en-US"/>
              <a:t>실출고율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실출고율!$B$12</f>
              <strCache>
                <ptCount val="1"/>
                <pt idx="0">
                  <v>포캐스트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실출고율!$C$11:$E$11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실출고율!$C$12:$E$12</f>
              <numCache>
                <formatCode>General</formatCode>
                <ptCount val="3"/>
                <pt idx="0">
                  <v>360</v>
                </pt>
                <pt idx="1">
                  <v>520</v>
                </pt>
                <pt idx="2">
                  <v>450</v>
                </pt>
              </numCache>
            </numRef>
          </val>
        </ser>
        <ser>
          <idx val="1"/>
          <order val="1"/>
          <tx>
            <strRef>
              <f>실출고율!$B$13</f>
              <strCache>
                <ptCount val="1"/>
                <pt idx="0">
                  <v>출고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실출고율!$C$11:$E$11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실출고율!$C$13:$E$13</f>
              <numCache>
                <formatCode>General</formatCode>
                <ptCount val="3"/>
                <pt idx="0">
                  <v>270</v>
                </pt>
                <pt idx="1">
                  <v>200</v>
                </pt>
                <pt idx="2">
                  <v>590</v>
                </pt>
              </numCache>
            </numRef>
          </val>
        </ser>
        <dLbls>
          <dLblPos val="inBase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944575903"/>
        <axId val="944575423"/>
      </barChart>
      <lineChart>
        <grouping val="standard"/>
        <varyColors val="0"/>
        <ser>
          <idx val="2"/>
          <order val="2"/>
          <tx>
            <strRef>
              <f>실출고율!$B$14</f>
              <strCache>
                <ptCount val="1"/>
                <pt idx="0">
                  <v>실출고율</v>
                </pt>
              </strCache>
            </strRef>
          </tx>
          <spPr>
            <a:ln xmlns:a="http://schemas.openxmlformats.org/drawingml/2006/main" w="3492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실출고율!$C$11:$E$11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실출고율!$C$14:$E$14</f>
              <numCache>
                <formatCode>0%</formatCode>
                <ptCount val="3"/>
                <pt idx="0">
                  <v>0.75</v>
                </pt>
                <pt idx="1">
                  <v>0.3846153846153846</v>
                </pt>
                <pt idx="2">
                  <v>1.311111111111111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772396991"/>
        <axId val="772397471"/>
      </lineChart>
      <catAx>
        <axId val="94457590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944575423"/>
        <crosses val="autoZero"/>
        <auto val="1"/>
        <lblAlgn val="ctr"/>
        <lblOffset val="100"/>
        <noMultiLvlLbl val="0"/>
      </catAx>
      <valAx>
        <axId val="9445754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944575903"/>
        <crosses val="autoZero"/>
        <crossBetween val="between"/>
      </valAx>
      <catAx>
        <axId val="77239699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772397471"/>
        <crosses val="autoZero"/>
        <auto val="1"/>
        <lblAlgn val="ctr"/>
        <lblOffset val="100"/>
        <noMultiLvlLbl val="0"/>
      </catAx>
      <valAx>
        <axId val="772397471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72396991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결품률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결품관리!$G$2</f>
              <strCache>
                <ptCount val="1"/>
                <pt idx="0">
                  <v>전체 결품률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결품관리!$H$1:$J$1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결품관리!$H$2:$J$2</f>
              <numCache>
                <formatCode>0%</formatCode>
                <ptCount val="3"/>
                <pt idx="0">
                  <v>0.33</v>
                </pt>
                <pt idx="1">
                  <v>0.17</v>
                </pt>
                <pt idx="2">
                  <v>0.33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755775"/>
        <axId val="18757215"/>
      </barChart>
      <lineChart>
        <grouping val="standard"/>
        <varyColors val="0"/>
        <ser>
          <idx val="1"/>
          <order val="1"/>
          <tx>
            <strRef>
              <f>결품관리!$G$3</f>
              <strCache>
                <ptCount val="1"/>
                <pt idx="0">
                  <v>AX 결품률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결품관리!$H$1:$J$1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결품관리!$H$3:$J$3</f>
              <numCache>
                <formatCode>0%</formatCode>
                <ptCount val="3"/>
                <pt idx="0">
                  <v>0</v>
                </pt>
                <pt idx="1">
                  <v>0.33</v>
                </pt>
                <pt idx="2">
                  <v>0.5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7050463"/>
        <axId val="767050943"/>
      </lineChart>
      <catAx>
        <axId val="18755775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8757215"/>
        <crosses val="autoZero"/>
        <auto val="1"/>
        <lblAlgn val="ctr"/>
        <lblOffset val="100"/>
        <noMultiLvlLbl val="0"/>
      </catAx>
      <valAx>
        <axId val="18757215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8755775"/>
        <crosses val="max"/>
        <crossBetween val="between"/>
      </valAx>
      <catAx>
        <axId val="7670504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67050943"/>
        <crosses val="autoZero"/>
        <auto val="1"/>
        <lblAlgn val="ctr"/>
        <lblOffset val="100"/>
        <noMultiLvlLbl val="0"/>
      </catAx>
      <valAx>
        <axId val="76705094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6705046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 xml:space="preserve">회전율 </a:t>
            </a:r>
            <a:r>
              <a:rPr lang="en-US" altLang="ko-KR"/>
              <a:t xml:space="preserve">&amp; </a:t>
            </a:r>
            <a:r>
              <a:rPr lang="ko-KR" altLang="en-US"/>
              <a:t>회전일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회전율관리!$L$7</f>
              <strCache>
                <ptCount val="1"/>
                <pt idx="0">
                  <v>회전율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회전율관리!$K$8:$K$10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회전율관리!$L$8:$L$10</f>
              <numCache>
                <formatCode>0.00</formatCode>
                <ptCount val="3"/>
                <pt idx="0">
                  <v>0.1777541260935509</v>
                </pt>
                <pt idx="1">
                  <v>0.3650173611111112</v>
                </pt>
                <pt idx="2">
                  <v>0.5233333333333333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25106063"/>
        <axId val="825107503"/>
      </barChart>
      <lineChart>
        <grouping val="standard"/>
        <varyColors val="0"/>
        <ser>
          <idx val="1"/>
          <order val="1"/>
          <tx>
            <strRef>
              <f>회전율관리!$M$7</f>
              <strCache>
                <ptCount val="1"/>
                <pt idx="0">
                  <v>회전일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회전율관리!$K$8:$K$10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회전율관리!$M$8:$M$10</f>
              <numCache>
                <formatCode>_(* #,##0_);_(* \(#,##0\);_(* "-"_);_(@_)</formatCode>
                <ptCount val="3"/>
                <pt idx="0">
                  <v>168.7724536093817</v>
                </pt>
                <pt idx="1">
                  <v>82.18787158145064</v>
                </pt>
                <pt idx="2">
                  <v>57.32484076433121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30176527"/>
        <axId val="130178447"/>
      </lineChart>
      <catAx>
        <axId val="8251060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25107503"/>
        <crosses val="autoZero"/>
        <auto val="1"/>
        <lblAlgn val="ctr"/>
        <lblOffset val="100"/>
        <noMultiLvlLbl val="0"/>
      </catAx>
      <valAx>
        <axId val="8251075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25106063"/>
        <crosses val="autoZero"/>
        <crossBetween val="between"/>
      </valAx>
      <catAx>
        <axId val="130176527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30178447"/>
        <crosses val="autoZero"/>
        <auto val="1"/>
        <lblAlgn val="ctr"/>
        <lblOffset val="100"/>
        <noMultiLvlLbl val="0"/>
      </catAx>
      <valAx>
        <axId val="130178447"/>
        <scaling>
          <orientation val="minMax"/>
        </scaling>
        <delete val="0"/>
        <axPos val="r"/>
        <numFmt formatCode="_(* #,##0_);_(* \(#,##0\);_(* &quot;-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30176527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납기준수율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7"/>
          <order val="0"/>
          <tx>
            <strRef>
              <f>납기준수관리!$N$2</f>
              <strCache>
                <ptCount val="1"/>
                <pt idx="0">
                  <v>총지연일수</v>
                </pt>
              </strCache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납기준수관리!$B$3:$B$5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납기준수관리!$N$3:$N$5</f>
              <numCache>
                <formatCode>General</formatCode>
                <ptCount val="3"/>
                <pt idx="0">
                  <v>26</v>
                </pt>
                <pt idx="1">
                  <v>5</v>
                </pt>
                <pt idx="2">
                  <v>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811218847"/>
        <axId val="811212127"/>
      </barChart>
      <lineChart>
        <grouping val="standard"/>
        <varyColors val="0"/>
        <ser>
          <idx val="8"/>
          <order val="1"/>
          <tx>
            <strRef>
              <f>납기준수관리!$O$2</f>
              <strCache>
                <ptCount val="1"/>
                <pt idx="0">
                  <v>납기준수율</v>
                </pt>
              </strCache>
            </strRef>
          </tx>
          <spPr>
            <a:ln xmlns:a="http://schemas.openxmlformats.org/drawingml/2006/main" w="34925" cap="rnd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납기준수관리!$B$3:$B$5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납기준수관리!$O$3:$O$5</f>
              <numCache>
                <formatCode>0%</formatCode>
                <ptCount val="3"/>
                <pt idx="0">
                  <v>0.5806451612903226</v>
                </pt>
                <pt idx="1">
                  <v>0.8780487804878049</v>
                </pt>
                <pt idx="2">
                  <v>0.6875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75747983"/>
        <axId val="275737903"/>
      </lineChart>
      <catAx>
        <axId val="8112188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11212127"/>
        <crosses val="autoZero"/>
        <auto val="1"/>
        <lblAlgn val="ctr"/>
        <lblOffset val="100"/>
        <noMultiLvlLbl val="0"/>
      </catAx>
      <valAx>
        <axId val="81121212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11218847"/>
        <crosses val="autoZero"/>
        <crossBetween val="between"/>
      </valAx>
      <catAx>
        <axId val="275747983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275737903"/>
        <crosses val="autoZero"/>
        <auto val="1"/>
        <lblAlgn val="ctr"/>
        <lblOffset val="100"/>
        <noMultiLvlLbl val="0"/>
      </catAx>
      <valAx>
        <axId val="275737903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75747983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572222222222222"/>
          <y val="0.8206007582385535"/>
          <w val="0.4966666666666666"/>
          <h val="0.179399241761446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600" b="1" i="0" strike="noStrike" kern="1200" spc="100" baseline="0">
                <a:solidFill>
                  <a:sysClr val="window" lastClr="FFFFFF">
                    <a:lumMod val="95000"/>
                  </a:sysClr>
                </a:solidFill>
              </a:rPr>
              <a:t>수요변동성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0"/>
          <order val="0"/>
          <tx>
            <strRef>
              <f>수요변동성관리!$B$14</f>
              <strCache>
                <ptCount val="1"/>
                <pt idx="0">
                  <v>X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수요변동성관리!$C$13:$E$13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수요변동성관리!$C$14:$E$14</f>
              <numCache>
                <formatCode>General</formatCode>
                <ptCount val="3"/>
                <pt idx="0">
                  <v>43</v>
                </pt>
                <pt idx="1">
                  <v>40</v>
                </pt>
                <pt idx="2">
                  <v>30</v>
                </pt>
              </numCache>
            </numRef>
          </val>
        </ser>
        <ser>
          <idx val="1"/>
          <order val="1"/>
          <tx>
            <strRef>
              <f>수요변동성관리!$B$15</f>
              <strCache>
                <ptCount val="1"/>
                <pt idx="0">
                  <v>Y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수요변동성관리!$C$13:$E$13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수요변동성관리!$C$15:$E$15</f>
              <numCache>
                <formatCode>General</formatCode>
                <ptCount val="3"/>
                <pt idx="0">
                  <v>74</v>
                </pt>
                <pt idx="1">
                  <v>55</v>
                </pt>
                <pt idx="2">
                  <v>58</v>
                </pt>
              </numCache>
            </numRef>
          </val>
        </ser>
        <ser>
          <idx val="2"/>
          <order val="2"/>
          <tx>
            <strRef>
              <f>수요변동성관리!$B$16</f>
              <strCache>
                <ptCount val="1"/>
                <pt idx="0">
                  <v>Z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수요변동성관리!$C$13:$E$13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수요변동성관리!$C$16:$E$16</f>
              <numCache>
                <formatCode>General</formatCode>
                <ptCount val="3"/>
                <pt idx="0">
                  <v>291</v>
                </pt>
                <pt idx="1">
                  <v>313</v>
                </pt>
                <pt idx="2">
                  <v>320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117570032"/>
        <axId val="1117563312"/>
      </barChart>
      <catAx>
        <axId val="1117570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117563312"/>
        <crosses val="autoZero"/>
        <auto val="1"/>
        <lblAlgn val="ctr"/>
        <lblOffset val="100"/>
        <noMultiLvlLbl val="0"/>
      </catAx>
      <valAx>
        <axId val="11175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117570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MURO</author>
  </authors>
  <commentList>
    <comment ref="M5" authorId="0" shapeId="0">
      <text>
        <t>권장 수량 으로 현재 재고에 포함안됨.</t>
      </text>
    </comment>
    <comment ref="L20" authorId="0" shapeId="0">
      <text>
        <t>재고가 소진되기까지 걸리는 기간</t>
      </text>
    </comment>
  </commentList>
</comments>
</file>

<file path=xl/comments/comment2.xml><?xml version="1.0" encoding="utf-8"?>
<comments xmlns="http://schemas.openxmlformats.org/spreadsheetml/2006/main">
  <authors>
    <author>MURO</author>
  </authors>
  <commentList>
    <comment ref="E1" authorId="0" shapeId="0">
      <text>
        <t>전년도 출고물량의 표준편차</t>
      </text>
    </comment>
    <comment ref="J2" authorId="0" shapeId="0">
      <text>
        <t>재고 축소 목적으로 XYZ 보정계수 추가적용 (표 참조)</t>
      </text>
    </comment>
  </commentList>
</comments>
</file>

<file path=xl/comments/comment3.xml><?xml version="1.0" encoding="utf-8"?>
<comments xmlns="http://schemas.openxmlformats.org/spreadsheetml/2006/main">
  <authors>
    <author>MURO</author>
  </authors>
  <commentList>
    <comment ref="I1" authorId="0" shapeId="0">
      <text>
        <t xml:space="preserve">현재고에 포함된 수량 아니며, 가이드 숫자임(권장)
</t>
      </text>
    </comment>
    <comment ref="K1" authorId="0" shapeId="0">
      <text>
        <t>일정기간동안 재고가 몇번 판매되는지</t>
      </text>
    </comment>
    <comment ref="L1" authorId="0" shapeId="0">
      <text>
        <t>침구업체 적정 연회전율 6 전후</t>
      </text>
    </comment>
  </commentList>
</comments>
</file>

<file path=xl/comments/comment4.xml><?xml version="1.0" encoding="utf-8"?>
<comments xmlns="http://schemas.openxmlformats.org/spreadsheetml/2006/main">
  <authors>
    <author>MURO</author>
  </authors>
  <commentList>
    <comment ref="E1" authorId="0" shapeId="0">
      <text>
        <t>브랜드팀과 계절 정립해야함</t>
      </text>
    </comment>
    <comment ref="H1" authorId="0" shapeId="0">
      <text>
        <t>최근 3개월 평균 일일 출고량</t>
      </text>
    </comment>
    <comment ref="M1" authorId="0" shapeId="0">
      <text>
        <t>(일평균출고x리드타임x사이클보정계수)+안전재고 -&gt; 오른쪽 보정계수 표 참조</t>
      </text>
    </comment>
    <comment ref="O1" authorId="0" shapeId="0">
      <text>
        <t>MOQ 예시 입력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22</col>
      <colOff>29882</colOff>
      <row>4</row>
      <rowOff>169193</rowOff>
    </from>
    <to>
      <col>33</col>
      <colOff>98493</colOff>
      <row>10</row>
      <rowOff>49106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421411" y="819134"/>
          <a:ext cx="7300140" cy="12395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38100</colOff>
      <row>0</row>
      <rowOff>0</rowOff>
    </from>
    <to>
      <col>18</col>
      <colOff>152400</colOff>
      <row>17</row>
      <rowOff>198777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445053</colOff>
      <row>18</row>
      <rowOff>25401</rowOff>
    </from>
    <to>
      <col>18</col>
      <colOff>146051</colOff>
      <row>30</row>
      <rowOff>95250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64328</colOff>
      <row>18</row>
      <rowOff>19051</rowOff>
    </from>
    <to>
      <col>9</col>
      <colOff>419100</colOff>
      <row>30</row>
      <rowOff>85311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9</col>
      <colOff>438150</colOff>
      <row>30</row>
      <rowOff>134178</rowOff>
    </from>
    <to>
      <col>18</col>
      <colOff>158750</colOff>
      <row>43</row>
      <rowOff>67916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82550</colOff>
      <row>30</row>
      <rowOff>127000</rowOff>
    </from>
    <to>
      <col>9</col>
      <colOff>400050</colOff>
      <row>43</row>
      <rowOff>57150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18</col>
      <colOff>209550</colOff>
      <row>30</row>
      <rowOff>120650</rowOff>
    </from>
    <to>
      <col>26</col>
      <colOff>107950</colOff>
      <row>43</row>
      <rowOff>57150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</col>
      <colOff>11048</colOff>
      <row>15</row>
      <rowOff>0</rowOff>
    </from>
    <to>
      <col>7</col>
      <colOff>988391</colOff>
      <row>28</row>
      <rowOff>173383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11</col>
      <colOff>92807</colOff>
      <row>14</row>
      <rowOff>156313</rowOff>
    </from>
    <to>
      <col>18</col>
      <colOff>58615</colOff>
      <row>27</row>
      <rowOff>105513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0</col>
      <colOff>0</colOff>
      <row>6</row>
      <rowOff>167545</rowOff>
    </from>
    <to>
      <col>7</col>
      <colOff>752535</colOff>
      <row>21</row>
      <rowOff>117849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0</col>
      <colOff>39077</colOff>
      <row>5</row>
      <rowOff>92807</rowOff>
    </from>
    <to>
      <col>8</col>
      <colOff>459154</colOff>
      <row>19</row>
      <rowOff>199292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0</col>
      <colOff>0</colOff>
      <row>6</row>
      <rowOff>977</rowOff>
    </from>
    <to>
      <col>9</col>
      <colOff>258885</colOff>
      <row>18</row>
      <rowOff>162658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2</col>
      <colOff>219808</colOff>
      <row>20</row>
      <rowOff>49512</rowOff>
    </from>
    <to>
      <col>10</col>
      <colOff>1610823</colOff>
      <row>27</row>
      <rowOff>81899</rowOff>
    </to>
    <pic>
      <nvPicPr>
        <cNvPr id="3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9654" y="4347974"/>
          <a:ext cx="6309823" cy="15368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표7" displayName="표7" ref="A1:J100" headerRowCount="1" totalsRowShown="0" tableBorderDxfId="158">
  <autoFilter ref="A1:J100"/>
  <tableColumns count="10">
    <tableColumn id="1" name="SKU_x000a_코드" dataDxfId="157" dataCellStyle="표준 6"/>
    <tableColumn id="2" name="제품명" dataDxfId="156"/>
    <tableColumn id="3" name="리드타임_x000a_(일)" dataDxfId="155"/>
    <tableColumn id="4" name="일평균_x000a_판매" dataDxfId="154" dataCellStyle="쉼표 [0]">
      <calculatedColumnFormula>30/SUMIF('ABC-XYZ분석 (2)'!C:C,안전재고!A2,'ABC-XYZ분석 (2)'!X:X)</calculatedColumnFormula>
    </tableColumn>
    <tableColumn id="5" name="수요_x000a_표준편차" dataDxfId="153" dataCellStyle="쉼표 [0]">
      <calculatedColumnFormula>IFERROR('ABC-XYZ분석 (2)'!AE2/30,0)</calculatedColumnFormula>
    </tableColumn>
    <tableColumn id="8" name="ABC" dataDxfId="152" dataCellStyle="쉼표 [0]">
      <calculatedColumnFormula>_xlfn.XLOOKUP(표7[[#This Row],[SKU
코드]],'ABC-XYZ분석 (2)'!C:C,'ABC-XYZ분석 (2)'!AC:AC)</calculatedColumnFormula>
    </tableColumn>
    <tableColumn id="10" name="XYZ" dataDxfId="151" dataCellStyle="쉼표 [0]">
      <calculatedColumnFormula>_xlfn.XLOOKUP(표7[[#This Row],[SKU
코드]],'ABC-XYZ분석 (2)'!C:C,'ABC-XYZ분석 (2)'!AG:AG)</calculatedColumnFormula>
    </tableColumn>
    <tableColumn id="11" name="안전_x000a_계수" dataDxfId="150" dataCellStyle="쉼표 [0]">
      <calculatedColumnFormula>_xlfn.XLOOKUP(표7[[#This Row],[ABC]],L:L,N:N)</calculatedColumnFormula>
    </tableColumn>
    <tableColumn id="6" name="안전재고" dataDxfId="149" dataCellStyle="쉼표 [0]">
      <calculatedColumnFormula>ROUND(E2*SQRT(C2)*표7[[#This Row],[안전
계수]]*_xlfn.XLOOKUP(표7[[#This Row],[XYZ]],Q:Q,R:R),0)</calculatedColumnFormula>
    </tableColumn>
    <tableColumn id="7" name="안전재고 계산식" dataDxfId="14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표9" displayName="표9" ref="A1:AK100" headerRowCount="1" totalsRowShown="0" headerRowDxfId="147" headerRowBorderDxfId="146" tableBorderDxfId="145" headerRowCellStyle="쉼표 [0] 2">
  <autoFilter ref="A1:AK100"/>
  <sortState ref="A2:AK100">
    <sortCondition descending="1" ref="Z1:Z100"/>
  </sortState>
  <tableColumns count="37">
    <tableColumn id="1" name="#" dataDxfId="144" dataCellStyle="표준 2"/>
    <tableColumn id="2" name="현황" dataDxfId="143" dataCellStyle="표준 2"/>
    <tableColumn id="3" name="SKU#" dataDxfId="142" dataCellStyle="표준 2"/>
    <tableColumn id="4" name="사방넷#" dataDxfId="141" dataCellStyle="표준 2"/>
    <tableColumn id="5" name="바코드" dataDxfId="140" dataCellStyle="표준 2"/>
    <tableColumn id="6" name="최종_x000a_상품명" dataDxfId="139" dataCellStyle="표준 2"/>
    <tableColumn id="7" name="상품명" dataDxfId="138" dataCellStyle="표준 2"/>
    <tableColumn id="8" name="구분" dataDxfId="137" dataCellStyle="표준 2"/>
    <tableColumn id="9" name="계절" dataDxfId="136" dataCellStyle="표준 2"/>
    <tableColumn id="10" name="25년_x000a_1월" dataDxfId="135" dataCellStyle="쉼표 [0] 2"/>
    <tableColumn id="11" name="25년_x000a_2월" dataDxfId="134" dataCellStyle="쉼표 [0] 2"/>
    <tableColumn id="12" name="25년_x000a_3월" dataDxfId="133" dataCellStyle="쉼표 [0] 2"/>
    <tableColumn id="13" name="25년_x000a_4월" dataDxfId="132" dataCellStyle="쉼표 [0] 2"/>
    <tableColumn id="14" name="25년_x000a_5월" dataDxfId="131" dataCellStyle="쉼표 [0] 2"/>
    <tableColumn id="15" name="25년_x000a_6월" dataDxfId="130" dataCellStyle="쉼표 [0] 2"/>
    <tableColumn id="16" name="25년_x000a_7월" dataDxfId="129" dataCellStyle="쉼표 [0] 2"/>
    <tableColumn id="17" name="25년_x000a_8월" dataDxfId="128" dataCellStyle="쉼표 [0] 2"/>
    <tableColumn id="18" name="25년_x000a_9월" dataDxfId="127" dataCellStyle="쉼표 [0] 2"/>
    <tableColumn id="19" name="25년_x000a_10월" dataDxfId="126" dataCellStyle="쉼표 [0] 2"/>
    <tableColumn id="20" name="25년_x000a_11월" dataDxfId="125" dataCellStyle="쉼표 [0] 2"/>
    <tableColumn id="21" name="25년_x000a_12월" dataDxfId="124" dataCellStyle="쉼표 [0] 2"/>
    <tableColumn id="22" name="매입_x000a_원가" dataDxfId="123" dataCellStyle="쉼표 [0] 2"/>
    <tableColumn id="23" name="25년 연간_x000a_판매수량" dataDxfId="122" dataCellStyle="쉼표 [0] 2">
      <calculatedColumnFormula>SUM(J2:U2)</calculatedColumnFormula>
    </tableColumn>
    <tableColumn id="24" name="최근3개월 _x000a_월 출고평균량" dataDxfId="121" dataCellStyle="쉼표 [0] 2">
      <calculatedColumnFormula>AVERAGE(S2:U2)</calculatedColumnFormula>
    </tableColumn>
    <tableColumn id="25" name="10~12월_x000a_출고원가" dataDxfId="120" dataCellStyle="쉼표 [0] 2">
      <calculatedColumnFormula>(S2+T2+U2)*V2</calculatedColumnFormula>
    </tableColumn>
    <tableColumn id="26" name="25년 연간_x000a_출고원가" dataDxfId="119" dataCellStyle="쉼표 [0] 2">
      <calculatedColumnFormula>W2*V2</calculatedColumnFormula>
    </tableColumn>
    <tableColumn id="27" name="출고원가_x000a_비중(%)" dataDxfId="118" dataCellStyle="백분율 2"/>
    <tableColumn id="28" name="25년 출고원가_x000a_누적(%)" dataDxfId="117" dataCellStyle="백분율 2">
      <calculatedColumnFormula>SUM($AA$2:AA2)</calculatedColumnFormula>
    </tableColumn>
    <tableColumn id="29" name="ABC_x000a_등급" dataDxfId="116" dataCellStyle="표준 2">
      <calculatedColumnFormula>IF(AB2&lt;=70%,"A",IF(AB2&lt;=90%,"B","C"))</calculatedColumnFormula>
    </tableColumn>
    <tableColumn id="30" name="25년 월평균_x000a_판매수량" dataDxfId="115" dataCellStyle="쉼표 [0] 2">
      <calculatedColumnFormula>AVERAGE(J2:U2)</calculatedColumnFormula>
    </tableColumn>
    <tableColumn id="31" name="표준_x000a_편차" dataDxfId="114" dataCellStyle="쉼표 [0] 2">
      <calculatedColumnFormula>_xlfn.STDEV.P(J2:U2)</calculatedColumnFormula>
    </tableColumn>
    <tableColumn id="32" name="변동계수_x000a_(CV)" dataDxfId="113" dataCellStyle="표준 2">
      <calculatedColumnFormula>IF(AD2=0,0,AE2/AD2)</calculatedColumnFormula>
    </tableColumn>
    <tableColumn id="33" name="XYZ_x000a_등급" dataDxfId="112" dataCellStyle="표준 2"/>
    <tableColumn id="34" name="ABC-XYZ_x000a_등급" dataDxfId="111" dataCellStyle="표준 2">
      <calculatedColumnFormula>AC2&amp;AG2</calculatedColumnFormula>
    </tableColumn>
    <tableColumn id="35" name="전년 대비 성장률_x000a_(1월발주/3월입고)" dataDxfId="110" dataCellStyle="백분율 2">
      <calculatedColumnFormula>IF(AH2="CZ",0%,IF(AH2="BZ",0%,IF(AH2="CY",5%,IF(I2="사계절",10%,IF(I2="봄",20%,IF(I2="여름",0%,IF(I2="가을",0%,IF(I2="겨울",0%,10%))))))))</calculatedColumnFormula>
    </tableColumn>
    <tableColumn id="36" name="발주여부" dataDxfId="109" dataCellStyle="백분율 2">
      <calculatedColumnFormula>IF(AI2=0,"발주안함","발주")</calculatedColumnFormula>
    </tableColumn>
    <tableColumn id="37" name="재고전략" dataDxfId="108" dataCellStyle="표준 2">
      <calculatedColumnFormula>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표3" displayName="표3" ref="B1:R100" headerRowCount="1" totalsRowShown="0" headerRowDxfId="107" tableBorderDxfId="106">
  <autoFilter ref="B1:R100"/>
  <tableColumns count="17">
    <tableColumn id="1" name="구분"/>
    <tableColumn id="2" name="SKU코드" dataDxfId="105"/>
    <tableColumn id="3" name="제품명"/>
    <tableColumn id="4" name="카테고리"/>
    <tableColumn id="5" name="ABC_x000a_등급">
      <calculatedColumnFormula>_xlfn.XLOOKUP(표3[[#This Row],[SKU코드]],'ABC-XYZ분석 (2)'!C:C,'ABC-XYZ분석 (2)'!AC:AC)</calculatedColumnFormula>
    </tableColumn>
    <tableColumn id="6" name="XYZ_x000a_등급"/>
    <tableColumn id="7" name="현재고"/>
    <tableColumn id="8" name="안전재고"/>
    <tableColumn id="9" name="최근3개월 _x000a_월 평균출고"/>
    <tableColumn id="10" name="월 재고회전율_x000a_(Turnover rate)" dataDxfId="104" dataCellStyle="쉼표 [0]"/>
    <tableColumn id="11" name="연 재고회전율" dataDxfId="103" dataCellStyle="쉼표 [0]"/>
    <tableColumn id="12" name="재고회전일_x000a_(Days of Inventory)" dataDxfId="102"/>
    <tableColumn id="13" name="재고상태"/>
    <tableColumn id="14" name="회전율_x000a_평가"/>
    <tableColumn id="15" name="권장조치"/>
    <tableColumn id="16" name="매입원가"/>
    <tableColumn id="17" name="재고금액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표11" displayName="표11" ref="B1:P100" headerRowCount="1" totalsRowShown="0" headerRowDxfId="101">
  <autoFilter ref="B1:P100"/>
  <tableColumns count="15">
    <tableColumn id="1" name="SKU코드" dataDxfId="100" dataCellStyle="표준 6"/>
    <tableColumn id="2" name="제품명" dataDxfId="99"/>
    <tableColumn id="3" name="카테고리" dataDxfId="98"/>
    <tableColumn id="4" name="계절" dataDxfId="97">
      <calculatedColumnFormula>_xlfn.XLOOKUP(표11[[#This Row],[SKU코드]],'ABC-XYZ분석 (2)'!C:C,'ABC-XYZ분석 (2)'!I:I)</calculatedColumnFormula>
    </tableColumn>
    <tableColumn id="5" name="ABC_x000a_등급" dataDxfId="96">
      <calculatedColumnFormula>_xlfn.XLOOKUP(표11[[#This Row],[SKU코드]],'ABC-XYZ분석 (2)'!C:C,'ABC-XYZ분석 (2)'!AC:AC)</calculatedColumnFormula>
    </tableColumn>
    <tableColumn id="6" name="XYZ_x000a_등급" dataDxfId="95">
      <calculatedColumnFormula>_xlfn.XLOOKUP(표11[[#This Row],[SKU코드]],'ABC-XYZ분석 (2)'!C:C,'ABC-XYZ분석 (2)'!AG:AG)</calculatedColumnFormula>
    </tableColumn>
    <tableColumn id="7" name="평균_x000a_일출고량" dataDxfId="94" dataCellStyle="쉼표 [0]">
      <calculatedColumnFormula>SUMIF('ABC-XYZ분석 (2)'!C:C,표11[[#This Row],[SKU코드]],'ABC-XYZ분석 (2)'!X:X)/30</calculatedColumnFormula>
    </tableColumn>
    <tableColumn id="8" name="리드_x000a_타임" dataDxfId="93"/>
    <tableColumn id="9" name="발주_x000a_주기" dataDxfId="92"/>
    <tableColumn id="10" name="안전재고" dataDxfId="91">
      <calculatedColumnFormula>SUMIF(안전재고!A:A,표11[[#This Row],[SKU코드]],안전재고!I:I)</calculatedColumnFormula>
    </tableColumn>
    <tableColumn id="11" name="현재고" dataDxfId="90">
      <calculatedColumnFormula>SUMIF(재고!C:C,공급물량!B2,재고!I:I)</calculatedColumnFormula>
    </tableColumn>
    <tableColumn id="15" name="적정재고" dataDxfId="89">
      <calculatedColumnFormula>(표11[[#This Row],[평균
일출고량]]*표11[[#This Row],[리드
타임]])+표11[[#This Row],[안전재고]]</calculatedColumnFormula>
    </tableColumn>
    <tableColumn id="12" name="발주량" dataDxfId="88">
      <calculatedColumnFormula>MAX(0,(표11[[#This Row],[적정재고]]-표11[[#This Row],[현재고]]))</calculatedColumnFormula>
    </tableColumn>
    <tableColumn id="13" name="MOQ" dataDxfId="87"/>
    <tableColumn id="14" name="MOQ감안 발주량" dataDxfId="86">
      <calculatedColumnFormula>CEILING(표11[[#This Row],[발주량]],표11[[#This Row],[MOQ]])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표6" displayName="표6" ref="A1:J1000" headerRowCount="1" totalsRowShown="0" headerRowDxfId="85" tableBorderDxfId="84">
  <autoFilter ref="A1:J1000"/>
  <tableColumns count="10">
    <tableColumn id="1" name="발주일"/>
    <tableColumn id="2" name="SKU#"/>
    <tableColumn id="3" name="제품명"/>
    <tableColumn id="4" name="ABC/XYZ"/>
    <tableColumn id="5" name="현재고"/>
    <tableColumn id="6" name="발주량"/>
    <tableColumn id="7" name="구매원가"/>
    <tableColumn id="8" name="발주 전 재고소진일"/>
    <tableColumn id="9" name="발주 후 재고소진일"/>
    <tableColumn id="10" name="예상입고일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표2" displayName="표2" ref="A1:I101" headerRowCount="1" totalsRowShown="0" headerRowDxfId="83" dataDxfId="82" headerRowCellStyle="표준 2 2" dataCellStyle="표준 2 2">
  <tableColumns count="9">
    <tableColumn id="1" name="열1" dataDxfId="81" dataCellStyle="표준 3"/>
    <tableColumn id="2" name="열2" dataDxfId="80" dataCellStyle="표준 3"/>
    <tableColumn id="3" name="열3" dataDxfId="79" dataCellStyle="표준 6"/>
    <tableColumn id="4" name="열4" dataDxfId="78" dataCellStyle="표준 3"/>
    <tableColumn id="5" name="열5" dataDxfId="77" dataCellStyle="표준 3"/>
    <tableColumn id="6" name="열6" dataDxfId="76" dataCellStyle="표준 3"/>
    <tableColumn id="7" name="열7" dataDxfId="75" dataCellStyle="표준 3"/>
    <tableColumn id="8" name="열8" dataDxfId="74" dataCellStyle="쉼표 [0] 3"/>
    <tableColumn id="9" name=" 16,185 " dataDxfId="73" dataCellStyle="표준 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표1" displayName="표1" ref="A1:V1000" headerRowCount="1" totalsRowShown="0" headerRowDxfId="72" dataDxfId="71" headerRowCellStyle="常规 19" dataCellStyle="표준 3">
  <autoFilter ref="A1:V1000"/>
  <tableColumns count="22">
    <tableColumn id="1" name="Brand" dataDxfId="70" dataCellStyle="표준 3"/>
    <tableColumn id="2" name="사방넷#" dataDxfId="69" dataCellStyle="표준 3"/>
    <tableColumn id="3" name="SKU#" dataDxfId="68" dataCellStyle="표준 3"/>
    <tableColumn id="4" name="ITEM" dataDxfId="67" dataCellStyle="표준 3"/>
    <tableColumn id="5" name="COLOR" dataDxfId="66" dataCellStyle="표준 3"/>
    <tableColumn id="6" name="SIZE" dataDxfId="65" dataCellStyle="표준 3"/>
    <tableColumn id="7" name="열1" dataDxfId="64" dataCellStyle="표준 3"/>
    <tableColumn id="8" name="Container Q'ty" dataDxfId="63" dataCellStyle="표준 3"/>
    <tableColumn id="9" name="CARTON" dataDxfId="62" dataCellStyle="표준 3"/>
    <tableColumn id="10" name="Q'TY" dataDxfId="61" dataCellStyle="표준 3"/>
    <tableColumn id="11" name="Invoice#" dataDxfId="60" dataCellStyle="표준 3"/>
    <tableColumn id="12" name="Unit Price($)" dataDxfId="59" dataCellStyle="표준 3"/>
    <tableColumn id="13" name="Invoice Amount($)" dataDxfId="58" dataCellStyle="표준 3"/>
    <tableColumn id="14" name="신고필증#" dataDxfId="57" dataCellStyle="표준 3"/>
    <tableColumn id="15" name="B/L#" dataDxfId="56" dataCellStyle="표준 3"/>
    <tableColumn id="16" name="CNTR#" dataDxfId="55" dataCellStyle="표준 3"/>
    <tableColumn id="17" name="입항예정일" dataDxfId="54" dataCellStyle="표준 3"/>
    <tableColumn id="18" name="입항일" dataDxfId="53" dataCellStyle="표준 3"/>
    <tableColumn id="19" name="창고입고_x000a_예정일" dataDxfId="52" dataCellStyle="표준 3"/>
    <tableColumn id="20" name="창고실입고일" dataDxfId="51" dataCellStyle="표준 3"/>
    <tableColumn id="22" name="년월_x000a_(예정)" dataDxfId="50" dataCellStyle="표준 3">
      <calculatedColumnFormula>TEXT(Q2,"YYMM")</calculatedColumnFormula>
    </tableColumn>
    <tableColumn id="23" name="년월_x000a_(실입고)" dataDxfId="49" dataCellStyle="표준 3">
      <calculatedColumnFormula>TEXT(T2,"YYMM")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44"/>
  <sheetViews>
    <sheetView showGridLines="0" zoomScale="145" zoomScaleNormal="14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9" sqref="F9"/>
    </sheetView>
  </sheetViews>
  <sheetFormatPr baseColWidth="8" defaultColWidth="8.625" defaultRowHeight="16.5"/>
  <cols>
    <col width="0.375" customWidth="1" style="222" min="1" max="1"/>
    <col width="12.375" bestFit="1" customWidth="1" style="222" min="2" max="2"/>
    <col width="29.875" bestFit="1" customWidth="1" style="222" min="3" max="3"/>
    <col width="13.125" bestFit="1" customWidth="1" style="222" min="4" max="4"/>
    <col width="20.375" customWidth="1" style="222" min="5" max="5"/>
    <col width="8.625" customWidth="1" style="222" min="6" max="6"/>
    <col width="6.125" bestFit="1" customWidth="1" style="222" min="7" max="7"/>
    <col width="19.5" bestFit="1" customWidth="1" style="222" min="8" max="8"/>
    <col width="30.875" bestFit="1" customWidth="1" style="222" min="9" max="9"/>
    <col width="8.625" customWidth="1" style="222" min="10" max="12"/>
    <col width="8.625" customWidth="1" style="222" min="13" max="16384"/>
  </cols>
  <sheetData>
    <row r="1" ht="2.45" customHeight="1" s="480"/>
    <row r="2">
      <c r="B2" s="210" t="inlineStr">
        <is>
          <t>PSI 시트 구성</t>
        </is>
      </c>
      <c r="E2" s="310" t="n">
        <v>46057</v>
      </c>
    </row>
    <row r="3" customFormat="1" s="220">
      <c r="B3" s="340" t="inlineStr">
        <is>
          <t>구분</t>
        </is>
      </c>
      <c r="C3" s="340" t="inlineStr">
        <is>
          <t>내용</t>
        </is>
      </c>
      <c r="D3" s="219" t="inlineStr">
        <is>
          <t>비고</t>
        </is>
      </c>
      <c r="E3" s="219" t="inlineStr">
        <is>
          <t>KPI_평가항목/성과지표</t>
        </is>
      </c>
      <c r="G3" s="210" t="inlineStr">
        <is>
          <t>SCM 주 업무</t>
        </is>
      </c>
    </row>
    <row r="4">
      <c r="B4" s="341" t="inlineStr">
        <is>
          <t>대시보드</t>
        </is>
      </c>
      <c r="C4" s="342" t="inlineStr">
        <is>
          <t>재고지표, 상태별 현황</t>
        </is>
      </c>
      <c r="D4" s="336" t="inlineStr">
        <is>
          <t>-</t>
        </is>
      </c>
      <c r="E4" s="336" t="inlineStr">
        <is>
          <t>-</t>
        </is>
      </c>
      <c r="G4" s="220" t="inlineStr">
        <is>
          <t>주기</t>
        </is>
      </c>
      <c r="H4" s="220" t="inlineStr">
        <is>
          <t>목적</t>
        </is>
      </c>
      <c r="I4" s="220" t="inlineStr">
        <is>
          <t>비고</t>
        </is>
      </c>
      <c r="J4" s="220" t="n"/>
    </row>
    <row r="5">
      <c r="B5" s="333" t="inlineStr">
        <is>
          <t>PSI_메인</t>
        </is>
      </c>
      <c r="C5" s="342" t="inlineStr">
        <is>
          <t>월별 공급계획, 입출고, 재고 현황</t>
        </is>
      </c>
      <c r="D5" s="336" t="inlineStr">
        <is>
          <t>-</t>
        </is>
      </c>
      <c r="E5" s="336" t="inlineStr">
        <is>
          <t>-</t>
        </is>
      </c>
      <c r="G5" s="222" t="inlineStr">
        <is>
          <t>루틴</t>
        </is>
      </c>
      <c r="H5" s="222" t="inlineStr">
        <is>
          <t>재고관리</t>
        </is>
      </c>
      <c r="I5" s="222" t="inlineStr">
        <is>
          <t>데일리 현황 체크 및 필요시 정량발주</t>
        </is>
      </c>
    </row>
    <row r="6">
      <c r="B6" s="333" t="inlineStr">
        <is>
          <t>ABC-XYZ분석</t>
        </is>
      </c>
      <c r="C6" s="342" t="inlineStr">
        <is>
          <t>구분에 따른 재고전략</t>
        </is>
      </c>
      <c r="D6" s="336" t="inlineStr">
        <is>
          <t>-</t>
        </is>
      </c>
      <c r="E6" s="336" t="inlineStr">
        <is>
          <t>-</t>
        </is>
      </c>
      <c r="G6" s="222" t="inlineStr">
        <is>
          <t>루틴</t>
        </is>
      </c>
      <c r="H6" s="222" t="inlineStr">
        <is>
          <t>납기관리</t>
        </is>
      </c>
      <c r="I6" s="222" t="inlineStr">
        <is>
          <t>발생시 마다 기재 관리</t>
        </is>
      </c>
    </row>
    <row r="7">
      <c r="B7" s="333" t="inlineStr">
        <is>
          <t>안전재고</t>
        </is>
      </c>
      <c r="C7" s="342" t="inlineStr">
        <is>
          <t>안전재고 산출</t>
        </is>
      </c>
      <c r="D7" s="336" t="inlineStr">
        <is>
          <t>26년_KPI_지표</t>
        </is>
      </c>
      <c r="E7" s="336" t="inlineStr">
        <is>
          <t>안전재고 준수율</t>
        </is>
      </c>
      <c r="G7" s="222" t="inlineStr">
        <is>
          <t>주별</t>
        </is>
      </c>
      <c r="H7" s="222" t="inlineStr">
        <is>
          <t>재고소진 독려</t>
        </is>
      </c>
      <c r="I7" s="222" t="inlineStr">
        <is>
          <t>대시보드 또는 재고분석 시트 이용</t>
        </is>
      </c>
    </row>
    <row r="8">
      <c r="B8" s="333" t="inlineStr">
        <is>
          <t>재고분석</t>
        </is>
      </c>
      <c r="C8" s="342" t="inlineStr">
        <is>
          <t>재고상태에 따른 조치 가이드</t>
        </is>
      </c>
      <c r="D8" s="336" t="inlineStr">
        <is>
          <t>26년_KPI_지표</t>
        </is>
      </c>
      <c r="E8" s="337" t="inlineStr">
        <is>
          <t>적정재고 달성률</t>
        </is>
      </c>
      <c r="G8" s="222" t="inlineStr">
        <is>
          <t>월별</t>
        </is>
      </c>
      <c r="H8" s="222" t="inlineStr">
        <is>
          <t>공급물량 산출 방식</t>
        </is>
      </c>
      <c r="I8" s="222" t="inlineStr">
        <is>
          <t>브랜드팀에 가이드 제시(S&amp;OP)</t>
        </is>
      </c>
    </row>
    <row r="9">
      <c r="B9" s="354" t="inlineStr">
        <is>
          <t>공급물량</t>
        </is>
      </c>
      <c r="C9" s="353" t="inlineStr">
        <is>
          <t>월 공급물량 산출</t>
        </is>
      </c>
      <c r="D9" s="353" t="inlineStr">
        <is>
          <t>-</t>
        </is>
      </c>
      <c r="E9" s="353" t="inlineStr">
        <is>
          <t>-</t>
        </is>
      </c>
      <c r="G9" s="222" t="inlineStr">
        <is>
          <t>월별</t>
        </is>
      </c>
      <c r="H9" s="222" t="inlineStr">
        <is>
          <t>수요예측 및 SOP미팅</t>
        </is>
      </c>
      <c r="I9" s="222" t="inlineStr">
        <is>
          <t>예측 물량 도출(S&amp;OP)</t>
        </is>
      </c>
    </row>
    <row r="10">
      <c r="B10" s="333" t="inlineStr">
        <is>
          <t>재고</t>
        </is>
      </c>
      <c r="C10" s="336" t="inlineStr">
        <is>
          <t>창고-본사 재고 데이터</t>
        </is>
      </c>
      <c r="D10" s="336" t="inlineStr">
        <is>
          <t>기존데이타</t>
        </is>
      </c>
      <c r="E10" s="336" t="inlineStr">
        <is>
          <t>-</t>
        </is>
      </c>
      <c r="G10" s="222" t="inlineStr">
        <is>
          <t>월별</t>
        </is>
      </c>
      <c r="H10" s="222" t="inlineStr">
        <is>
          <t>월 마감</t>
        </is>
      </c>
      <c r="I10" s="222" t="inlineStr">
        <is>
          <t>추세선 분석/리뷰 및 개선방안 도출</t>
        </is>
      </c>
    </row>
    <row r="11">
      <c r="B11" s="333" t="inlineStr">
        <is>
          <t>입항스케줄</t>
        </is>
      </c>
      <c r="C11" s="336" t="inlineStr">
        <is>
          <t>수입 관련 일정 및 현황</t>
        </is>
      </c>
      <c r="D11" s="336" t="inlineStr">
        <is>
          <t>기존데이타</t>
        </is>
      </c>
      <c r="E11" s="336" t="inlineStr">
        <is>
          <t>-</t>
        </is>
      </c>
      <c r="G11" s="222" t="inlineStr">
        <is>
          <t>분기</t>
        </is>
      </c>
      <c r="H11" s="222" t="inlineStr">
        <is>
          <t xml:space="preserve">KPI 평가 및 지표 </t>
        </is>
      </c>
      <c r="I11" s="222" t="inlineStr">
        <is>
          <t>기간별 평가</t>
        </is>
      </c>
      <c r="J11" s="241" t="n"/>
    </row>
    <row r="12">
      <c r="B12" s="333" t="inlineStr">
        <is>
          <t>출고 (2)</t>
        </is>
      </c>
      <c r="C12" s="336" t="inlineStr">
        <is>
          <t>년/월 출고 RAW 데이터</t>
        </is>
      </c>
      <c r="D12" s="336" t="inlineStr">
        <is>
          <t>기존데이타</t>
        </is>
      </c>
      <c r="E12" s="336" t="inlineStr">
        <is>
          <t>-</t>
        </is>
      </c>
    </row>
    <row r="13">
      <c r="B13" s="333" t="inlineStr">
        <is>
          <t>통합지표</t>
        </is>
      </c>
      <c r="C13" s="336" t="inlineStr">
        <is>
          <t>월 마감 통합지표</t>
        </is>
      </c>
      <c r="D13" s="336" t="inlineStr">
        <is>
          <t>-</t>
        </is>
      </c>
      <c r="E13" s="336" t="inlineStr">
        <is>
          <t>-</t>
        </is>
      </c>
    </row>
    <row r="14">
      <c r="B14" s="333" t="inlineStr">
        <is>
          <t>실출고율</t>
        </is>
      </c>
      <c r="C14" s="342" t="inlineStr">
        <is>
          <t>포캐스트 vs 실출고율</t>
        </is>
      </c>
      <c r="D14" s="336" t="inlineStr">
        <is>
          <t>26년_KPI_지표</t>
        </is>
      </c>
      <c r="E14" s="336" t="inlineStr">
        <is>
          <t>수요예측 vs 공급계획</t>
        </is>
      </c>
      <c r="G14" s="355" t="inlineStr">
        <is>
          <t>주요확인 및 업데이트 필요 사항</t>
        </is>
      </c>
    </row>
    <row r="15">
      <c r="B15" s="333" t="inlineStr">
        <is>
          <t>결품관리</t>
        </is>
      </c>
      <c r="C15" s="342" t="inlineStr">
        <is>
          <t>월별 결품률 관리</t>
        </is>
      </c>
      <c r="D15" s="336" t="inlineStr">
        <is>
          <t>26년_KPI_지표</t>
        </is>
      </c>
      <c r="E15" s="336" t="inlineStr">
        <is>
          <t>결품률 최소화 관리</t>
        </is>
      </c>
      <c r="F15" s="222" t="n">
        <v>1</v>
      </c>
      <c r="G15" s="358" t="inlineStr">
        <is>
          <t>현재고 : 재고현황 (향후 WMS 추출 양식으로 변경 필요)</t>
        </is>
      </c>
    </row>
    <row r="16">
      <c r="B16" s="333" t="inlineStr">
        <is>
          <t>회전율 관리</t>
        </is>
      </c>
      <c r="C16" s="336" t="inlineStr">
        <is>
          <t>회전율 및 회전일 관리</t>
        </is>
      </c>
      <c r="D16" s="336" t="inlineStr">
        <is>
          <t>26년_KPI_지표</t>
        </is>
      </c>
      <c r="E16" s="337" t="inlineStr">
        <is>
          <t>재고회전율</t>
        </is>
      </c>
      <c r="F16" s="222" t="n">
        <v>2</v>
      </c>
      <c r="G16" s="332" t="inlineStr">
        <is>
          <t>안전재고 : ABC 서비스 레벨 + XYZ보정계수 -&gt; 상황에 맞게 비율(1.25 1.15 등) 적용(수정) 해야함</t>
        </is>
      </c>
      <c r="H16" s="143" t="n"/>
    </row>
    <row r="17">
      <c r="B17" s="333" t="inlineStr">
        <is>
          <t>납기준수 관리</t>
        </is>
      </c>
      <c r="C17" s="336" t="inlineStr">
        <is>
          <t>수입/구매 납기율 관리</t>
        </is>
      </c>
      <c r="D17" s="336" t="inlineStr">
        <is>
          <t>26년_KPI_지표</t>
        </is>
      </c>
      <c r="E17" s="336" t="inlineStr">
        <is>
          <t>공급업체 납기준수율</t>
        </is>
      </c>
      <c r="F17" s="222" t="n">
        <v>3</v>
      </c>
      <c r="G17" s="332" t="inlineStr">
        <is>
          <t>적정재고 지표(재고분석) : 등급별 재고 대비 안전재고 비율(일출고량x리드타임+안전재고)</t>
        </is>
      </c>
      <c r="H17" s="143" t="n"/>
    </row>
    <row r="18">
      <c r="B18" s="333" t="inlineStr">
        <is>
          <t>수요변동 관리</t>
        </is>
      </c>
      <c r="C18" s="336" t="inlineStr">
        <is>
          <t>XYZ 등급 월별 관리 및 실행방안</t>
        </is>
      </c>
      <c r="D18" s="336" t="inlineStr">
        <is>
          <t>-</t>
        </is>
      </c>
      <c r="E18" s="336" t="inlineStr">
        <is>
          <t>-</t>
        </is>
      </c>
      <c r="F18" s="222" t="n">
        <v>4</v>
      </c>
      <c r="G18" s="358" t="inlineStr">
        <is>
          <t>PSI_메인 : 월별 입출고/재고 물량 관리 데이터 -&gt; 발생시 마다 업데이트</t>
        </is>
      </c>
      <c r="H18" s="143" t="n"/>
    </row>
    <row r="20">
      <c r="B20" s="223" t="inlineStr">
        <is>
          <t>공급물량 산출</t>
        </is>
      </c>
      <c r="C20" s="338" t="n"/>
    </row>
    <row r="21">
      <c r="B21" s="221" t="inlineStr">
        <is>
          <t>1. 기준정립 및 설정</t>
        </is>
      </c>
      <c r="C21" s="339" t="n"/>
    </row>
    <row r="22">
      <c r="A22" s="143" t="n"/>
      <c r="B22" s="222" t="inlineStr">
        <is>
          <t>1)리드타임 : 발주부터 입고완료까지의 기간 (가용재고시까지의 기간)</t>
        </is>
      </c>
    </row>
    <row r="23">
      <c r="A23" s="143" t="n"/>
      <c r="B23" s="222" t="inlineStr">
        <is>
          <t>2)월평균 출고량 : 전년 동월 물량 + 올해 예상 증감 % 감안 + 계절성 감안(예, 겨울에는 여름제품 발주안함)</t>
        </is>
      </c>
    </row>
    <row r="24">
      <c r="A24" s="334" t="n"/>
      <c r="B24" s="222" t="inlineStr">
        <is>
          <t>3)안전재고 : √LT(루트리드타임) x 수요표준편차 x 서비스레벨 -&gt; "수요변동성"만 고려됨 , 향후 추가 리드타임 고려된 산출식으로 고도화 필요</t>
        </is>
      </c>
    </row>
    <row r="25">
      <c r="A25" s="143" t="n"/>
      <c r="B25" s="332" t="inlineStr">
        <is>
          <t>4)ABC/XYZ 구분</t>
        </is>
      </c>
      <c r="C25" s="143" t="n"/>
    </row>
    <row r="26">
      <c r="A26" s="143" t="n"/>
      <c r="B26" s="332" t="inlineStr">
        <is>
          <t>5)안전재고 설정</t>
        </is>
      </c>
      <c r="C26" s="143" t="n"/>
    </row>
    <row r="27">
      <c r="A27" s="143" t="n"/>
      <c r="B27" s="332" t="inlineStr">
        <is>
          <t>6)재고 상태 설정</t>
        </is>
      </c>
      <c r="C27" s="143" t="n"/>
    </row>
    <row r="28">
      <c r="A28" s="143" t="n"/>
      <c r="B28" s="332" t="inlineStr">
        <is>
          <t>7)발주 여부 설정</t>
        </is>
      </c>
      <c r="C28" s="143" t="n"/>
    </row>
    <row r="29">
      <c r="A29" s="143" t="n"/>
      <c r="B29" s="330" t="n"/>
    </row>
    <row r="30">
      <c r="A30" s="143" t="n"/>
      <c r="B30" s="331" t="inlineStr">
        <is>
          <t>2. 최종 공급 물량 산출</t>
        </is>
      </c>
      <c r="C30" s="339" t="n"/>
    </row>
    <row r="31">
      <c r="A31" s="143" t="n"/>
      <c r="B31" s="332" t="inlineStr">
        <is>
          <t>(일평균출고 x 리드타임 x 사이클보정계수) + 안전재고</t>
        </is>
      </c>
      <c r="C31" s="143" t="n"/>
    </row>
    <row r="32">
      <c r="A32" s="143" t="n"/>
      <c r="B32" s="332" t="n"/>
      <c r="C32" s="143" t="n"/>
    </row>
    <row r="33">
      <c r="A33" s="143" t="n"/>
      <c r="B33" s="335" t="inlineStr">
        <is>
          <t>수요예측 (S&amp;OP_미팅시 협의)</t>
        </is>
      </c>
      <c r="C33" s="334" t="n"/>
    </row>
    <row r="34">
      <c r="A34" s="143" t="n"/>
      <c r="B34" s="332" t="inlineStr">
        <is>
          <t>SCM기준 (과거 PSI 트렌드 기준) vs 영업 (미래 시장트렌드, 인사이트, 캠페인 활동)</t>
        </is>
      </c>
      <c r="C34" s="143" t="n"/>
    </row>
    <row r="35">
      <c r="A35" s="143" t="n"/>
      <c r="B35" s="143" t="n"/>
      <c r="C35" s="143" t="n"/>
    </row>
    <row r="36">
      <c r="B36" s="335" t="inlineStr">
        <is>
          <t>적정재고 관리 (회전율)</t>
        </is>
      </c>
      <c r="C36" s="334" t="n"/>
    </row>
    <row r="37">
      <c r="B37" s="332" t="inlineStr">
        <is>
          <t>1. 회전율 증감 (과거 재고 현황 리뷰 하기 위함, 미래지표x)</t>
        </is>
      </c>
      <c r="C37" s="143" t="n"/>
    </row>
    <row r="38">
      <c r="B38" s="332" t="inlineStr">
        <is>
          <t>2. ABC/XYZ 관리 (XYZ 반기별 갱신 권장)</t>
        </is>
      </c>
      <c r="C38" s="143" t="n"/>
    </row>
    <row r="39">
      <c r="B39" s="332" t="inlineStr">
        <is>
          <t>3. 재고 소진 독려 (마케팅, 캠페인, 페기, 기부 등)</t>
        </is>
      </c>
      <c r="C39" s="143" t="n"/>
    </row>
    <row r="40">
      <c r="B40" s="143" t="n"/>
      <c r="C40" s="143" t="n"/>
    </row>
    <row r="41">
      <c r="B41" s="335" t="inlineStr">
        <is>
          <t>생산 납기관리</t>
        </is>
      </c>
      <c r="C41" s="334" t="n"/>
    </row>
    <row r="42">
      <c r="B42" s="332" t="inlineStr">
        <is>
          <t>납기기준 일정 vs 실 입고일</t>
        </is>
      </c>
      <c r="C42" s="143" t="n"/>
    </row>
    <row r="43">
      <c r="B43" s="143" t="n"/>
      <c r="C43" s="143" t="n"/>
    </row>
    <row r="44">
      <c r="B44" s="143" t="n"/>
      <c r="C44" s="143" t="n"/>
    </row>
  </sheetData>
  <hyperlinks>
    <hyperlink ref="B4" location="대시보드!A1" display="대시보드"/>
    <hyperlink ref="B5" location="PSI_메인!A1" display="PSI_메인"/>
    <hyperlink ref="B6" location="'ABC-XYZ분석 (2)'!A1" display="ABC-XYZ분석"/>
    <hyperlink ref="B7" location="안전재고!A1" display="안전재고"/>
    <hyperlink ref="B8" location="재고분석!A1" display="재고분석"/>
    <hyperlink ref="B9" location="공급물량!A1" display="공급물량"/>
    <hyperlink ref="B10" location="재고!A1" display="재고"/>
    <hyperlink ref="B11" location="입항스케줄!A1" display="입항스케줄"/>
    <hyperlink ref="B12" location="'출고 (2)'!A1" display="출고 (2)"/>
    <hyperlink ref="B13" location="통합지표!A1" display="통합지표"/>
    <hyperlink ref="B14" location="실출고율!A1" display="실출고율"/>
    <hyperlink ref="B15" location="결품관리!A1" display="결품관리"/>
    <hyperlink ref="G15" location="재고!A1" display="현재고"/>
    <hyperlink ref="B16" location="회전율관리!A1" display="회전율 관리"/>
    <hyperlink ref="G16" location="안전재고!A1" display="안전재고 : ABC 서비스 레벨 + XYZ보정계수 -&gt; 상황에 맞게 적용(수정) 해야함"/>
    <hyperlink ref="B17" location="납기준수관리!A1" display="납기준수 관리"/>
    <hyperlink ref="G17" location="재고분석!A1" display="적정재고 지표(재고분석) : 등급별 재고 대비 안전재고 비율 (일출고량x리드타임+안전재고)"/>
    <hyperlink ref="B18" location="안정성관리!A1" display="안전성 관리"/>
    <hyperlink ref="G18" location="PSI_메인!A1" display="PSI_메인 : 월별 입출고/재고 물량 관리 데이터 -&gt; 발생시 마다 업데이트"/>
    <hyperlink ref="B25" location="'ABC-XYZ분석 (2)'!A1" display="1) 발주 전략"/>
    <hyperlink ref="B26" location="안전재고!A1" display="2)안전재고 설정"/>
    <hyperlink ref="B27" location="재고분석!A1" display="3)재고 상태 설정"/>
    <hyperlink ref="B28" location="'ABC-XYZ분석 (2)'!A1" display="4)발주 여부 설정"/>
    <hyperlink ref="B31" location="공급물량!A1" display="1. 리드타임 x 일 평균출고량 + 안전재고"/>
    <hyperlink ref="B34" location="PSI_메인!A1" display="SCM기준 (과거 PSI 트렌드 기준) vs 영업 (미래 시장트렌드, 인사이트, 캠페인 활동)"/>
    <hyperlink ref="B37" location="재고분석!A1" display="1. 회전율 증감 (과거 재고 현황 리뷰 하기 위함, 미래지표x)"/>
    <hyperlink ref="B38" location="'ABC-XYZ분석 (2)'!A1" display="2. ABC/XYZ 관리 (XYZ 매월 갱신 권장)"/>
    <hyperlink ref="B39" location="대시보드!A1" display="3. 재고 소진 독려 (마케팅, 캠페인, 페기, 기부 등)"/>
    <hyperlink ref="B42" location="납기준수관리!A1" display="납기기준 일정 vs 실 입고일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36"/>
  <sheetViews>
    <sheetView showGridLines="0" tabSelected="1" zoomScale="115" zoomScaleNormal="115" workbookViewId="0">
      <pane xSplit="1" ySplit="2" topLeftCell="B3" activePane="bottomRight" state="frozen"/>
      <selection activeCell="G39" sqref="G39"/>
      <selection pane="topRight" activeCell="G39" sqref="G39"/>
      <selection pane="bottomLeft" activeCell="G39" sqref="G39"/>
      <selection pane="bottomRight" activeCell="G17" sqref="G17"/>
    </sheetView>
  </sheetViews>
  <sheetFormatPr baseColWidth="8" defaultRowHeight="16.5"/>
  <cols>
    <col width="0.5" customWidth="1" style="480" min="1" max="1"/>
    <col width="18" customWidth="1" style="480" min="2" max="2"/>
    <col width="15.625" customWidth="1" style="480" min="3" max="3"/>
    <col width="12" customWidth="1" style="480" min="4" max="4"/>
    <col width="15" customWidth="1" style="480" min="5" max="5"/>
    <col width="12" customWidth="1" style="480" min="6" max="6"/>
    <col width="1.375" customWidth="1" style="480" min="7" max="7"/>
    <col width="5.75" customWidth="1" style="480" min="8" max="8"/>
    <col width="17" customWidth="1" style="480" min="9" max="9"/>
    <col width="7.375" bestFit="1" customWidth="1" style="480" min="10" max="10"/>
    <col width="14" bestFit="1" customWidth="1" style="480" min="11" max="11"/>
    <col width="8.125" bestFit="1" customWidth="1" style="480" min="12" max="12"/>
    <col width="9.875" customWidth="1" style="480" min="13" max="13"/>
    <col width="7.625" customWidth="1" style="480" min="15" max="15"/>
    <col width="9.625" bestFit="1" customWidth="1" style="480" min="16" max="16"/>
    <col width="1.625" customWidth="1" style="480" min="17" max="17"/>
    <col width="9" customWidth="1" style="143" min="18" max="18"/>
  </cols>
  <sheetData>
    <row r="1" ht="3" customHeight="1" s="480">
      <c r="H1" s="176" t="inlineStr">
        <is>
          <t>최근3개월 
평균출고</t>
        </is>
      </c>
    </row>
    <row r="2" ht="24.95" customHeight="1" s="480">
      <c r="B2" s="377" t="inlineStr">
        <is>
          <t>PSI 통합 대시보드 - 2026년 1월 기준</t>
        </is>
      </c>
      <c r="C2" s="377" t="n"/>
      <c r="D2" s="377" t="n"/>
      <c r="E2" s="377" t="n"/>
      <c r="F2" s="377" t="n"/>
      <c r="G2" s="377" t="n"/>
      <c r="H2" s="377" t="n"/>
      <c r="I2" s="377" t="n"/>
      <c r="J2" s="377" t="n"/>
      <c r="K2" s="377" t="n"/>
      <c r="L2" s="377" t="n"/>
      <c r="M2" s="377" t="n"/>
      <c r="N2" s="377" t="n"/>
      <c r="O2" s="377" t="n"/>
      <c r="P2" s="377" t="n"/>
    </row>
    <row r="3" ht="4.5" customHeight="1" s="480"/>
    <row r="4" ht="18" customHeight="1" s="480" thickBot="1">
      <c r="B4" s="1" t="inlineStr">
        <is>
          <t>주요 재고 지표</t>
        </is>
      </c>
      <c r="H4" s="2" t="inlineStr">
        <is>
          <t>긴급 조치 필요 품목 TOP 10</t>
        </is>
      </c>
      <c r="M4" s="158" t="inlineStr">
        <is>
          <t>권장수량</t>
        </is>
      </c>
      <c r="R4" s="157" t="inlineStr">
        <is>
          <t>긴급조치 TOP10 선정 기준</t>
        </is>
      </c>
    </row>
    <row r="5" ht="21.6" customHeight="1" s="480">
      <c r="B5" s="86" t="inlineStr">
        <is>
          <t>지표</t>
        </is>
      </c>
      <c r="C5" s="79" t="inlineStr">
        <is>
          <t>값</t>
        </is>
      </c>
      <c r="D5" s="79" t="inlineStr">
        <is>
          <t>단위</t>
        </is>
      </c>
      <c r="E5" s="80" t="inlineStr">
        <is>
          <t>상태</t>
        </is>
      </c>
      <c r="H5" s="95" t="inlineStr">
        <is>
          <t>순위</t>
        </is>
      </c>
      <c r="I5" s="96" t="inlineStr">
        <is>
          <t>SKU코드</t>
        </is>
      </c>
      <c r="J5" s="96" t="inlineStr">
        <is>
          <t>제품명</t>
        </is>
      </c>
      <c r="K5" s="96" t="inlineStr">
        <is>
          <t>상태</t>
        </is>
      </c>
      <c r="L5" s="96" t="inlineStr">
        <is>
          <t>현재고</t>
        </is>
      </c>
      <c r="M5" s="152" t="inlineStr">
        <is>
          <t>안전재고</t>
        </is>
      </c>
      <c r="N5" s="97" t="inlineStr">
        <is>
          <t>조치사항</t>
        </is>
      </c>
      <c r="O5" s="366" t="inlineStr">
        <is>
          <t>회전율</t>
        </is>
      </c>
      <c r="P5" s="366" t="inlineStr">
        <is>
          <t>비고</t>
        </is>
      </c>
      <c r="Q5" s="77" t="n"/>
      <c r="R5" s="142" t="inlineStr">
        <is>
          <t>1. 재고 상태 필터링</t>
        </is>
      </c>
    </row>
    <row r="6">
      <c r="B6" s="87" t="inlineStr">
        <is>
          <t>총 SKU 수</t>
        </is>
      </c>
      <c r="C6" s="4">
        <f>COUNTA(재고분석!C2:C100)</f>
        <v/>
      </c>
      <c r="D6" s="3" t="inlineStr">
        <is>
          <t>개</t>
        </is>
      </c>
      <c r="E6" s="88" t="inlineStr">
        <is>
          <t>-</t>
        </is>
      </c>
      <c r="H6" s="367" t="n">
        <v>1</v>
      </c>
      <c r="I6" s="368">
        <f t="array" ref="I6">IFERROR(INDEX(재고분석!C:C,SMALL(IF((재고분석!N:N="부족")+(재고분석!N:N="재주문필요"),ROW(재고분석!N:N)),1)),"")</f>
        <v/>
      </c>
      <c r="J6" s="368">
        <f>_xlfn.XLOOKUP(I6,PSI_메인!A:A,PSI_메인!B:B)</f>
        <v/>
      </c>
      <c r="K6" s="312">
        <f>_xlfn.XLOOKUP(I6,재고분석!C:C,재고분석!N:N)</f>
        <v/>
      </c>
      <c r="L6" s="312">
        <f>SUMIF(재고분석!C:C,대시보드!I6,재고분석!H:H)</f>
        <v/>
      </c>
      <c r="M6" s="153">
        <f>SUMIF(재고분석!C:C,대시보드!I6,재고분석!I:I)</f>
        <v/>
      </c>
      <c r="N6" s="153">
        <f>IF(K6="부족","긴급발주",IF(K6="재주문필요","주문진행",IF(K6="","",IF(K6="과잉","프로모션",IF(K6="적정","정상","")))))</f>
        <v/>
      </c>
      <c r="O6" s="153">
        <f>_xlfn.XLOOKUP(I6,재고분석!C:C,재고분석!O:O)</f>
        <v/>
      </c>
      <c r="P6" s="369">
        <f>_xlfn.XLOOKUP(I6,'ABC-XYZ분석 (2)'!C:C,'ABC-XYZ분석 (2)'!B:B)</f>
        <v/>
      </c>
      <c r="R6" s="357" t="inlineStr">
        <is>
          <t xml:space="preserve">긴급 조치가 필요한 상태: 오른쪽 캡쳐(표)참조 </t>
        </is>
      </c>
    </row>
    <row r="7">
      <c r="B7" s="87" t="inlineStr">
        <is>
          <t>총 재고금액</t>
        </is>
      </c>
      <c r="C7" s="493">
        <f>SUM(재고분석!R2:R100)</f>
        <v/>
      </c>
      <c r="D7" s="3" t="inlineStr">
        <is>
          <t>원</t>
        </is>
      </c>
      <c r="E7" s="88" t="inlineStr">
        <is>
          <t>-</t>
        </is>
      </c>
      <c r="H7" s="367" t="n">
        <v>2</v>
      </c>
      <c r="I7" s="368">
        <f t="array" ref="I7">IFERROR(INDEX(재고분석!C:C,SMALL(IF((재고분석!N:N="부족")+(재고분석!N:N="재주문필요"),ROW(재고분석!N:N)),2)),"")</f>
        <v/>
      </c>
      <c r="J7" s="368">
        <f>_xlfn.XLOOKUP(I7,PSI_메인!A:A,PSI_메인!B:B)</f>
        <v/>
      </c>
      <c r="K7" s="312">
        <f>IFERROR(INDEX(재고분석!$N:$N,MATCH(I7,재고분석!$C:$C,0)),"")</f>
        <v/>
      </c>
      <c r="L7" s="312">
        <f>SUMIF(재고분석!C:C,대시보드!I7,재고분석!H:H)</f>
        <v/>
      </c>
      <c r="M7" s="153">
        <f>SUMIF(재고분석!C:C,대시보드!I7,재고분석!I:I)</f>
        <v/>
      </c>
      <c r="N7" s="153">
        <f>IF(K7="부족","긴급발주",IF(K7="재주문필요","주문진행",IF(K7="","",IF(K7="과잉","프로모션",IF(K7="적정","정상","")))))</f>
        <v/>
      </c>
      <c r="O7" s="153">
        <f>_xlfn.XLOOKUP(I7,재고분석!C:C,재고분석!O:O)</f>
        <v/>
      </c>
      <c r="P7" s="369">
        <f>_xlfn.XLOOKUP(I7,'ABC-XYZ분석 (2)'!C:C,'ABC-XYZ분석 (2)'!B:B)</f>
        <v/>
      </c>
      <c r="R7" s="204" t="inlineStr">
        <is>
          <t>-부족 (현재고 &lt; 안전재고) - 최우선</t>
        </is>
      </c>
    </row>
    <row r="8">
      <c r="B8" s="87" t="inlineStr">
        <is>
          <t>평균 재고회전일</t>
        </is>
      </c>
      <c r="C8" s="216">
        <f>AVERAGE(재고분석!M:M)</f>
        <v/>
      </c>
      <c r="D8" s="3" t="inlineStr">
        <is>
          <t>일</t>
        </is>
      </c>
      <c r="E8" s="88" t="inlineStr">
        <is>
          <t>-</t>
        </is>
      </c>
      <c r="H8" s="367" t="n">
        <v>3</v>
      </c>
      <c r="I8" s="368">
        <f t="array" ref="I8">IFERROR(INDEX(재고분석!C:C,SMALL(IF((재고분석!N:N="부족")+(재고분석!N:N="재주문필요"),ROW(재고분석!N:N)),3)),"")</f>
        <v/>
      </c>
      <c r="J8" s="368">
        <f>_xlfn.XLOOKUP(I8,PSI_메인!A:A,PSI_메인!B:B)</f>
        <v/>
      </c>
      <c r="K8" s="312">
        <f>IFERROR(INDEX(재고분석!$N:$N,MATCH(I8,재고분석!$C:$C,0)),"")</f>
        <v/>
      </c>
      <c r="L8" s="312">
        <f>SUMIF(재고분석!C:C,대시보드!I8,재고분석!H:H)</f>
        <v/>
      </c>
      <c r="M8" s="153">
        <f>SUMIF(재고분석!C:C,대시보드!I8,재고분석!I:I)</f>
        <v/>
      </c>
      <c r="N8" s="153">
        <f>IF(K8="부족","긴급발주",IF(K8="재주문필요","주문진행",IF(K8="","",IF(K8="과잉","프로모션",IF(K8="적정","정상","")))))</f>
        <v/>
      </c>
      <c r="O8" s="153">
        <f>_xlfn.XLOOKUP(I8,재고분석!C:C,재고분석!O:O)</f>
        <v/>
      </c>
      <c r="P8" s="369">
        <f>_xlfn.XLOOKUP(I8,'ABC-XYZ분석 (2)'!C:C,'ABC-XYZ분석 (2)'!B:B)</f>
        <v/>
      </c>
      <c r="R8" s="204" t="inlineStr">
        <is>
          <t>-재주문필요</t>
        </is>
      </c>
    </row>
    <row r="9">
      <c r="B9" s="87" t="inlineStr">
        <is>
          <t>재고부족 품목</t>
        </is>
      </c>
      <c r="C9" s="4">
        <f>COUNTIF(재고분석!N:N,"부족")</f>
        <v/>
      </c>
      <c r="D9" s="3" t="inlineStr">
        <is>
          <t>개</t>
        </is>
      </c>
      <c r="E9" s="88">
        <f>IF(C9&gt;0,"경고","정상")</f>
        <v/>
      </c>
      <c r="H9" s="367" t="n">
        <v>4</v>
      </c>
      <c r="I9" s="368">
        <f t="array" ref="I9">IFERROR(INDEX(재고분석!C:C,SMALL(IF((재고분석!N:N="부족")+(재고분석!N:N="재주문필요"),ROW(재고분석!N:N)),4)),"")</f>
        <v/>
      </c>
      <c r="J9" s="368">
        <f>_xlfn.XLOOKUP(I9,PSI_메인!A:A,PSI_메인!B:B)</f>
        <v/>
      </c>
      <c r="K9" s="312">
        <f>IFERROR(INDEX(재고분석!$N:$N,MATCH(I9,재고분석!$C:$C,0)),"")</f>
        <v/>
      </c>
      <c r="L9" s="312">
        <f>SUMIF(재고분석!C:C,대시보드!I9,재고분석!H:H)</f>
        <v/>
      </c>
      <c r="M9" s="153">
        <f>SUMIF(재고분석!C:C,대시보드!I9,재고분석!I:I)</f>
        <v/>
      </c>
      <c r="N9" s="153">
        <f>IF(K9="부족","긴급발주",IF(K9="재주문필요","주문진행",IF(K9="","",IF(K9="과잉","프로모션",IF(K9="적정","정상","")))))</f>
        <v/>
      </c>
      <c r="O9" s="153">
        <f>_xlfn.XLOOKUP(I9,재고분석!C:C,재고분석!O:O)</f>
        <v/>
      </c>
      <c r="P9" s="369">
        <f>_xlfn.XLOOKUP(I9,'ABC-XYZ분석 (2)'!C:C,'ABC-XYZ분석 (2)'!B:B)</f>
        <v/>
      </c>
      <c r="R9" s="204" t="inlineStr">
        <is>
          <t>-과잉</t>
        </is>
      </c>
    </row>
    <row r="10">
      <c r="B10" s="87" t="inlineStr">
        <is>
          <t>재주문필요 품목</t>
        </is>
      </c>
      <c r="C10" s="4">
        <f>COUNTIF(재고분석!N:N,"재주문")</f>
        <v/>
      </c>
      <c r="D10" s="3" t="inlineStr">
        <is>
          <t>개</t>
        </is>
      </c>
      <c r="E10" s="88">
        <f>IF(C10&gt;0,"조치필요","정상")</f>
        <v/>
      </c>
      <c r="H10" s="367" t="n">
        <v>5</v>
      </c>
      <c r="I10" s="368">
        <f t="array" ref="I10">IFERROR(INDEX(재고분석!C:C,SMALL(IF((재고분석!N:N="부족")+(재고분석!N:N="재주문필요"),ROW(재고분석!N:N)),5)),"")</f>
        <v/>
      </c>
      <c r="J10" s="370">
        <f>_xlfn.XLOOKUP(I10,PSI_메인!A:A,PSI_메인!B:B)</f>
        <v/>
      </c>
      <c r="K10" s="312">
        <f>IFERROR(INDEX(재고분석!$N:$N,MATCH(I10,재고분석!$C:$C,0)),"")</f>
        <v/>
      </c>
      <c r="L10" s="312">
        <f>SUMIF(재고분석!C:C,대시보드!I10,재고분석!H:H)</f>
        <v/>
      </c>
      <c r="M10" s="153">
        <f>SUMIF(재고분석!C:C,대시보드!I10,재고분석!I:I)</f>
        <v/>
      </c>
      <c r="N10" s="153">
        <f>IF(K10="부족","긴급발주",IF(K10="재주문필요","주문진행",IF(K10="","",IF(K10="과잉","프로모션",IF(K10="적정","정상","")))))</f>
        <v/>
      </c>
      <c r="O10" s="153">
        <f>_xlfn.XLOOKUP(I10,재고분석!C:C,재고분석!O:O)</f>
        <v/>
      </c>
      <c r="P10" s="371">
        <f>_xlfn.XLOOKUP(I10,'ABC-XYZ분석 (2)'!C:C,'ABC-XYZ분석 (2)'!B:B)</f>
        <v/>
      </c>
      <c r="R10" s="155" t="n"/>
    </row>
    <row r="11" ht="17.25" customHeight="1" s="480" thickBot="1">
      <c r="B11" s="89" t="inlineStr">
        <is>
          <t>재고과잉 품목</t>
        </is>
      </c>
      <c r="C11" s="17">
        <f>COUNTIF(재고분석!N:N,"과잉")</f>
        <v/>
      </c>
      <c r="D11" s="90" t="inlineStr">
        <is>
          <t>개</t>
        </is>
      </c>
      <c r="E11" s="91">
        <f>IF(C11&gt;0,"검토필요","정상")</f>
        <v/>
      </c>
      <c r="H11" s="367" t="n">
        <v>6</v>
      </c>
      <c r="I11" s="368">
        <f t="array" ref="I11">IFERROR(INDEX(재고분석!C:C,SMALL(IF((재고분석!N:N="부족")+(재고분석!N:N="재주문필요"),ROW(재고분석!N:N)),6)),"")</f>
        <v/>
      </c>
      <c r="J11" s="368">
        <f>_xlfn.XLOOKUP(I11,PSI_메인!A:A,PSI_메인!B:B)</f>
        <v/>
      </c>
      <c r="K11" s="312">
        <f>IFERROR(INDEX(재고분석!$N:$N,MATCH(I11,재고분석!$C:$C,0)),"")</f>
        <v/>
      </c>
      <c r="L11" s="312">
        <f>SUMIF(재고분석!C:C,대시보드!I11,재고분석!H:H)</f>
        <v/>
      </c>
      <c r="M11" s="153">
        <f>SUMIF(재고분석!C:C,대시보드!I11,재고분석!I:I)</f>
        <v/>
      </c>
      <c r="N11" s="153">
        <f>IF(K11="부족","긴급발주",IF(K11="재주문필요","주문진행",IF(K11="","",IF(K11="과잉","프로모션",IF(K11="적정","정상","")))))</f>
        <v/>
      </c>
      <c r="O11" s="153">
        <f>_xlfn.XLOOKUP(I11,재고분석!C:C,재고분석!O:O)</f>
        <v/>
      </c>
      <c r="P11" s="369">
        <f>_xlfn.XLOOKUP(I11,'ABC-XYZ분석 (2)'!C:C,'ABC-XYZ분석 (2)'!B:B)</f>
        <v/>
      </c>
      <c r="R11" s="142" t="inlineStr">
        <is>
          <t>제외:</t>
        </is>
      </c>
    </row>
    <row r="12">
      <c r="H12" s="367" t="n">
        <v>7</v>
      </c>
      <c r="I12" s="368">
        <f t="array" ref="I12">IFERROR(INDEX(재고분석!C:C,SMALL(IF((재고분석!N:N="부족")+(재고분석!N:N="재주문필요"),ROW(재고분석!N:N)),7)),"")</f>
        <v/>
      </c>
      <c r="J12" s="368">
        <f>_xlfn.XLOOKUP(I12,PSI_메인!A:A,PSI_메인!B:B)</f>
        <v/>
      </c>
      <c r="K12" s="312">
        <f>IFERROR(INDEX(재고분석!$N:$N,MATCH(I12,재고분석!$C:$C,0)),"")</f>
        <v/>
      </c>
      <c r="L12" s="312">
        <f>SUMIF(재고분석!C:C,대시보드!I12,재고분석!H:H)</f>
        <v/>
      </c>
      <c r="M12" s="153">
        <f>SUMIF(재고분석!C:C,대시보드!I12,재고분석!I:I)</f>
        <v/>
      </c>
      <c r="N12" s="153">
        <f>IF(K12="부족","긴급발주",IF(K12="재주문필요","주문진행",IF(K12="","",IF(K12="과잉","프로모션",IF(K12="적정","정상","")))))</f>
        <v/>
      </c>
      <c r="O12" s="153">
        <f>_xlfn.XLOOKUP(I12,재고분석!C:C,재고분석!O:O)</f>
        <v/>
      </c>
      <c r="P12" s="369">
        <f>_xlfn.XLOOKUP(I12,'ABC-XYZ분석 (2)'!C:C,'ABC-XYZ분석 (2)'!B:B)</f>
        <v/>
      </c>
      <c r="R12" s="356" t="inlineStr">
        <is>
          <t>적정 오른쪽 캡쳐(표) 참조 -&gt; 정상이므로 제외</t>
        </is>
      </c>
    </row>
    <row r="13" ht="18" customHeight="1" s="480" thickBot="1">
      <c r="B13" s="1" t="inlineStr">
        <is>
          <t>ABC-XYZ 재고 분포 (품목 수)</t>
        </is>
      </c>
      <c r="H13" s="367" t="n">
        <v>8</v>
      </c>
      <c r="I13" s="370">
        <f t="array" ref="I13">IFERROR(INDEX(재고분석!C:C,SMALL(IF((재고분석!N:N="부족")+(재고분석!N:N="재주문필요"),ROW(재고분석!N:N)),8)),"")</f>
        <v/>
      </c>
      <c r="J13" s="370">
        <f>_xlfn.XLOOKUP(I13,PSI_메인!A:A,PSI_메인!B:B)</f>
        <v/>
      </c>
      <c r="K13" s="312">
        <f>IFERROR(INDEX(재고분석!$N:$N,MATCH(I13,재고분석!$C:$C,0)),"")</f>
        <v/>
      </c>
      <c r="L13" s="312">
        <f>SUMIF(재고분석!C:C,대시보드!I13,재고분석!H:H)</f>
        <v/>
      </c>
      <c r="M13" s="153">
        <f>SUMIF(재고분석!C:C,대시보드!I13,재고분석!I:I)</f>
        <v/>
      </c>
      <c r="N13" s="153">
        <f>IF(K13="부족","긴급발주",IF(K13="재주문필요","주문진행",IF(K13="","",IF(K13="과잉","프로모션",IF(K13="적정","정상","")))))</f>
        <v/>
      </c>
      <c r="O13" s="153">
        <f>_xlfn.XLOOKUP(I13,재고분석!C:C,재고분석!O:O)</f>
        <v/>
      </c>
      <c r="P13" s="369">
        <f>_xlfn.XLOOKUP(I13,'ABC-XYZ분석 (2)'!C:C,'ABC-XYZ분석 (2)'!B:B)</f>
        <v/>
      </c>
    </row>
    <row r="14">
      <c r="B14" s="79" t="inlineStr">
        <is>
          <t>ABC-XYZ</t>
        </is>
      </c>
      <c r="C14" s="79" t="inlineStr">
        <is>
          <t>X (안정)</t>
        </is>
      </c>
      <c r="D14" s="79" t="inlineStr">
        <is>
          <t>Y (중간)</t>
        </is>
      </c>
      <c r="E14" s="79" t="inlineStr">
        <is>
          <t>Z (불안정)</t>
        </is>
      </c>
      <c r="F14" s="80" t="inlineStr">
        <is>
          <t>합계</t>
        </is>
      </c>
      <c r="G14" s="77" t="n"/>
      <c r="H14" s="367" t="n">
        <v>9</v>
      </c>
      <c r="I14" s="368">
        <f t="array" ref="I14">IFERROR(INDEX(재고분석!C:C,SMALL(IF((재고분석!N:N="부족")+(재고분석!N:N="재주문필요"),ROW(재고분석!N:N)),9)),"")</f>
        <v/>
      </c>
      <c r="J14" s="368">
        <f>_xlfn.XLOOKUP(I14,PSI_메인!A:A,PSI_메인!B:B)</f>
        <v/>
      </c>
      <c r="K14" s="312">
        <f>IFERROR(INDEX(재고분석!$N:$N,MATCH(I14,재고분석!$C:$C,0)),"")</f>
        <v/>
      </c>
      <c r="L14" s="312">
        <f>SUMIF(재고분석!C:C,대시보드!I14,재고분석!H:H)</f>
        <v/>
      </c>
      <c r="M14" s="153">
        <f>SUMIF(재고분석!C:C,대시보드!I14,재고분석!I:I)</f>
        <v/>
      </c>
      <c r="N14" s="153">
        <f>IF(K14="부족","긴급발주",IF(K14="재주문필요","주문진행",IF(K14="","",IF(K14="과잉","프로모션",IF(K14="적정","정상","")))))</f>
        <v/>
      </c>
      <c r="O14" s="153">
        <f>_xlfn.XLOOKUP(I14,재고분석!C:C,재고분석!O:O)</f>
        <v/>
      </c>
      <c r="P14" s="369">
        <f>_xlfn.XLOOKUP(I14,'ABC-XYZ분석 (2)'!C:C,'ABC-XYZ분석 (2)'!B:B)</f>
        <v/>
      </c>
      <c r="R14" s="142" t="inlineStr">
        <is>
          <t>2. 정렬 기준</t>
        </is>
      </c>
    </row>
    <row r="15" ht="17.25" customHeight="1" s="480" thickBot="1">
      <c r="B15" s="81" t="inlineStr">
        <is>
          <t>A (고가치)</t>
        </is>
      </c>
      <c r="C15" s="6">
        <f>COUNTIFS(재고분석!F:F,"A",재고분석!G:G,"X")</f>
        <v/>
      </c>
      <c r="D15" s="4">
        <f>COUNTIFS(재고분석!F:F,"A",재고분석!G:G,"Y")</f>
        <v/>
      </c>
      <c r="E15" s="154">
        <f>COUNTIFS(재고분석!F:F,"A",재고분석!G:G,"Z")</f>
        <v/>
      </c>
      <c r="F15" s="82">
        <f>SUM(C15:E15)</f>
        <v/>
      </c>
      <c r="G15" s="78" t="n"/>
      <c r="H15" s="372" t="n">
        <v>10</v>
      </c>
      <c r="I15" s="373">
        <f t="array" ref="I15">IFERROR(INDEX(재고분석!C:C,SMALL(IF((재고분석!N:N="부족")+(재고분석!N:N="재주문필요"),ROW(재고분석!N:N)),10)),"")</f>
        <v/>
      </c>
      <c r="J15" s="373">
        <f>_xlfn.XLOOKUP(I15,PSI_메인!A:A,PSI_메인!B:B)</f>
        <v/>
      </c>
      <c r="K15" s="374">
        <f>IFERROR(INDEX(재고분석!$N:$N,MATCH(I15,재고분석!$C:$C,0)),"")</f>
        <v/>
      </c>
      <c r="L15" s="374">
        <f>SUMIF(재고분석!C:C,대시보드!I15,재고분석!H:H)</f>
        <v/>
      </c>
      <c r="M15" s="313">
        <f>SUMIF(재고분석!C:C,대시보드!I15,재고분석!I:I)</f>
        <v/>
      </c>
      <c r="N15" s="313">
        <f>IF(K15="부족","긴급발주",IF(K15="재주문필요","주문진행",IF(K15="","",IF(K15="과잉","프로모션",IF(K15="적정","정상","")))))</f>
        <v/>
      </c>
      <c r="O15" s="313">
        <f>_xlfn.XLOOKUP(I15,재고분석!C:C,재고분석!O:O)</f>
        <v/>
      </c>
      <c r="P15" s="375">
        <f>_xlfn.XLOOKUP(I15,'ABC-XYZ분석 (2)'!C:C,'ABC-XYZ분석 (2)'!B:B)</f>
        <v/>
      </c>
      <c r="R15" s="142" t="inlineStr">
        <is>
          <t>심각도 순서:</t>
        </is>
      </c>
    </row>
    <row r="16">
      <c r="B16" s="81" t="inlineStr">
        <is>
          <t>B (중가치)</t>
        </is>
      </c>
      <c r="C16" s="4">
        <f>COUNTIFS(재고분석!F:F,"B",재고분석!G:G,"X")</f>
        <v/>
      </c>
      <c r="D16" s="4">
        <f>COUNTIFS(재고분석!F:F,"B",재고분석!G:G,"Y")</f>
        <v/>
      </c>
      <c r="E16" s="4">
        <f>COUNTIFS(재고분석!F:F,"B",재고분석!G:G,"Z")</f>
        <v/>
      </c>
      <c r="F16" s="82">
        <f>SUM(C16:E16)</f>
        <v/>
      </c>
      <c r="G16" s="78" t="n"/>
      <c r="H16" s="13" t="inlineStr">
        <is>
          <t>* 재고분석 시트에서 필터링하여 확인</t>
        </is>
      </c>
      <c r="R16" s="156" t="inlineStr">
        <is>
          <t>1순위: 부족 품목</t>
        </is>
      </c>
    </row>
    <row r="17">
      <c r="B17" s="81" t="inlineStr">
        <is>
          <t>C (저가치)</t>
        </is>
      </c>
      <c r="C17" s="4">
        <f>COUNTIFS(재고분석!F:F,"C",재고분석!G:G,"X")</f>
        <v/>
      </c>
      <c r="D17" s="4">
        <f>COUNTIFS(재고분석!F:F,"C",재고분석!G:G,"Y")</f>
        <v/>
      </c>
      <c r="E17" s="7">
        <f>COUNTIFS(재고분석!F:F,"C",재고분석!G:G,"Z")</f>
        <v/>
      </c>
      <c r="F17" s="82">
        <f>SUM(C17:E17)</f>
        <v/>
      </c>
      <c r="G17" s="78" t="n"/>
      <c r="R17" s="156" t="inlineStr">
        <is>
          <t xml:space="preserve">   - 정렬: (안전재고 - 현재고) 차이 큰 순서</t>
        </is>
      </c>
    </row>
    <row r="18" ht="18" customHeight="1" s="480" thickBot="1">
      <c r="B18" s="83" t="inlineStr">
        <is>
          <t>합계</t>
        </is>
      </c>
      <c r="C18" s="84">
        <f>SUM(C15:C17)</f>
        <v/>
      </c>
      <c r="D18" s="84">
        <f>SUM(D15:D17)</f>
        <v/>
      </c>
      <c r="E18" s="84">
        <f>SUM(E15:E17)</f>
        <v/>
      </c>
      <c r="F18" s="85">
        <f>SUM(F15:F17)</f>
        <v/>
      </c>
      <c r="G18" s="78" t="n"/>
      <c r="H18" s="1" t="inlineStr">
        <is>
          <t>재고회전일 분석</t>
        </is>
      </c>
      <c r="R18" s="156" t="inlineStr">
        <is>
          <t xml:space="preserve">   - 또는: 현재고 ÷ 안전재고 비율이 낮은 순서</t>
        </is>
      </c>
    </row>
    <row r="19" ht="17.25" customHeight="1" s="480" thickBot="1">
      <c r="H19" s="170" t="inlineStr">
        <is>
          <t>회전 느림 TOP 5 (개선 필요)</t>
        </is>
      </c>
      <c r="K19" s="8" t="n"/>
      <c r="R19" s="156" t="n"/>
    </row>
    <row r="20" ht="44.1" customHeight="1" s="480" thickBot="1">
      <c r="B20" s="1" t="inlineStr">
        <is>
          <t>재고 상태별 현황</t>
        </is>
      </c>
      <c r="H20" s="159" t="n"/>
      <c r="I20" s="160" t="inlineStr">
        <is>
          <t>SKU</t>
        </is>
      </c>
      <c r="J20" s="160" t="inlineStr">
        <is>
          <t>제품명</t>
        </is>
      </c>
      <c r="K20" s="160" t="inlineStr">
        <is>
          <t>최근3개월 
월 평균출고량</t>
        </is>
      </c>
      <c r="L20" s="161" t="inlineStr">
        <is>
          <t>회전일</t>
        </is>
      </c>
      <c r="M20" s="205" t="n"/>
      <c r="R20" s="156" t="inlineStr">
        <is>
          <t>2순위: 재주문필요 품목</t>
        </is>
      </c>
    </row>
    <row r="21">
      <c r="B21" s="86" t="inlineStr">
        <is>
          <t>재고상태</t>
        </is>
      </c>
      <c r="C21" s="79" t="inlineStr">
        <is>
          <t>품목수</t>
        </is>
      </c>
      <c r="D21" s="79" t="inlineStr">
        <is>
          <t>비율(%)</t>
        </is>
      </c>
      <c r="E21" s="80" t="inlineStr">
        <is>
          <t>조치사항</t>
        </is>
      </c>
      <c r="H21" s="162" t="n">
        <v>1</v>
      </c>
      <c r="I21" s="163">
        <f>IFERROR(INDEX(재고분석!$C:$C,MATCH(LARGE(재고분석!$M:$M,1),재고분석!$M:$M,0)),"")</f>
        <v/>
      </c>
      <c r="J21" s="179">
        <f>IFERROR(INDEX(재고분석!$D:$D,MATCH(I21,재고분석!$C:$C,0)),"")</f>
        <v/>
      </c>
      <c r="K21" s="494">
        <f>IFERROR(INDEX(재고분석!$J:$J,MATCH(I21,재고분석!$C:$C,0)),0)</f>
        <v/>
      </c>
      <c r="L21" s="495">
        <f>IFERROR(INDEX(재고분석!$M:$M,MATCH(I21,재고분석!$C:$C,0)),0)</f>
        <v/>
      </c>
      <c r="M21" s="496" t="n"/>
      <c r="R21" s="156" t="inlineStr">
        <is>
          <t xml:space="preserve">   - 정렬: 안전재고에 가까운 순서</t>
        </is>
      </c>
    </row>
    <row r="22">
      <c r="B22" s="87" t="inlineStr">
        <is>
          <t>적정</t>
        </is>
      </c>
      <c r="C22" s="4">
        <f>COUNTIF(재고분석!N:N,B22)</f>
        <v/>
      </c>
      <c r="D22" s="497">
        <f>C22/$C$27*100</f>
        <v/>
      </c>
      <c r="E22" s="88" t="inlineStr">
        <is>
          <t>현상유지</t>
        </is>
      </c>
      <c r="H22" s="162" t="n">
        <v>2</v>
      </c>
      <c r="I22" s="163">
        <f>IFERROR(INDEX(재고분석!$C:$C,MATCH(LARGE(재고분석!$M:$M,2),재고분석!$M:$M,0)),"")</f>
        <v/>
      </c>
      <c r="J22" s="163">
        <f>IFERROR(INDEX(재고분석!$D:$D,MATCH(I22,재고분석!$C:$C,0)),"")</f>
        <v/>
      </c>
      <c r="K22" s="498">
        <f>IFERROR(INDEX(재고분석!$J:$J,MATCH(I22,재고분석!$C:$C,0)),0)</f>
        <v/>
      </c>
      <c r="L22" s="499">
        <f>IFERROR(INDEX(재고분석!$M:$M,MATCH(I22,재고분석!$C:$C,0)),0)</f>
        <v/>
      </c>
      <c r="M22" s="496" t="n"/>
      <c r="R22" s="156" t="n"/>
    </row>
    <row r="23">
      <c r="B23" s="87" t="inlineStr">
        <is>
          <t>재주문</t>
        </is>
      </c>
      <c r="C23" s="4">
        <f>COUNTIF(재고분석!N:N,B23)</f>
        <v/>
      </c>
      <c r="D23" s="497">
        <f>C23/$C$27*100</f>
        <v/>
      </c>
      <c r="E23" s="88" t="inlineStr">
        <is>
          <t>발주진행</t>
        </is>
      </c>
      <c r="H23" s="164" t="n">
        <v>3</v>
      </c>
      <c r="I23" s="163">
        <f>IFERROR(INDEX(재고분석!$C:$C,MATCH(LARGE(재고분석!$M:$M,3),재고분석!$M:$M,0)),"")</f>
        <v/>
      </c>
      <c r="J23" s="163">
        <f>IFERROR(INDEX(재고분석!$D:$D,MATCH(I23,재고분석!$C:$C,0)),"")</f>
        <v/>
      </c>
      <c r="K23" s="498">
        <f>IFERROR(INDEX(재고분석!$J:$J,MATCH(I23,재고분석!$C:$C,0)),0)</f>
        <v/>
      </c>
      <c r="L23" s="500">
        <f>IFERROR(INDEX(재고분석!$M:$M,MATCH(I23,재고분석!$C:$C,0)),0)</f>
        <v/>
      </c>
      <c r="M23" s="496" t="n"/>
      <c r="R23" s="156" t="inlineStr">
        <is>
          <t>3순위: 과잉 품목</t>
        </is>
      </c>
    </row>
    <row r="24">
      <c r="B24" s="87" t="inlineStr">
        <is>
          <t>부족</t>
        </is>
      </c>
      <c r="C24" s="4">
        <f>COUNTIF(재고분석!N:N,B24)</f>
        <v/>
      </c>
      <c r="D24" s="497">
        <f>C24/$C$27*100</f>
        <v/>
      </c>
      <c r="E24" s="376" t="inlineStr">
        <is>
          <t>긴급발주</t>
        </is>
      </c>
      <c r="H24" s="162" t="n">
        <v>4</v>
      </c>
      <c r="I24" s="163">
        <f>IFERROR(INDEX(재고분석!$C:$C,MATCH(LARGE(재고분석!$M:$M,4),재고분석!$M:$M,0)),"")</f>
        <v/>
      </c>
      <c r="J24" s="163">
        <f>IFERROR(INDEX(재고분석!$D:$D,MATCH(I24,재고분석!$C:$C,0)),"")</f>
        <v/>
      </c>
      <c r="K24" s="498">
        <f>IFERROR(INDEX(재고분석!$J:$J,MATCH(I24,재고분석!$C:$C,0)),0)</f>
        <v/>
      </c>
      <c r="L24" s="499">
        <f>IFERROR(INDEX(재고분석!$M:$M,MATCH(I24,재고분석!$C:$C,0)),0)</f>
        <v/>
      </c>
      <c r="M24" s="496" t="n"/>
      <c r="R24" s="156" t="inlineStr">
        <is>
          <t xml:space="preserve">   - 정렬: (현재고 - 안전재고×2) 차이 큰 순서</t>
        </is>
      </c>
    </row>
    <row r="25" ht="17.25" customHeight="1" s="480" thickBot="1">
      <c r="B25" s="99" t="inlineStr">
        <is>
          <t>과잉</t>
        </is>
      </c>
      <c r="C25" s="4">
        <f>COUNTIF(재고분석!N:N,B25)</f>
        <v/>
      </c>
      <c r="D25" s="497">
        <f>C25/$C$27*100</f>
        <v/>
      </c>
      <c r="E25" s="88" t="inlineStr">
        <is>
          <t>프로모션검토</t>
        </is>
      </c>
      <c r="H25" s="165" t="n">
        <v>5</v>
      </c>
      <c r="I25" s="166">
        <f>IFERROR(INDEX(재고분석!$C:$C,MATCH(LARGE(재고분석!$M:$M,5),재고분석!$M:$M,0)),"")</f>
        <v/>
      </c>
      <c r="J25" s="166">
        <f>IFERROR(INDEX(재고분석!$D:$D,MATCH(I25,재고분석!$C:$C,0)),"")</f>
        <v/>
      </c>
      <c r="K25" s="501">
        <f>IFERROR(INDEX(재고분석!$J:$J,MATCH(I25,재고분석!$C:$C,0)),0)</f>
        <v/>
      </c>
      <c r="L25" s="502">
        <f>IFERROR(INDEX(재고분석!$M:$M,MATCH(I25,재고분석!$C:$C,0)),0)</f>
        <v/>
      </c>
      <c r="M25" s="496" t="n"/>
    </row>
    <row r="26" ht="17.25" customHeight="1" s="480">
      <c r="B26" s="323" t="inlineStr">
        <is>
          <t>재고없음</t>
        </is>
      </c>
      <c r="C26" s="4">
        <f>COUNTIF(재고분석!N:N,B26)</f>
        <v/>
      </c>
      <c r="D26" s="497">
        <f>C26/$C$27*100</f>
        <v/>
      </c>
      <c r="E26" s="320" t="inlineStr">
        <is>
          <t>확인필요</t>
        </is>
      </c>
      <c r="H26" s="321" t="n"/>
      <c r="I26" s="222" t="n"/>
      <c r="J26" s="222" t="n"/>
      <c r="K26" s="503" t="n"/>
      <c r="L26" s="503" t="n"/>
      <c r="M26" s="496" t="n"/>
    </row>
    <row r="27" ht="17.25" customHeight="1" s="480" thickBot="1">
      <c r="B27" s="83" t="inlineStr">
        <is>
          <t>합계</t>
        </is>
      </c>
      <c r="C27" s="92">
        <f>SUM(C22:C26)</f>
        <v/>
      </c>
      <c r="D27" s="504">
        <f>SUM(D22:D26)</f>
        <v/>
      </c>
      <c r="E27" s="94" t="inlineStr">
        <is>
          <t>-</t>
        </is>
      </c>
      <c r="H27" s="158" t="n"/>
    </row>
    <row r="28">
      <c r="H28" s="158" t="n"/>
    </row>
    <row r="29" ht="17.25" customHeight="1" s="480" thickBot="1">
      <c r="B29" s="12" t="inlineStr">
        <is>
          <t>-참조-</t>
        </is>
      </c>
      <c r="H29" s="171" t="inlineStr">
        <is>
          <t>회전 빠름 TOP 5</t>
        </is>
      </c>
    </row>
    <row r="30" ht="33.95" customHeight="1" s="480">
      <c r="B30" s="134" t="inlineStr">
        <is>
          <t>1. 이 대시보드는 '재고분석' 시트 데이터를 기반으로 자동 계산</t>
        </is>
      </c>
      <c r="H30" s="167" t="n"/>
      <c r="I30" s="175" t="inlineStr">
        <is>
          <t>SKU</t>
        </is>
      </c>
      <c r="J30" s="168" t="inlineStr">
        <is>
          <t>제품명</t>
        </is>
      </c>
      <c r="K30" s="168" t="inlineStr">
        <is>
          <t>최근3개월 
월 평균출고량</t>
        </is>
      </c>
      <c r="L30" s="169" t="inlineStr">
        <is>
          <t>회전일</t>
        </is>
      </c>
    </row>
    <row r="31">
      <c r="B31" s="134" t="inlineStr">
        <is>
          <t>2. 재고부족/재주문필요 품목이 있으면 즉시 '발주전략' 시트를 확인</t>
        </is>
      </c>
      <c r="H31" s="162" t="n">
        <v>1</v>
      </c>
      <c r="I31" s="163">
        <f t="array" ref="I31">IFERROR(INDEX(재고분석!$C:$C,MATCH(_xlfn.AGGREGATE(15,6,재고분석!$M:$M/(재고분석!$M:$M&gt;0),1),재고분석!$M:$M,0)),"")</f>
        <v/>
      </c>
      <c r="J31" s="163">
        <f>IFERROR(INDEX(재고분석!$D:$D,MATCH(I31,재고분석!$C:$C,0)),"")</f>
        <v/>
      </c>
      <c r="K31" s="265">
        <f>IFERROR(INDEX(재고분석!$J:$J,MATCH(I31,재고분석!$C:$C,0)),0)</f>
        <v/>
      </c>
      <c r="L31" s="505">
        <f>IFERROR(INDEX(재고분석!$M:$M,MATCH(I31,재고분석!$C:$C,0)),0)</f>
        <v/>
      </c>
      <c r="M31" s="496" t="n"/>
    </row>
    <row r="32">
      <c r="B32" s="134" t="inlineStr">
        <is>
          <t>3. AX 등급(고가치+안정수요)은 충분한 재고를 유지필요</t>
        </is>
      </c>
      <c r="H32" s="162" t="n">
        <v>2</v>
      </c>
      <c r="I32" s="163">
        <f t="array" ref="I32">IFERROR(INDEX(재고분석!$C:$C,MATCH(_xlfn.AGGREGATE(15,6,재고분석!$M:$M/(재고분석!$M:$M&gt;0),2),재고분석!$M:$M,0)),"")</f>
        <v/>
      </c>
      <c r="J32" s="163">
        <f>IFERROR(INDEX(재고분석!$D:$D,MATCH(I32,재고분석!$C:$C,0)),"")</f>
        <v/>
      </c>
      <c r="K32" s="265">
        <f>IFERROR(INDEX(재고분석!$J:$J,MATCH(I32,재고분석!$C:$C,0)),0)</f>
        <v/>
      </c>
      <c r="L32" s="505">
        <f>IFERROR(INDEX(재고분석!$M:$M,MATCH(I32,재고분석!$C:$C,0)),0)</f>
        <v/>
      </c>
      <c r="M32" s="496" t="n"/>
    </row>
    <row r="33">
      <c r="B33" s="134" t="inlineStr">
        <is>
          <t>4. CZ 등급(저가치+불안정수요)은 주문 기반으로 운영</t>
        </is>
      </c>
      <c r="H33" s="162" t="n">
        <v>3</v>
      </c>
      <c r="I33" s="163">
        <f t="array" ref="I33">IFERROR(INDEX(재고분석!$C:$C,MATCH(_xlfn.AGGREGATE(15,6,재고분석!$M:$M/(재고분석!$M:$M&gt;0),3),재고분석!$M:$M,0)),"")</f>
        <v/>
      </c>
      <c r="J33" s="163">
        <f>IFERROR(INDEX(재고분석!$D:$D,MATCH(I33,재고분석!$C:$C,0)),"")</f>
        <v/>
      </c>
      <c r="K33" s="265">
        <f>IFERROR(INDEX(재고분석!$J:$J,MATCH(I33,재고분석!$C:$C,0)),0)</f>
        <v/>
      </c>
      <c r="L33" s="505">
        <f>IFERROR(INDEX(재고분석!$M:$M,MATCH(I33,재고분석!$C:$C,0)),0)</f>
        <v/>
      </c>
      <c r="M33" s="496" t="n"/>
    </row>
    <row r="34">
      <c r="B34" s="134" t="inlineStr">
        <is>
          <t>5. 재고회전일이 60일 이상이면 과잉재고로 판단하여 판촉 검토 필요</t>
        </is>
      </c>
      <c r="H34" s="162" t="n">
        <v>4</v>
      </c>
      <c r="I34" s="163">
        <f t="array" ref="I34">IFERROR(INDEX(재고분석!$C:$C,MATCH(_xlfn.AGGREGATE(15,6,재고분석!$M:$M/(재고분석!$M:$M&gt;0),4),재고분석!$M:$M,0)),"")</f>
        <v/>
      </c>
      <c r="J34" s="163">
        <f>IFERROR(INDEX(재고분석!$D:$D,MATCH(I34,재고분석!$C:$C,0)),"")</f>
        <v/>
      </c>
      <c r="K34" s="265">
        <f>IFERROR(INDEX(재고분석!$J:$J,MATCH(I34,재고분석!$C:$C,0)),0)</f>
        <v/>
      </c>
      <c r="L34" s="505">
        <f>IFERROR(INDEX(재고분석!$M:$M,MATCH(I34,재고분석!$C:$C,0)),0)</f>
        <v/>
      </c>
      <c r="M34" s="496" t="n"/>
    </row>
    <row r="35" ht="17.25" customHeight="1" s="480" thickBot="1">
      <c r="H35" s="165" t="n">
        <v>5</v>
      </c>
      <c r="I35" s="166">
        <f t="array" ref="I35">IFERROR(INDEX(재고분석!$C:$C,MATCH(_xlfn.AGGREGATE(15,6,재고분석!$M:$M/(재고분석!$M:$M&gt;0),5),재고분석!$M:$M,0)),"")</f>
        <v/>
      </c>
      <c r="J35" s="166">
        <f>IFERROR(INDEX(재고분석!$D:$D,MATCH(I35,재고분석!$C:$C,0)),"")</f>
        <v/>
      </c>
      <c r="K35" s="266">
        <f>IFERROR(INDEX(재고분석!$J:$J,MATCH(I35,재고분석!$C:$C,0)),0)</f>
        <v/>
      </c>
      <c r="L35" s="506">
        <f>IFERROR(INDEX(재고분석!$M:$M,MATCH(I35,재고분석!$C:$C,0)),0)</f>
        <v/>
      </c>
      <c r="M35" s="496" t="n"/>
    </row>
    <row r="36">
      <c r="H36" s="13" t="inlineStr">
        <is>
          <t>* 재고분석 시트를 회전일 기준으로 정렬하여 확인</t>
        </is>
      </c>
    </row>
  </sheetData>
  <conditionalFormatting sqref="L6:L15">
    <cfRule type="cellIs" priority="1" operator="lessThan" dxfId="43">
      <formula>0</formula>
    </cfRule>
  </conditionalFormatting>
  <hyperlinks>
    <hyperlink ref="R6" location="재고분석!A1" display="긴급 조치가 필요한 상태: 오른쪽 캡쳐(표)참조 "/>
    <hyperlink ref="R12" location="재고분석!A1" display="적정 오른쪽 캡쳐(표) 참조 -&gt; 정상이므로 제외"/>
  </hyperlink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/>
  </sheetPr>
  <dimension ref="A1:CZ102"/>
  <sheetViews>
    <sheetView zoomScaleNormal="100" workbookViewId="0">
      <pane xSplit="7" ySplit="3" topLeftCell="BQ4" activePane="bottomRight" state="frozen"/>
      <selection activeCell="G39" sqref="G39"/>
      <selection pane="topRight" activeCell="G39" sqref="G39"/>
      <selection pane="bottomLeft" activeCell="G39" sqref="G39"/>
      <selection pane="bottomRight" activeCell="BQ2" sqref="BQ2:BR2"/>
    </sheetView>
  </sheetViews>
  <sheetFormatPr baseColWidth="8" defaultRowHeight="16.5"/>
  <cols>
    <col width="11.125" bestFit="1" customWidth="1" style="158" min="1" max="1"/>
    <col width="10" customWidth="1" style="480" min="2" max="2"/>
    <col width="7.75" customWidth="1" style="480" min="3" max="3"/>
    <col width="7.125" customWidth="1" style="480" min="4" max="4"/>
    <col width="9.625" bestFit="1" customWidth="1" style="480" min="5" max="5"/>
    <col width="9.5" bestFit="1" customWidth="1" style="480" min="6" max="6"/>
    <col width="11.125" customWidth="1" style="480" min="7" max="7"/>
    <col width="8.625" bestFit="1" customWidth="1" style="480" min="8" max="8"/>
    <col width="7.125" bestFit="1" customWidth="1" style="480" min="9" max="9"/>
    <col width="6.5" bestFit="1" customWidth="1" style="480" min="10" max="10"/>
    <col width="5.375" bestFit="1" customWidth="1" style="480" min="11" max="11"/>
    <col width="5.625" bestFit="1" customWidth="1" style="480" min="12" max="12"/>
    <col width="7.125" bestFit="1" customWidth="1" style="480" min="13" max="14"/>
    <col width="8.625" bestFit="1" customWidth="1" style="480" min="15" max="16"/>
    <col width="7.125" bestFit="1" customWidth="1" style="480" min="17" max="17"/>
    <col width="6.5" bestFit="1" customWidth="1" style="480" min="18" max="18"/>
    <col width="5.375" bestFit="1" customWidth="1" style="480" min="19" max="19"/>
    <col width="5.625" bestFit="1" customWidth="1" style="480" min="20" max="20"/>
    <col width="7.125" bestFit="1" customWidth="1" style="480" min="21" max="22"/>
    <col width="8.625" bestFit="1" customWidth="1" style="480" min="23" max="24"/>
    <col width="7.125" bestFit="1" customWidth="1" style="480" min="25" max="25"/>
    <col width="6.5" bestFit="1" customWidth="1" style="480" min="26" max="26"/>
    <col width="5.375" bestFit="1" customWidth="1" style="480" min="27" max="27"/>
    <col width="5.625" bestFit="1" customWidth="1" style="480" min="28" max="28"/>
    <col width="7.125" bestFit="1" customWidth="1" style="480" min="29" max="30"/>
    <col width="8.625" bestFit="1" customWidth="1" style="480" min="31" max="32"/>
    <col width="7.125" bestFit="1" customWidth="1" style="480" min="33" max="33"/>
    <col width="6.5" bestFit="1" customWidth="1" style="480" min="34" max="34"/>
    <col width="5.375" bestFit="1" customWidth="1" style="480" min="35" max="35"/>
    <col width="5.625" bestFit="1" customWidth="1" style="480" min="36" max="36"/>
    <col width="7.125" bestFit="1" customWidth="1" style="480" min="37" max="38"/>
    <col width="8.625" bestFit="1" customWidth="1" style="480" min="39" max="40"/>
    <col width="7.125" bestFit="1" customWidth="1" style="480" min="41" max="41"/>
    <col width="6.5" bestFit="1" customWidth="1" style="480" min="42" max="42"/>
    <col width="5.375" bestFit="1" customWidth="1" style="480" min="43" max="43"/>
    <col width="5.625" bestFit="1" customWidth="1" style="480" min="44" max="44"/>
    <col width="7.125" bestFit="1" customWidth="1" style="480" min="45" max="46"/>
    <col width="8.625" bestFit="1" customWidth="1" style="480" min="47" max="48"/>
    <col width="7.125" bestFit="1" customWidth="1" style="480" min="49" max="49"/>
    <col width="6.5" bestFit="1" customWidth="1" style="480" min="50" max="50"/>
    <col width="5.375" bestFit="1" customWidth="1" style="480" min="51" max="51"/>
    <col width="5.625" bestFit="1" customWidth="1" style="480" min="52" max="52"/>
    <col width="7.125" bestFit="1" customWidth="1" style="480" min="53" max="54"/>
    <col width="8.625" bestFit="1" customWidth="1" style="480" min="55" max="56"/>
    <col width="7.125" bestFit="1" customWidth="1" style="480" min="57" max="57"/>
    <col width="6.5" bestFit="1" customWidth="1" style="480" min="58" max="58"/>
    <col width="5.375" bestFit="1" customWidth="1" style="480" min="59" max="59"/>
    <col width="5.625" bestFit="1" customWidth="1" style="480" min="60" max="60"/>
    <col width="7.125" bestFit="1" customWidth="1" style="480" min="61" max="62"/>
    <col width="8.625" bestFit="1" customWidth="1" style="480" min="63" max="64"/>
    <col width="7.125" bestFit="1" customWidth="1" style="480" min="65" max="65"/>
    <col width="6.5" bestFit="1" customWidth="1" style="480" min="66" max="66"/>
    <col width="5.375" bestFit="1" customWidth="1" style="480" min="67" max="67"/>
    <col width="5.625" bestFit="1" customWidth="1" style="480" min="68" max="68"/>
    <col width="7.125" bestFit="1" customWidth="1" style="480" min="69" max="70"/>
    <col width="8.625" bestFit="1" customWidth="1" style="480" min="71" max="72"/>
    <col width="7.125" bestFit="1" customWidth="1" style="480" min="73" max="73"/>
    <col width="6.5" bestFit="1" customWidth="1" style="480" min="74" max="74"/>
    <col width="5.375" bestFit="1" customWidth="1" style="480" min="75" max="75"/>
    <col width="5.625" bestFit="1" customWidth="1" style="480" min="76" max="76"/>
    <col width="7.125" bestFit="1" customWidth="1" style="480" min="77" max="78"/>
    <col width="8.625" bestFit="1" customWidth="1" style="480" min="79" max="80"/>
    <col width="7.125" bestFit="1" customWidth="1" style="480" min="81" max="81"/>
    <col width="6.5" bestFit="1" customWidth="1" style="480" min="82" max="82"/>
    <col width="5.375" bestFit="1" customWidth="1" style="480" min="83" max="83"/>
    <col width="5.625" bestFit="1" customWidth="1" style="480" min="84" max="84"/>
    <col width="7.125" bestFit="1" customWidth="1" style="480" min="85" max="86"/>
    <col width="8.625" bestFit="1" customWidth="1" style="480" min="87" max="88"/>
    <col width="7.125" bestFit="1" customWidth="1" style="480" min="89" max="89"/>
    <col width="6.5" bestFit="1" customWidth="1" style="480" min="90" max="90"/>
    <col width="5.375" bestFit="1" customWidth="1" style="480" min="91" max="91"/>
    <col width="5.625" bestFit="1" customWidth="1" style="480" min="92" max="92"/>
    <col width="7.125" bestFit="1" customWidth="1" style="480" min="93" max="94"/>
    <col width="8.625" bestFit="1" customWidth="1" style="480" min="95" max="96"/>
    <col width="7.125" bestFit="1" customWidth="1" style="480" min="97" max="97"/>
    <col width="6.5" bestFit="1" customWidth="1" style="480" min="98" max="98"/>
    <col width="5.375" bestFit="1" customWidth="1" style="480" min="99" max="99"/>
    <col width="5.625" bestFit="1" customWidth="1" style="480" min="100" max="100"/>
    <col width="7.125" bestFit="1" customWidth="1" style="480" min="101" max="102"/>
    <col width="8.625" bestFit="1" customWidth="1" style="480" min="103" max="104"/>
  </cols>
  <sheetData>
    <row r="1" ht="16.5" customHeight="1" s="480">
      <c r="A1" s="315" t="n"/>
      <c r="B1" s="98" t="n"/>
      <c r="C1" s="98" t="n"/>
      <c r="D1" s="98" t="n"/>
      <c r="E1" s="98" t="n"/>
      <c r="F1" s="98" t="n"/>
      <c r="G1" s="492" t="n"/>
      <c r="H1" s="210" t="n">
        <v>202512</v>
      </c>
      <c r="I1" s="481" t="n">
        <v>202601</v>
      </c>
      <c r="J1" s="482" t="n"/>
      <c r="K1" s="482" t="n"/>
      <c r="L1" s="482" t="n"/>
      <c r="M1" s="482" t="n"/>
      <c r="N1" s="482" t="n"/>
      <c r="O1" s="482" t="n"/>
      <c r="P1" s="483" t="n"/>
      <c r="Q1" s="481" t="n">
        <v>202602</v>
      </c>
      <c r="R1" s="482" t="n"/>
      <c r="S1" s="482" t="n"/>
      <c r="T1" s="482" t="n"/>
      <c r="U1" s="482" t="n"/>
      <c r="V1" s="482" t="n"/>
      <c r="W1" s="482" t="n"/>
      <c r="X1" s="483" t="n"/>
      <c r="Y1" s="481" t="n">
        <v>202603</v>
      </c>
      <c r="Z1" s="482" t="n"/>
      <c r="AA1" s="482" t="n"/>
      <c r="AB1" s="482" t="n"/>
      <c r="AC1" s="482" t="n"/>
      <c r="AD1" s="482" t="n"/>
      <c r="AE1" s="482" t="n"/>
      <c r="AF1" s="483" t="n"/>
      <c r="AG1" s="481" t="n">
        <v>202604</v>
      </c>
      <c r="AH1" s="482" t="n"/>
      <c r="AI1" s="482" t="n"/>
      <c r="AJ1" s="482" t="n"/>
      <c r="AK1" s="482" t="n"/>
      <c r="AL1" s="482" t="n"/>
      <c r="AM1" s="482" t="n"/>
      <c r="AN1" s="483" t="n"/>
      <c r="AO1" s="481" t="n">
        <v>202605</v>
      </c>
      <c r="AP1" s="482" t="n"/>
      <c r="AQ1" s="482" t="n"/>
      <c r="AR1" s="482" t="n"/>
      <c r="AS1" s="482" t="n"/>
      <c r="AT1" s="482" t="n"/>
      <c r="AU1" s="482" t="n"/>
      <c r="AV1" s="483" t="n"/>
      <c r="AW1" s="481" t="n">
        <v>202606</v>
      </c>
      <c r="AX1" s="482" t="n"/>
      <c r="AY1" s="482" t="n"/>
      <c r="AZ1" s="482" t="n"/>
      <c r="BA1" s="482" t="n"/>
      <c r="BB1" s="482" t="n"/>
      <c r="BC1" s="482" t="n"/>
      <c r="BD1" s="483" t="n"/>
      <c r="BE1" s="481" t="n">
        <v>202607</v>
      </c>
      <c r="BF1" s="482" t="n"/>
      <c r="BG1" s="482" t="n"/>
      <c r="BH1" s="482" t="n"/>
      <c r="BI1" s="482" t="n"/>
      <c r="BJ1" s="482" t="n"/>
      <c r="BK1" s="482" t="n"/>
      <c r="BL1" s="483" t="n"/>
      <c r="BM1" s="481" t="n">
        <v>202608</v>
      </c>
      <c r="BN1" s="482" t="n"/>
      <c r="BO1" s="482" t="n"/>
      <c r="BP1" s="482" t="n"/>
      <c r="BQ1" s="482" t="n"/>
      <c r="BR1" s="482" t="n"/>
      <c r="BS1" s="482" t="n"/>
      <c r="BT1" s="483" t="n"/>
      <c r="BU1" s="485" t="n">
        <v>202609</v>
      </c>
      <c r="BV1" s="486" t="n"/>
      <c r="BW1" s="486" t="n"/>
      <c r="BX1" s="486" t="n"/>
      <c r="BY1" s="486" t="n"/>
      <c r="BZ1" s="486" t="n"/>
      <c r="CA1" s="486" t="n"/>
      <c r="CB1" s="487" t="n"/>
      <c r="CC1" s="481" t="n">
        <v>202610</v>
      </c>
      <c r="CD1" s="482" t="n"/>
      <c r="CE1" s="482" t="n"/>
      <c r="CF1" s="482" t="n"/>
      <c r="CG1" s="482" t="n"/>
      <c r="CH1" s="482" t="n"/>
      <c r="CI1" s="482" t="n"/>
      <c r="CJ1" s="483" t="n"/>
      <c r="CK1" s="485" t="n">
        <v>202611</v>
      </c>
      <c r="CL1" s="486" t="n"/>
      <c r="CM1" s="486" t="n"/>
      <c r="CN1" s="486" t="n"/>
      <c r="CO1" s="486" t="n"/>
      <c r="CP1" s="486" t="n"/>
      <c r="CQ1" s="486" t="n"/>
      <c r="CR1" s="487" t="n"/>
      <c r="CS1" s="481" t="n">
        <v>202612</v>
      </c>
      <c r="CT1" s="482" t="n"/>
      <c r="CU1" s="482" t="n"/>
      <c r="CV1" s="482" t="n"/>
      <c r="CW1" s="482" t="n"/>
      <c r="CX1" s="482" t="n"/>
      <c r="CY1" s="482" t="n"/>
      <c r="CZ1" s="483" t="n"/>
    </row>
    <row r="2">
      <c r="A2" s="434" t="n"/>
      <c r="B2" s="98" t="n"/>
      <c r="C2" s="98" t="n"/>
      <c r="D2" s="98" t="n"/>
      <c r="E2" s="98" t="n"/>
      <c r="F2" s="98" t="n"/>
      <c r="H2" s="24" t="inlineStr">
        <is>
          <t>재고</t>
        </is>
      </c>
      <c r="I2" s="484" t="inlineStr">
        <is>
          <t>수요</t>
        </is>
      </c>
      <c r="M2" s="479" t="inlineStr">
        <is>
          <t>공급</t>
        </is>
      </c>
      <c r="O2" s="477" t="inlineStr">
        <is>
          <t>재고</t>
        </is>
      </c>
      <c r="P2" s="478" t="n"/>
      <c r="Q2" s="484" t="inlineStr">
        <is>
          <t>수요</t>
        </is>
      </c>
      <c r="U2" s="479" t="inlineStr">
        <is>
          <t>공급</t>
        </is>
      </c>
      <c r="W2" s="477" t="inlineStr">
        <is>
          <t>재고</t>
        </is>
      </c>
      <c r="X2" s="478" t="n"/>
      <c r="Y2" s="484" t="inlineStr">
        <is>
          <t>수요</t>
        </is>
      </c>
      <c r="AC2" s="479" t="inlineStr">
        <is>
          <t>공급</t>
        </is>
      </c>
      <c r="AE2" s="477" t="inlineStr">
        <is>
          <t>재고</t>
        </is>
      </c>
      <c r="AF2" s="478" t="n"/>
      <c r="AG2" s="484" t="inlineStr">
        <is>
          <t>수요</t>
        </is>
      </c>
      <c r="AK2" s="479" t="inlineStr">
        <is>
          <t>공급</t>
        </is>
      </c>
      <c r="AM2" s="477" t="inlineStr">
        <is>
          <t>재고</t>
        </is>
      </c>
      <c r="AN2" s="478" t="n"/>
      <c r="AO2" s="484" t="inlineStr">
        <is>
          <t>수요</t>
        </is>
      </c>
      <c r="AS2" s="479" t="inlineStr">
        <is>
          <t>공급</t>
        </is>
      </c>
      <c r="AU2" s="477" t="inlineStr">
        <is>
          <t>재고</t>
        </is>
      </c>
      <c r="AV2" s="478" t="n"/>
      <c r="AW2" s="484" t="inlineStr">
        <is>
          <t>수요</t>
        </is>
      </c>
      <c r="BA2" s="479" t="inlineStr">
        <is>
          <t>공급</t>
        </is>
      </c>
      <c r="BC2" s="477" t="inlineStr">
        <is>
          <t>재고</t>
        </is>
      </c>
      <c r="BD2" s="478" t="n"/>
      <c r="BE2" s="484" t="inlineStr">
        <is>
          <t>수요</t>
        </is>
      </c>
      <c r="BI2" s="479" t="inlineStr">
        <is>
          <t>공급</t>
        </is>
      </c>
      <c r="BK2" s="477" t="inlineStr">
        <is>
          <t>재고</t>
        </is>
      </c>
      <c r="BL2" s="478" t="n"/>
      <c r="BM2" s="484" t="inlineStr">
        <is>
          <t>수요</t>
        </is>
      </c>
      <c r="BQ2" s="479" t="inlineStr">
        <is>
          <t>공급</t>
        </is>
      </c>
      <c r="BS2" s="477" t="inlineStr">
        <is>
          <t>재고</t>
        </is>
      </c>
      <c r="BT2" s="478" t="n"/>
      <c r="BU2" s="488" t="inlineStr">
        <is>
          <t>수요</t>
        </is>
      </c>
      <c r="BV2" s="489" t="n"/>
      <c r="BW2" s="489" t="n"/>
      <c r="BX2" s="490" t="n"/>
      <c r="BY2" s="491" t="inlineStr">
        <is>
          <t>공급</t>
        </is>
      </c>
      <c r="BZ2" s="490" t="n"/>
      <c r="CA2" s="491" t="inlineStr">
        <is>
          <t>재고</t>
        </is>
      </c>
      <c r="CB2" s="490" t="n"/>
      <c r="CC2" s="488" t="inlineStr">
        <is>
          <t>수요</t>
        </is>
      </c>
      <c r="CD2" s="489" t="n"/>
      <c r="CE2" s="489" t="n"/>
      <c r="CF2" s="490" t="n"/>
      <c r="CG2" s="491" t="inlineStr">
        <is>
          <t>공급</t>
        </is>
      </c>
      <c r="CH2" s="490" t="n"/>
      <c r="CI2" s="491" t="inlineStr">
        <is>
          <t>재고</t>
        </is>
      </c>
      <c r="CJ2" s="490" t="n"/>
      <c r="CK2" s="488" t="inlineStr">
        <is>
          <t>\</t>
        </is>
      </c>
      <c r="CL2" s="489" t="n"/>
      <c r="CM2" s="489" t="n"/>
      <c r="CN2" s="490" t="n"/>
      <c r="CO2" s="491" t="inlineStr">
        <is>
          <t>공급</t>
        </is>
      </c>
      <c r="CP2" s="490" t="n"/>
      <c r="CQ2" s="491" t="inlineStr">
        <is>
          <t>재고</t>
        </is>
      </c>
      <c r="CR2" s="490" t="n"/>
      <c r="CS2" s="484" t="inlineStr">
        <is>
          <t>수요</t>
        </is>
      </c>
      <c r="CW2" s="479" t="inlineStr">
        <is>
          <t>공급</t>
        </is>
      </c>
      <c r="CY2" s="477" t="inlineStr">
        <is>
          <t>재고</t>
        </is>
      </c>
      <c r="CZ2" s="478" t="n"/>
    </row>
    <row r="3" ht="33" customFormat="1" customHeight="1" s="25">
      <c r="A3" s="19" t="inlineStr">
        <is>
          <t>SKU코드</t>
        </is>
      </c>
      <c r="B3" s="19" t="inlineStr">
        <is>
          <t>제품명</t>
        </is>
      </c>
      <c r="C3" s="19" t="inlineStr">
        <is>
          <t>카테고리</t>
        </is>
      </c>
      <c r="D3" s="19" t="inlineStr">
        <is>
          <t>계절</t>
        </is>
      </c>
      <c r="E3" s="19" t="inlineStr">
        <is>
          <t>ABC
등급</t>
        </is>
      </c>
      <c r="F3" s="19" t="inlineStr">
        <is>
          <t>XYZ
등급</t>
        </is>
      </c>
      <c r="G3" s="20" t="inlineStr">
        <is>
          <t>기초재고</t>
        </is>
      </c>
      <c r="H3" s="24" t="inlineStr">
        <is>
          <t>말재고실적</t>
        </is>
      </c>
      <c r="I3" s="21" t="inlineStr">
        <is>
          <t>SCM F/C</t>
        </is>
      </c>
      <c r="J3" s="22" t="inlineStr">
        <is>
          <t>MD F/C</t>
        </is>
      </c>
      <c r="K3" s="22" t="inlineStr">
        <is>
          <t>S&amp;OP</t>
        </is>
      </c>
      <c r="L3" s="22" t="inlineStr">
        <is>
          <t>실판매</t>
        </is>
      </c>
      <c r="M3" s="22" t="inlineStr">
        <is>
          <t>입고계획</t>
        </is>
      </c>
      <c r="N3" s="22" t="inlineStr">
        <is>
          <t>입고실적</t>
        </is>
      </c>
      <c r="O3" s="22" t="inlineStr">
        <is>
          <t>말재고계획</t>
        </is>
      </c>
      <c r="P3" s="23" t="inlineStr">
        <is>
          <t>말재고실적</t>
        </is>
      </c>
      <c r="Q3" s="21" t="inlineStr">
        <is>
          <t>SCM F/C</t>
        </is>
      </c>
      <c r="R3" s="22" t="inlineStr">
        <is>
          <t>MD F/C</t>
        </is>
      </c>
      <c r="S3" s="22" t="inlineStr">
        <is>
          <t>S&amp;OP</t>
        </is>
      </c>
      <c r="T3" s="22" t="inlineStr">
        <is>
          <t>실판매</t>
        </is>
      </c>
      <c r="U3" s="22" t="inlineStr">
        <is>
          <t>입고계획</t>
        </is>
      </c>
      <c r="V3" s="22" t="inlineStr">
        <is>
          <t>입고실적</t>
        </is>
      </c>
      <c r="W3" s="22" t="inlineStr">
        <is>
          <t>말재고계획</t>
        </is>
      </c>
      <c r="X3" s="23" t="inlineStr">
        <is>
          <t>말재고실적</t>
        </is>
      </c>
      <c r="Y3" s="21" t="inlineStr">
        <is>
          <t>SCM F/C</t>
        </is>
      </c>
      <c r="Z3" s="22" t="inlineStr">
        <is>
          <t>MD F/C</t>
        </is>
      </c>
      <c r="AA3" s="22" t="inlineStr">
        <is>
          <t>S&amp;OP</t>
        </is>
      </c>
      <c r="AB3" s="22" t="inlineStr">
        <is>
          <t>실판매</t>
        </is>
      </c>
      <c r="AC3" s="22" t="inlineStr">
        <is>
          <t>입고계획</t>
        </is>
      </c>
      <c r="AD3" s="22" t="inlineStr">
        <is>
          <t>입고실적</t>
        </is>
      </c>
      <c r="AE3" s="22" t="inlineStr">
        <is>
          <t>말재고계획</t>
        </is>
      </c>
      <c r="AF3" s="23" t="inlineStr">
        <is>
          <t>말재고실적</t>
        </is>
      </c>
      <c r="AG3" s="21" t="inlineStr">
        <is>
          <t>SCM F/C</t>
        </is>
      </c>
      <c r="AH3" s="22" t="inlineStr">
        <is>
          <t>MD F/C</t>
        </is>
      </c>
      <c r="AI3" s="22" t="inlineStr">
        <is>
          <t>S&amp;OP</t>
        </is>
      </c>
      <c r="AJ3" s="22" t="inlineStr">
        <is>
          <t>실판매</t>
        </is>
      </c>
      <c r="AK3" s="22" t="inlineStr">
        <is>
          <t>입고계획</t>
        </is>
      </c>
      <c r="AL3" s="22" t="inlineStr">
        <is>
          <t>입고실적</t>
        </is>
      </c>
      <c r="AM3" s="22" t="inlineStr">
        <is>
          <t>말재고계획</t>
        </is>
      </c>
      <c r="AN3" s="23" t="inlineStr">
        <is>
          <t>말재고실적</t>
        </is>
      </c>
      <c r="AO3" s="21" t="inlineStr">
        <is>
          <t>SCM F/C</t>
        </is>
      </c>
      <c r="AP3" s="22" t="inlineStr">
        <is>
          <t>MD F/C</t>
        </is>
      </c>
      <c r="AQ3" s="22" t="inlineStr">
        <is>
          <t>S&amp;OP</t>
        </is>
      </c>
      <c r="AR3" s="22" t="inlineStr">
        <is>
          <t>실판매</t>
        </is>
      </c>
      <c r="AS3" s="22" t="inlineStr">
        <is>
          <t>입고계획</t>
        </is>
      </c>
      <c r="AT3" s="22" t="inlineStr">
        <is>
          <t>입고실적</t>
        </is>
      </c>
      <c r="AU3" s="22" t="inlineStr">
        <is>
          <t>말재고계획</t>
        </is>
      </c>
      <c r="AV3" s="23" t="inlineStr">
        <is>
          <t>말재고실적</t>
        </is>
      </c>
      <c r="AW3" s="21" t="inlineStr">
        <is>
          <t>SCM F/C</t>
        </is>
      </c>
      <c r="AX3" s="22" t="inlineStr">
        <is>
          <t>MD F/C</t>
        </is>
      </c>
      <c r="AY3" s="22" t="inlineStr">
        <is>
          <t>S&amp;OP</t>
        </is>
      </c>
      <c r="AZ3" s="22" t="inlineStr">
        <is>
          <t>실판매</t>
        </is>
      </c>
      <c r="BA3" s="22" t="inlineStr">
        <is>
          <t>입고계획</t>
        </is>
      </c>
      <c r="BB3" s="22" t="inlineStr">
        <is>
          <t>입고실적</t>
        </is>
      </c>
      <c r="BC3" s="22" t="inlineStr">
        <is>
          <t>말재고계획</t>
        </is>
      </c>
      <c r="BD3" s="23" t="inlineStr">
        <is>
          <t>말재고실적</t>
        </is>
      </c>
      <c r="BE3" s="21" t="inlineStr">
        <is>
          <t>SCM F/C</t>
        </is>
      </c>
      <c r="BF3" s="22" t="inlineStr">
        <is>
          <t>MD F/C</t>
        </is>
      </c>
      <c r="BG3" s="22" t="inlineStr">
        <is>
          <t>S&amp;OP</t>
        </is>
      </c>
      <c r="BH3" s="22" t="inlineStr">
        <is>
          <t>실판매</t>
        </is>
      </c>
      <c r="BI3" s="22" t="inlineStr">
        <is>
          <t>입고계획</t>
        </is>
      </c>
      <c r="BJ3" s="22" t="inlineStr">
        <is>
          <t>입고실적</t>
        </is>
      </c>
      <c r="BK3" s="22" t="inlineStr">
        <is>
          <t>말재고계획</t>
        </is>
      </c>
      <c r="BL3" s="23" t="inlineStr">
        <is>
          <t>말재고실적</t>
        </is>
      </c>
      <c r="BM3" s="21" t="inlineStr">
        <is>
          <t>SCM F/C</t>
        </is>
      </c>
      <c r="BN3" s="22" t="inlineStr">
        <is>
          <t>MD F/C</t>
        </is>
      </c>
      <c r="BO3" s="22" t="inlineStr">
        <is>
          <t>S&amp;OP</t>
        </is>
      </c>
      <c r="BP3" s="22" t="inlineStr">
        <is>
          <t>실판매</t>
        </is>
      </c>
      <c r="BQ3" s="22" t="inlineStr">
        <is>
          <t>입고계획</t>
        </is>
      </c>
      <c r="BR3" s="22" t="inlineStr">
        <is>
          <t>입고실적</t>
        </is>
      </c>
      <c r="BS3" s="22" t="inlineStr">
        <is>
          <t>말재고계획</t>
        </is>
      </c>
      <c r="BT3" s="23" t="inlineStr">
        <is>
          <t>말재고실적</t>
        </is>
      </c>
      <c r="BU3" s="21" t="inlineStr">
        <is>
          <t>SCM F/C</t>
        </is>
      </c>
      <c r="BV3" s="22" t="inlineStr">
        <is>
          <t>MD F/C</t>
        </is>
      </c>
      <c r="BW3" s="22" t="inlineStr">
        <is>
          <t>S&amp;OP</t>
        </is>
      </c>
      <c r="BX3" s="22" t="inlineStr">
        <is>
          <t>실판매</t>
        </is>
      </c>
      <c r="BY3" s="22" t="inlineStr">
        <is>
          <t>입고계획</t>
        </is>
      </c>
      <c r="BZ3" s="22" t="inlineStr">
        <is>
          <t>입고실적</t>
        </is>
      </c>
      <c r="CA3" s="22" t="inlineStr">
        <is>
          <t>말재고계획</t>
        </is>
      </c>
      <c r="CB3" s="23" t="inlineStr">
        <is>
          <t>말재고실적</t>
        </is>
      </c>
      <c r="CC3" s="21" t="inlineStr">
        <is>
          <t>SCM F/C</t>
        </is>
      </c>
      <c r="CD3" s="22" t="inlineStr">
        <is>
          <t>MD F/C</t>
        </is>
      </c>
      <c r="CE3" s="22" t="inlineStr">
        <is>
          <t>S&amp;OP</t>
        </is>
      </c>
      <c r="CF3" s="22" t="inlineStr">
        <is>
          <t>실판매</t>
        </is>
      </c>
      <c r="CG3" s="22" t="inlineStr">
        <is>
          <t>입고계획</t>
        </is>
      </c>
      <c r="CH3" s="22" t="inlineStr">
        <is>
          <t>입고실적</t>
        </is>
      </c>
      <c r="CI3" s="22" t="inlineStr">
        <is>
          <t>말재고계획</t>
        </is>
      </c>
      <c r="CJ3" s="23" t="inlineStr">
        <is>
          <t>말재고실적</t>
        </is>
      </c>
      <c r="CK3" s="21" t="inlineStr">
        <is>
          <t>SCM F/C</t>
        </is>
      </c>
      <c r="CL3" s="22" t="inlineStr">
        <is>
          <t>MD F/C</t>
        </is>
      </c>
      <c r="CM3" s="22" t="inlineStr">
        <is>
          <t>S&amp;OP</t>
        </is>
      </c>
      <c r="CN3" s="22" t="inlineStr">
        <is>
          <t>실판매</t>
        </is>
      </c>
      <c r="CO3" s="22" t="inlineStr">
        <is>
          <t>입고계획</t>
        </is>
      </c>
      <c r="CP3" s="22" t="inlineStr">
        <is>
          <t>입고실적</t>
        </is>
      </c>
      <c r="CQ3" s="22" t="inlineStr">
        <is>
          <t>말재고계획</t>
        </is>
      </c>
      <c r="CR3" s="23" t="inlineStr">
        <is>
          <t>말재고실적</t>
        </is>
      </c>
      <c r="CS3" s="21" t="inlineStr">
        <is>
          <t>SCM F/C</t>
        </is>
      </c>
      <c r="CT3" s="22" t="inlineStr">
        <is>
          <t>MD F/C</t>
        </is>
      </c>
      <c r="CU3" s="22" t="inlineStr">
        <is>
          <t>S&amp;OP</t>
        </is>
      </c>
      <c r="CV3" s="22" t="inlineStr">
        <is>
          <t>실판매</t>
        </is>
      </c>
      <c r="CW3" s="22" t="inlineStr">
        <is>
          <t>입고계획</t>
        </is>
      </c>
      <c r="CX3" s="22" t="inlineStr">
        <is>
          <t>입고실적</t>
        </is>
      </c>
      <c r="CY3" s="22" t="inlineStr">
        <is>
          <t>말재고계획</t>
        </is>
      </c>
      <c r="CZ3" s="23" t="inlineStr">
        <is>
          <t>말재고실적</t>
        </is>
      </c>
    </row>
    <row r="4">
      <c r="A4" s="28" t="inlineStr">
        <is>
          <t>ABC1</t>
        </is>
      </c>
      <c r="B4" s="379" t="n"/>
      <c r="C4" s="27" t="n"/>
      <c r="D4" s="28">
        <f>_xlfn.XLOOKUP(A4,'ABC-XYZ분석 (2)'!C:C,'ABC-XYZ분석 (2)'!I:I)</f>
        <v/>
      </c>
      <c r="E4" s="28">
        <f>_xlfn.XLOOKUP(A4,'ABC-XYZ분석 (2)'!C:C,'ABC-XYZ분석 (2)'!AC:AC)</f>
        <v/>
      </c>
      <c r="F4" s="3">
        <f>_xlfn.XLOOKUP(A4,'ABC-XYZ분석 (2)'!C:C,'ABC-XYZ분석 (2)'!AG:AG)</f>
        <v/>
      </c>
      <c r="G4" s="14">
        <f>SUMIF(재고!C:C,PSI_메인!A4,재고!I:I)</f>
        <v/>
      </c>
      <c r="H4" s="18" t="n">
        <v>1707</v>
      </c>
      <c r="I4" s="15" t="n">
        <v>0</v>
      </c>
      <c r="J4" s="9" t="n">
        <v>0</v>
      </c>
      <c r="K4" s="10" t="n">
        <v>0</v>
      </c>
      <c r="L4" s="11" t="n">
        <v>0</v>
      </c>
      <c r="M4" s="9">
        <f>SUMIFS(입항스케줄!J:J,입항스케줄!C:C,PSI_메인!A4,입항스케줄!U:U,"2601")</f>
        <v/>
      </c>
      <c r="N4" s="11">
        <f>SUMIFS(입항스케줄!J:J,입항스케줄!C:C,PSI_메인!A4,입항스케줄!V:V,"2601")</f>
        <v/>
      </c>
      <c r="O4" s="4">
        <f>H4+M4-K4</f>
        <v/>
      </c>
      <c r="P4" s="16">
        <f>H4+N4-L4</f>
        <v/>
      </c>
      <c r="Q4" s="15" t="n">
        <v>0</v>
      </c>
      <c r="R4" s="9" t="n">
        <v>0</v>
      </c>
      <c r="S4" s="10" t="n">
        <v>0</v>
      </c>
      <c r="T4" s="11" t="n">
        <v>0</v>
      </c>
      <c r="U4" s="9">
        <f>SUMIFS(입항스케줄!J:J,입항스케줄!C:C,PSI_메인!A4,입항스케줄!U:U,"2602")</f>
        <v/>
      </c>
      <c r="V4" s="11">
        <f>SUMIFS(입항스케줄!J:J,입항스케줄!C:C,PSI_메인!A4,입항스케줄!V:V,"2602")</f>
        <v/>
      </c>
      <c r="W4" s="4">
        <f>P4+U4-S4</f>
        <v/>
      </c>
      <c r="X4" s="16">
        <f>P4+V4-T4</f>
        <v/>
      </c>
      <c r="Y4" s="15" t="n">
        <v>0</v>
      </c>
      <c r="Z4" s="9" t="n">
        <v>0</v>
      </c>
      <c r="AA4" s="10">
        <f>ROUND((Y4+Z4)/2,0)</f>
        <v/>
      </c>
      <c r="AB4" s="11" t="n">
        <v>0</v>
      </c>
      <c r="AC4" s="9">
        <f>SUMIFS(입항스케줄!J:J,입항스케줄!C:C,PSI_메인!A4,입항스케줄!U:U,"2603")</f>
        <v/>
      </c>
      <c r="AD4" s="11">
        <f>SUMIFS(입항스케줄!J:J,입항스케줄!C:C,PSI_메인!A4,입항스케줄!V:V,"2603")</f>
        <v/>
      </c>
      <c r="AE4" s="4">
        <f>X4+AC4-AA4</f>
        <v/>
      </c>
      <c r="AF4" s="16">
        <f>X4+AD4-AB4</f>
        <v/>
      </c>
      <c r="AG4" s="15" t="n">
        <v>0</v>
      </c>
      <c r="AH4" s="9" t="n">
        <v>0</v>
      </c>
      <c r="AI4" s="10">
        <f>ROUND((AG4+AH4)/2,0)</f>
        <v/>
      </c>
      <c r="AJ4" s="11" t="n">
        <v>0</v>
      </c>
      <c r="AK4" s="9">
        <f>SUMIFS(입항스케줄!J:J,입항스케줄!C:C,PSI_메인!A4,입항스케줄!U:U,"2604")</f>
        <v/>
      </c>
      <c r="AL4" s="11">
        <f>SUMIFS(입항스케줄!J:J,입항스케줄!C:C,PSI_메인!A4,입항스케줄!V:V,"2604")</f>
        <v/>
      </c>
      <c r="AM4" s="4">
        <f>AF4+AK4-AI4</f>
        <v/>
      </c>
      <c r="AN4" s="16">
        <f>AF4+AL4-AJ4</f>
        <v/>
      </c>
      <c r="AO4" s="15" t="n">
        <v>0</v>
      </c>
      <c r="AP4" s="9" t="n">
        <v>0</v>
      </c>
      <c r="AQ4" s="10">
        <f>ROUND((AO4+AP4)/2,0)</f>
        <v/>
      </c>
      <c r="AR4" s="11" t="n">
        <v>0</v>
      </c>
      <c r="AS4" s="9" t="n"/>
      <c r="AT4" s="11" t="n"/>
      <c r="AU4" s="4">
        <f>AN4+AS4-AQ4</f>
        <v/>
      </c>
      <c r="AV4" s="16">
        <f>AN4+AT4-AR4</f>
        <v/>
      </c>
      <c r="AW4" s="15" t="n">
        <v>0</v>
      </c>
      <c r="AX4" s="9" t="n">
        <v>0</v>
      </c>
      <c r="AY4" s="10">
        <f>ROUND((AW4+AX4)/2,0)</f>
        <v/>
      </c>
      <c r="AZ4" s="11" t="n">
        <v>0</v>
      </c>
      <c r="BA4" s="9" t="n"/>
      <c r="BB4" s="11" t="n"/>
      <c r="BC4" s="4">
        <f>AV4+BA4-AY4</f>
        <v/>
      </c>
      <c r="BD4" s="16">
        <f>AV4+BB4-AZ4</f>
        <v/>
      </c>
      <c r="BE4" s="15" t="n">
        <v>0</v>
      </c>
      <c r="BF4" s="9" t="n">
        <v>0</v>
      </c>
      <c r="BG4" s="10">
        <f>ROUND((BE4+BF4)/2,0)</f>
        <v/>
      </c>
      <c r="BH4" s="11" t="n">
        <v>0</v>
      </c>
      <c r="BI4" s="9" t="n"/>
      <c r="BJ4" s="11" t="n"/>
      <c r="BK4" s="4">
        <f>BD4+BI4-BG4</f>
        <v/>
      </c>
      <c r="BL4" s="16">
        <f>BD4+BJ4-BH4</f>
        <v/>
      </c>
      <c r="BM4" s="15" t="n">
        <v>0</v>
      </c>
      <c r="BN4" s="9" t="n">
        <v>0</v>
      </c>
      <c r="BO4" s="10">
        <f>ROUND((BM4+BN4)/2,0)</f>
        <v/>
      </c>
      <c r="BP4" s="11" t="n">
        <v>0</v>
      </c>
      <c r="BQ4" s="9" t="n"/>
      <c r="BR4" s="11" t="n"/>
      <c r="BS4" s="4">
        <f>BL4+BQ4-BO4</f>
        <v/>
      </c>
      <c r="BT4" s="16">
        <f>BL4+BR4-BP4</f>
        <v/>
      </c>
      <c r="BU4" s="15" t="n">
        <v>0</v>
      </c>
      <c r="BV4" s="9" t="n">
        <v>0</v>
      </c>
      <c r="BW4" s="10">
        <f>ROUND((BU4+BV4)/2,0)</f>
        <v/>
      </c>
      <c r="BX4" s="11" t="n">
        <v>0</v>
      </c>
      <c r="BY4" s="9" t="n"/>
      <c r="BZ4" s="11" t="n"/>
      <c r="CA4" s="4">
        <f>BT4+BY4-BW4</f>
        <v/>
      </c>
      <c r="CB4" s="16">
        <f>BT4+BZ4-BX4</f>
        <v/>
      </c>
      <c r="CC4" s="15" t="n">
        <v>0</v>
      </c>
      <c r="CD4" s="9" t="n">
        <v>0</v>
      </c>
      <c r="CE4" s="10">
        <f>ROUND((CC4+CD4)/2,0)</f>
        <v/>
      </c>
      <c r="CF4" s="11" t="n">
        <v>0</v>
      </c>
      <c r="CG4" s="9" t="n"/>
      <c r="CH4" s="11" t="n"/>
      <c r="CI4" s="4">
        <f>CB4+CG4-CE4</f>
        <v/>
      </c>
      <c r="CJ4" s="16">
        <f>CB4+CH4-CF4</f>
        <v/>
      </c>
      <c r="CK4" s="15" t="n">
        <v>0</v>
      </c>
      <c r="CL4" s="9" t="n">
        <v>0</v>
      </c>
      <c r="CM4" s="10">
        <f>ROUND((CK4+CL4)/2,0)</f>
        <v/>
      </c>
      <c r="CN4" s="11" t="n">
        <v>0</v>
      </c>
      <c r="CO4" s="9" t="n"/>
      <c r="CP4" s="11" t="n"/>
      <c r="CQ4" s="4">
        <f>CJ4+CO4-CM4</f>
        <v/>
      </c>
      <c r="CR4" s="16">
        <f>CJ4+CP4-CN4</f>
        <v/>
      </c>
      <c r="CS4" s="15" t="n">
        <v>0</v>
      </c>
      <c r="CT4" s="9" t="n">
        <v>0</v>
      </c>
      <c r="CU4" s="10">
        <f>ROUND((CS4+CT4)/2,0)</f>
        <v/>
      </c>
      <c r="CV4" s="11" t="n">
        <v>0</v>
      </c>
      <c r="CW4" s="9" t="n"/>
      <c r="CX4" s="11" t="n"/>
      <c r="CY4" s="4">
        <f>CR4+CW4-CU4</f>
        <v/>
      </c>
      <c r="CZ4" s="16">
        <f>CR4+CX4-CV4</f>
        <v/>
      </c>
    </row>
    <row r="5">
      <c r="A5" s="28" t="inlineStr">
        <is>
          <t>ABC2</t>
        </is>
      </c>
      <c r="B5" s="379" t="n"/>
      <c r="C5" s="27" t="n"/>
      <c r="D5" s="28">
        <f>_xlfn.XLOOKUP(A5,'ABC-XYZ분석 (2)'!C:C,'ABC-XYZ분석 (2)'!I:I)</f>
        <v/>
      </c>
      <c r="E5" s="28">
        <f>_xlfn.XLOOKUP(A5,'ABC-XYZ분석 (2)'!C:C,'ABC-XYZ분석 (2)'!AC:AC)</f>
        <v/>
      </c>
      <c r="F5" s="3">
        <f>_xlfn.XLOOKUP(A5,'ABC-XYZ분석 (2)'!C:C,'ABC-XYZ분석 (2)'!AG:AG)</f>
        <v/>
      </c>
      <c r="G5" s="14">
        <f>SUMIF(재고!C:C,PSI_메인!A5,재고!I:I)</f>
        <v/>
      </c>
      <c r="H5" s="18" t="n">
        <v>2987</v>
      </c>
      <c r="I5" s="15" t="n">
        <v>0</v>
      </c>
      <c r="J5" s="9" t="n">
        <v>0</v>
      </c>
      <c r="K5" s="10" t="n">
        <v>0</v>
      </c>
      <c r="L5" s="11" t="n">
        <v>0</v>
      </c>
      <c r="M5" s="9">
        <f>SUMIFS(입항스케줄!J:J,입항스케줄!C:C,PSI_메인!A5,입항스케줄!U:U,"2601")</f>
        <v/>
      </c>
      <c r="N5" s="11">
        <f>SUMIFS(입항스케줄!J:J,입항스케줄!C:C,PSI_메인!A5,입항스케줄!V:V,"2601")</f>
        <v/>
      </c>
      <c r="O5" s="4">
        <f>H5+M5-K5</f>
        <v/>
      </c>
      <c r="P5" s="16">
        <f>H5+N5-L5</f>
        <v/>
      </c>
      <c r="Q5" s="15" t="n">
        <v>0</v>
      </c>
      <c r="R5" s="9" t="n">
        <v>0</v>
      </c>
      <c r="S5" s="10" t="n">
        <v>0</v>
      </c>
      <c r="T5" s="11" t="n">
        <v>0</v>
      </c>
      <c r="U5" s="9">
        <f>SUMIFS(입항스케줄!J:J,입항스케줄!C:C,PSI_메인!A5,입항스케줄!U:U,"2602")</f>
        <v/>
      </c>
      <c r="V5" s="11">
        <f>SUMIFS(입항스케줄!J:J,입항스케줄!C:C,PSI_메인!A5,입항스케줄!V:V,"2602")</f>
        <v/>
      </c>
      <c r="W5" s="4">
        <f>P5+U5-S5</f>
        <v/>
      </c>
      <c r="X5" s="16">
        <f>P5+V5-T5</f>
        <v/>
      </c>
      <c r="Y5" s="15" t="n">
        <v>0</v>
      </c>
      <c r="Z5" s="9" t="n">
        <v>0</v>
      </c>
      <c r="AA5" s="10">
        <f>ROUND((Y5+Z5)/2,0)</f>
        <v/>
      </c>
      <c r="AB5" s="11" t="n">
        <v>0</v>
      </c>
      <c r="AC5" s="9">
        <f>SUMIFS(입항스케줄!J:J,입항스케줄!C:C,PSI_메인!A5,입항스케줄!U:U,"2603")</f>
        <v/>
      </c>
      <c r="AD5" s="11">
        <f>SUMIFS(입항스케줄!J:J,입항스케줄!C:C,PSI_메인!A5,입항스케줄!V:V,"2603")</f>
        <v/>
      </c>
      <c r="AE5" s="4">
        <f>X5+AC5-AA5</f>
        <v/>
      </c>
      <c r="AF5" s="16">
        <f>X5+AD5-AB5</f>
        <v/>
      </c>
      <c r="AG5" s="15" t="n">
        <v>0</v>
      </c>
      <c r="AH5" s="9" t="n">
        <v>0</v>
      </c>
      <c r="AI5" s="10">
        <f>ROUND((AG5+AH5)/2,0)</f>
        <v/>
      </c>
      <c r="AJ5" s="11" t="n">
        <v>0</v>
      </c>
      <c r="AK5" s="9">
        <f>SUMIFS(입항스케줄!J:J,입항스케줄!C:C,PSI_메인!A5,입항스케줄!U:U,"2604")</f>
        <v/>
      </c>
      <c r="AL5" s="11">
        <f>SUMIFS(입항스케줄!J:J,입항스케줄!C:C,PSI_메인!A5,입항스케줄!V:V,"2604")</f>
        <v/>
      </c>
      <c r="AM5" s="4">
        <f>AF5+AK5-AI5</f>
        <v/>
      </c>
      <c r="AN5" s="16">
        <f>AF5+AL5-AJ5</f>
        <v/>
      </c>
      <c r="AO5" s="15" t="n">
        <v>0</v>
      </c>
      <c r="AP5" s="9" t="n">
        <v>0</v>
      </c>
      <c r="AQ5" s="10">
        <f>ROUND((AO5+AP5)/2,0)</f>
        <v/>
      </c>
      <c r="AR5" s="11" t="n">
        <v>0</v>
      </c>
      <c r="AS5" s="9" t="n"/>
      <c r="AT5" s="11" t="n"/>
      <c r="AU5" s="4">
        <f>AN5+AS5-AQ5</f>
        <v/>
      </c>
      <c r="AV5" s="16">
        <f>AN5+AT5-AR5</f>
        <v/>
      </c>
      <c r="AW5" s="15" t="n">
        <v>0</v>
      </c>
      <c r="AX5" s="9" t="n">
        <v>0</v>
      </c>
      <c r="AY5" s="10">
        <f>ROUND((AW5+AX5)/2,0)</f>
        <v/>
      </c>
      <c r="AZ5" s="11" t="n">
        <v>0</v>
      </c>
      <c r="BA5" s="9" t="n"/>
      <c r="BB5" s="11" t="n"/>
      <c r="BC5" s="4">
        <f>AV5+BA5-AY5</f>
        <v/>
      </c>
      <c r="BD5" s="16">
        <f>AV5+BB5-AZ5</f>
        <v/>
      </c>
      <c r="BE5" s="15" t="n">
        <v>0</v>
      </c>
      <c r="BF5" s="9" t="n">
        <v>0</v>
      </c>
      <c r="BG5" s="10">
        <f>ROUND((BE5+BF5)/2,0)</f>
        <v/>
      </c>
      <c r="BH5" s="11" t="n">
        <v>0</v>
      </c>
      <c r="BI5" s="9" t="n"/>
      <c r="BJ5" s="11" t="n"/>
      <c r="BK5" s="4">
        <f>BD5+BI5-BG5</f>
        <v/>
      </c>
      <c r="BL5" s="16">
        <f>BD5+BJ5-BH5</f>
        <v/>
      </c>
      <c r="BM5" s="15" t="n">
        <v>0</v>
      </c>
      <c r="BN5" s="9" t="n">
        <v>0</v>
      </c>
      <c r="BO5" s="10">
        <f>ROUND((BM5+BN5)/2,0)</f>
        <v/>
      </c>
      <c r="BP5" s="11" t="n">
        <v>0</v>
      </c>
      <c r="BQ5" s="9" t="n"/>
      <c r="BR5" s="11" t="n"/>
      <c r="BS5" s="4">
        <f>BL5+BQ5-BO5</f>
        <v/>
      </c>
      <c r="BT5" s="16">
        <f>BL5+BR5-BP5</f>
        <v/>
      </c>
      <c r="BU5" s="15" t="n">
        <v>0</v>
      </c>
      <c r="BV5" s="9" t="n">
        <v>0</v>
      </c>
      <c r="BW5" s="10">
        <f>ROUND((BU5+BV5)/2,0)</f>
        <v/>
      </c>
      <c r="BX5" s="11" t="n">
        <v>0</v>
      </c>
      <c r="BY5" s="9" t="n"/>
      <c r="BZ5" s="11" t="n"/>
      <c r="CA5" s="4">
        <f>BT5+BY5-BW5</f>
        <v/>
      </c>
      <c r="CB5" s="16">
        <f>BT5+BZ5-BX5</f>
        <v/>
      </c>
      <c r="CC5" s="15" t="n">
        <v>0</v>
      </c>
      <c r="CD5" s="9" t="n">
        <v>0</v>
      </c>
      <c r="CE5" s="10">
        <f>ROUND((CC5+CD5)/2,0)</f>
        <v/>
      </c>
      <c r="CF5" s="11" t="n">
        <v>0</v>
      </c>
      <c r="CG5" s="9" t="n"/>
      <c r="CH5" s="11" t="n"/>
      <c r="CI5" s="4">
        <f>CB5+CG5-CE5</f>
        <v/>
      </c>
      <c r="CJ5" s="16">
        <f>CB5+CH5-CF5</f>
        <v/>
      </c>
      <c r="CK5" s="15" t="n">
        <v>0</v>
      </c>
      <c r="CL5" s="9" t="n">
        <v>0</v>
      </c>
      <c r="CM5" s="10">
        <f>ROUND((CK5+CL5)/2,0)</f>
        <v/>
      </c>
      <c r="CN5" s="11" t="n">
        <v>0</v>
      </c>
      <c r="CO5" s="9" t="n"/>
      <c r="CP5" s="11" t="n"/>
      <c r="CQ5" s="4">
        <f>CJ5+CO5-CM5</f>
        <v/>
      </c>
      <c r="CR5" s="16">
        <f>CJ5+CP5-CN5</f>
        <v/>
      </c>
      <c r="CS5" s="15" t="n">
        <v>0</v>
      </c>
      <c r="CT5" s="9" t="n">
        <v>0</v>
      </c>
      <c r="CU5" s="10">
        <f>ROUND((CS5+CT5)/2,0)</f>
        <v/>
      </c>
      <c r="CV5" s="11" t="n">
        <v>0</v>
      </c>
      <c r="CW5" s="9" t="n"/>
      <c r="CX5" s="11" t="n"/>
      <c r="CY5" s="4">
        <f>CR5+CW5-CU5</f>
        <v/>
      </c>
      <c r="CZ5" s="16">
        <f>CR5+CX5-CV5</f>
        <v/>
      </c>
    </row>
    <row r="6">
      <c r="A6" s="28" t="inlineStr">
        <is>
          <t>ABC3</t>
        </is>
      </c>
      <c r="B6" s="379" t="n"/>
      <c r="C6" s="27" t="n"/>
      <c r="D6" s="28">
        <f>_xlfn.XLOOKUP(A6,'ABC-XYZ분석 (2)'!C:C,'ABC-XYZ분석 (2)'!I:I)</f>
        <v/>
      </c>
      <c r="E6" s="28">
        <f>_xlfn.XLOOKUP(A6,'ABC-XYZ분석 (2)'!C:C,'ABC-XYZ분석 (2)'!AC:AC)</f>
        <v/>
      </c>
      <c r="F6" s="3">
        <f>_xlfn.XLOOKUP(A6,'ABC-XYZ분석 (2)'!C:C,'ABC-XYZ분석 (2)'!AG:AG)</f>
        <v/>
      </c>
      <c r="G6" s="14">
        <f>SUMIF(재고!C:C,PSI_메인!A6,재고!I:I)</f>
        <v/>
      </c>
      <c r="H6" s="18" t="n">
        <v>2425</v>
      </c>
      <c r="I6" s="15" t="n">
        <v>0</v>
      </c>
      <c r="J6" s="9" t="n">
        <v>0</v>
      </c>
      <c r="K6" s="10" t="n">
        <v>0</v>
      </c>
      <c r="L6" s="11" t="n">
        <v>0</v>
      </c>
      <c r="M6" s="9">
        <f>SUMIFS(입항스케줄!J:J,입항스케줄!C:C,PSI_메인!A6,입항스케줄!U:U,"2601")</f>
        <v/>
      </c>
      <c r="N6" s="11">
        <f>SUMIFS(입항스케줄!J:J,입항스케줄!C:C,PSI_메인!A6,입항스케줄!V:V,"2601")</f>
        <v/>
      </c>
      <c r="O6" s="4">
        <f>H6+M6-K6</f>
        <v/>
      </c>
      <c r="P6" s="16">
        <f>H6+N6-L6</f>
        <v/>
      </c>
      <c r="Q6" s="15" t="n">
        <v>0</v>
      </c>
      <c r="R6" s="9" t="n">
        <v>0</v>
      </c>
      <c r="S6" s="10" t="n">
        <v>0</v>
      </c>
      <c r="T6" s="11" t="n">
        <v>0</v>
      </c>
      <c r="U6" s="9">
        <f>SUMIFS(입항스케줄!J:J,입항스케줄!C:C,PSI_메인!A6,입항스케줄!U:U,"2602")</f>
        <v/>
      </c>
      <c r="V6" s="11">
        <f>SUMIFS(입항스케줄!J:J,입항스케줄!C:C,PSI_메인!A6,입항스케줄!V:V,"2602")</f>
        <v/>
      </c>
      <c r="W6" s="4">
        <f>P6+U6-S6</f>
        <v/>
      </c>
      <c r="X6" s="16">
        <f>P6+V6-T6</f>
        <v/>
      </c>
      <c r="Y6" s="15" t="n">
        <v>0</v>
      </c>
      <c r="Z6" s="9" t="n">
        <v>0</v>
      </c>
      <c r="AA6" s="10">
        <f>ROUND((Y6+Z6)/2,0)</f>
        <v/>
      </c>
      <c r="AB6" s="11" t="n">
        <v>0</v>
      </c>
      <c r="AC6" s="9">
        <f>SUMIFS(입항스케줄!J:J,입항스케줄!C:C,PSI_메인!A6,입항스케줄!U:U,"2603")</f>
        <v/>
      </c>
      <c r="AD6" s="11">
        <f>SUMIFS(입항스케줄!J:J,입항스케줄!C:C,PSI_메인!A6,입항스케줄!V:V,"2603")</f>
        <v/>
      </c>
      <c r="AE6" s="4">
        <f>X6+AC6-AA6</f>
        <v/>
      </c>
      <c r="AF6" s="16">
        <f>X6+AD6-AB6</f>
        <v/>
      </c>
      <c r="AG6" s="15" t="n">
        <v>0</v>
      </c>
      <c r="AH6" s="9" t="n">
        <v>0</v>
      </c>
      <c r="AI6" s="10">
        <f>ROUND((AG6+AH6)/2,0)</f>
        <v/>
      </c>
      <c r="AJ6" s="11" t="n">
        <v>0</v>
      </c>
      <c r="AK6" s="9">
        <f>SUMIFS(입항스케줄!J:J,입항스케줄!C:C,PSI_메인!A6,입항스케줄!U:U,"2604")</f>
        <v/>
      </c>
      <c r="AL6" s="11">
        <f>SUMIFS(입항스케줄!J:J,입항스케줄!C:C,PSI_메인!A6,입항스케줄!V:V,"2604")</f>
        <v/>
      </c>
      <c r="AM6" s="4">
        <f>AF6+AK6-AI6</f>
        <v/>
      </c>
      <c r="AN6" s="16">
        <f>AF6+AL6-AJ6</f>
        <v/>
      </c>
      <c r="AO6" s="15" t="n">
        <v>0</v>
      </c>
      <c r="AP6" s="9" t="n">
        <v>0</v>
      </c>
      <c r="AQ6" s="10">
        <f>ROUND((AO6+AP6)/2,0)</f>
        <v/>
      </c>
      <c r="AR6" s="11" t="n">
        <v>0</v>
      </c>
      <c r="AS6" s="9" t="n"/>
      <c r="AT6" s="11" t="n"/>
      <c r="AU6" s="4">
        <f>AN6+AS6-AQ6</f>
        <v/>
      </c>
      <c r="AV6" s="16">
        <f>AN6+AT6-AR6</f>
        <v/>
      </c>
      <c r="AW6" s="15" t="n">
        <v>0</v>
      </c>
      <c r="AX6" s="9" t="n">
        <v>0</v>
      </c>
      <c r="AY6" s="10">
        <f>ROUND((AW6+AX6)/2,0)</f>
        <v/>
      </c>
      <c r="AZ6" s="11" t="n">
        <v>0</v>
      </c>
      <c r="BA6" s="9" t="n"/>
      <c r="BB6" s="11" t="n"/>
      <c r="BC6" s="4">
        <f>AV6+BA6-AY6</f>
        <v/>
      </c>
      <c r="BD6" s="16">
        <f>AV6+BB6-AZ6</f>
        <v/>
      </c>
      <c r="BE6" s="15" t="n">
        <v>0</v>
      </c>
      <c r="BF6" s="9" t="n">
        <v>0</v>
      </c>
      <c r="BG6" s="10">
        <f>ROUND((BE6+BF6)/2,0)</f>
        <v/>
      </c>
      <c r="BH6" s="11" t="n">
        <v>0</v>
      </c>
      <c r="BI6" s="9" t="n"/>
      <c r="BJ6" s="11" t="n"/>
      <c r="BK6" s="4">
        <f>BD6+BI6-BG6</f>
        <v/>
      </c>
      <c r="BL6" s="16">
        <f>BD6+BJ6-BH6</f>
        <v/>
      </c>
      <c r="BM6" s="15" t="n">
        <v>0</v>
      </c>
      <c r="BN6" s="9" t="n">
        <v>0</v>
      </c>
      <c r="BO6" s="10">
        <f>ROUND((BM6+BN6)/2,0)</f>
        <v/>
      </c>
      <c r="BP6" s="11" t="n">
        <v>0</v>
      </c>
      <c r="BQ6" s="9" t="n"/>
      <c r="BR6" s="11" t="n"/>
      <c r="BS6" s="4">
        <f>BL6+BQ6-BO6</f>
        <v/>
      </c>
      <c r="BT6" s="16">
        <f>BL6+BR6-BP6</f>
        <v/>
      </c>
      <c r="BU6" s="15" t="n">
        <v>0</v>
      </c>
      <c r="BV6" s="9" t="n">
        <v>0</v>
      </c>
      <c r="BW6" s="10">
        <f>ROUND((BU6+BV6)/2,0)</f>
        <v/>
      </c>
      <c r="BX6" s="11" t="n">
        <v>0</v>
      </c>
      <c r="BY6" s="9" t="n"/>
      <c r="BZ6" s="11" t="n"/>
      <c r="CA6" s="4">
        <f>BT6+BY6-BW6</f>
        <v/>
      </c>
      <c r="CB6" s="16">
        <f>BT6+BZ6-BX6</f>
        <v/>
      </c>
      <c r="CC6" s="15" t="n">
        <v>0</v>
      </c>
      <c r="CD6" s="9" t="n">
        <v>0</v>
      </c>
      <c r="CE6" s="10">
        <f>ROUND((CC6+CD6)/2,0)</f>
        <v/>
      </c>
      <c r="CF6" s="11" t="n">
        <v>0</v>
      </c>
      <c r="CG6" s="9" t="n"/>
      <c r="CH6" s="11" t="n"/>
      <c r="CI6" s="4">
        <f>CB6+CG6-CE6</f>
        <v/>
      </c>
      <c r="CJ6" s="16">
        <f>CB6+CH6-CF6</f>
        <v/>
      </c>
      <c r="CK6" s="15" t="n">
        <v>0</v>
      </c>
      <c r="CL6" s="9" t="n">
        <v>0</v>
      </c>
      <c r="CM6" s="10">
        <f>ROUND((CK6+CL6)/2,0)</f>
        <v/>
      </c>
      <c r="CN6" s="11" t="n">
        <v>0</v>
      </c>
      <c r="CO6" s="9" t="n"/>
      <c r="CP6" s="11" t="n"/>
      <c r="CQ6" s="4">
        <f>CJ6+CO6-CM6</f>
        <v/>
      </c>
      <c r="CR6" s="16">
        <f>CJ6+CP6-CN6</f>
        <v/>
      </c>
      <c r="CS6" s="15" t="n">
        <v>0</v>
      </c>
      <c r="CT6" s="9" t="n">
        <v>0</v>
      </c>
      <c r="CU6" s="10">
        <f>ROUND((CS6+CT6)/2,0)</f>
        <v/>
      </c>
      <c r="CV6" s="11" t="n">
        <v>0</v>
      </c>
      <c r="CW6" s="9" t="n"/>
      <c r="CX6" s="11" t="n"/>
      <c r="CY6" s="4">
        <f>CR6+CW6-CU6</f>
        <v/>
      </c>
      <c r="CZ6" s="16">
        <f>CR6+CX6-CV6</f>
        <v/>
      </c>
    </row>
    <row r="7">
      <c r="A7" s="28" t="inlineStr">
        <is>
          <t>ABC4</t>
        </is>
      </c>
      <c r="B7" s="379" t="n"/>
      <c r="C7" s="27" t="n"/>
      <c r="D7" s="28">
        <f>_xlfn.XLOOKUP(A7,'ABC-XYZ분석 (2)'!C:C,'ABC-XYZ분석 (2)'!I:I)</f>
        <v/>
      </c>
      <c r="E7" s="28">
        <f>_xlfn.XLOOKUP(A7,'ABC-XYZ분석 (2)'!C:C,'ABC-XYZ분석 (2)'!AC:AC)</f>
        <v/>
      </c>
      <c r="F7" s="3">
        <f>_xlfn.XLOOKUP(A7,'ABC-XYZ분석 (2)'!C:C,'ABC-XYZ분석 (2)'!AG:AG)</f>
        <v/>
      </c>
      <c r="G7" s="14">
        <f>SUMIF(재고!C:C,PSI_메인!A7,재고!I:I)</f>
        <v/>
      </c>
      <c r="H7" s="18" t="n">
        <v>3187</v>
      </c>
      <c r="I7" s="15" t="n">
        <v>0</v>
      </c>
      <c r="J7" s="9" t="n">
        <v>0</v>
      </c>
      <c r="K7" s="10" t="n">
        <v>530</v>
      </c>
      <c r="L7" s="11" t="n">
        <v>0</v>
      </c>
      <c r="M7" s="9">
        <f>SUMIFS(입항스케줄!J:J,입항스케줄!C:C,PSI_메인!A7,입항스케줄!U:U,"2601")</f>
        <v/>
      </c>
      <c r="N7" s="11">
        <f>SUMIFS(입항스케줄!J:J,입항스케줄!C:C,PSI_메인!A7,입항스케줄!V:V,"2601")</f>
        <v/>
      </c>
      <c r="O7" s="4">
        <f>H7+M7-K7</f>
        <v/>
      </c>
      <c r="P7" s="16">
        <f>H7+N7-L7</f>
        <v/>
      </c>
      <c r="Q7" s="15" t="n">
        <v>0</v>
      </c>
      <c r="R7" s="9" t="n">
        <v>0</v>
      </c>
      <c r="S7" s="10" t="n">
        <v>600</v>
      </c>
      <c r="T7" s="11" t="n">
        <v>0</v>
      </c>
      <c r="U7" s="9">
        <f>SUMIFS(입항스케줄!J:J,입항스케줄!C:C,PSI_메인!A7,입항스케줄!U:U,"2602")</f>
        <v/>
      </c>
      <c r="V7" s="11">
        <f>SUMIFS(입항스케줄!J:J,입항스케줄!C:C,PSI_메인!A7,입항스케줄!V:V,"2602")</f>
        <v/>
      </c>
      <c r="W7" s="4">
        <f>P7+U7-S7</f>
        <v/>
      </c>
      <c r="X7" s="16">
        <f>P7+V7-T7</f>
        <v/>
      </c>
      <c r="Y7" s="15" t="n">
        <v>0</v>
      </c>
      <c r="Z7" s="9" t="n">
        <v>0</v>
      </c>
      <c r="AA7" s="10">
        <f>ROUND((Y7+Z7)/2,0)</f>
        <v/>
      </c>
      <c r="AB7" s="11" t="n">
        <v>0</v>
      </c>
      <c r="AC7" s="9">
        <f>SUMIFS(입항스케줄!J:J,입항스케줄!C:C,PSI_메인!A7,입항스케줄!U:U,"2603")</f>
        <v/>
      </c>
      <c r="AD7" s="11">
        <f>SUMIFS(입항스케줄!J:J,입항스케줄!C:C,PSI_메인!A7,입항스케줄!V:V,"2603")</f>
        <v/>
      </c>
      <c r="AE7" s="4">
        <f>X7+AC7-AA7</f>
        <v/>
      </c>
      <c r="AF7" s="16">
        <f>X7+AD7-AB7</f>
        <v/>
      </c>
      <c r="AG7" s="15" t="n">
        <v>0</v>
      </c>
      <c r="AH7" s="9" t="n">
        <v>0</v>
      </c>
      <c r="AI7" s="10">
        <f>ROUND((AG7+AH7)/2,0)</f>
        <v/>
      </c>
      <c r="AJ7" s="11" t="n">
        <v>0</v>
      </c>
      <c r="AK7" s="9">
        <f>SUMIFS(입항스케줄!J:J,입항스케줄!C:C,PSI_메인!A7,입항스케줄!U:U,"2604")</f>
        <v/>
      </c>
      <c r="AL7" s="11">
        <f>SUMIFS(입항스케줄!J:J,입항스케줄!C:C,PSI_메인!A7,입항스케줄!V:V,"2604")</f>
        <v/>
      </c>
      <c r="AM7" s="4">
        <f>AF7+AK7-AI7</f>
        <v/>
      </c>
      <c r="AN7" s="16">
        <f>AF7+AL7-AJ7</f>
        <v/>
      </c>
      <c r="AO7" s="15" t="n">
        <v>0</v>
      </c>
      <c r="AP7" s="9" t="n">
        <v>0</v>
      </c>
      <c r="AQ7" s="10">
        <f>ROUND((AO7+AP7)/2,0)</f>
        <v/>
      </c>
      <c r="AR7" s="11" t="n">
        <v>0</v>
      </c>
      <c r="AS7" s="9" t="n"/>
      <c r="AT7" s="11" t="n"/>
      <c r="AU7" s="4">
        <f>AN7+AS7-AQ7</f>
        <v/>
      </c>
      <c r="AV7" s="16">
        <f>AN7+AT7-AR7</f>
        <v/>
      </c>
      <c r="AW7" s="15" t="n">
        <v>0</v>
      </c>
      <c r="AX7" s="9" t="n">
        <v>0</v>
      </c>
      <c r="AY7" s="10">
        <f>ROUND((AW7+AX7)/2,0)</f>
        <v/>
      </c>
      <c r="AZ7" s="11" t="n">
        <v>0</v>
      </c>
      <c r="BA7" s="9" t="n"/>
      <c r="BB7" s="11" t="n"/>
      <c r="BC7" s="4">
        <f>AV7+BA7-AY7</f>
        <v/>
      </c>
      <c r="BD7" s="16">
        <f>AV7+BB7-AZ7</f>
        <v/>
      </c>
      <c r="BE7" s="15" t="n">
        <v>0</v>
      </c>
      <c r="BF7" s="9" t="n">
        <v>0</v>
      </c>
      <c r="BG7" s="10">
        <f>ROUND((BE7+BF7)/2,0)</f>
        <v/>
      </c>
      <c r="BH7" s="11" t="n">
        <v>0</v>
      </c>
      <c r="BI7" s="9" t="n"/>
      <c r="BJ7" s="11" t="n"/>
      <c r="BK7" s="4">
        <f>BD7+BI7-BG7</f>
        <v/>
      </c>
      <c r="BL7" s="16">
        <f>BD7+BJ7-BH7</f>
        <v/>
      </c>
      <c r="BM7" s="15" t="n">
        <v>0</v>
      </c>
      <c r="BN7" s="9" t="n">
        <v>0</v>
      </c>
      <c r="BO7" s="10">
        <f>ROUND((BM7+BN7)/2,0)</f>
        <v/>
      </c>
      <c r="BP7" s="11" t="n">
        <v>0</v>
      </c>
      <c r="BQ7" s="9" t="n"/>
      <c r="BR7" s="11" t="n"/>
      <c r="BS7" s="4">
        <f>BL7+BQ7-BO7</f>
        <v/>
      </c>
      <c r="BT7" s="16">
        <f>BL7+BR7-BP7</f>
        <v/>
      </c>
      <c r="BU7" s="15" t="n">
        <v>0</v>
      </c>
      <c r="BV7" s="9" t="n">
        <v>0</v>
      </c>
      <c r="BW7" s="10">
        <f>ROUND((BU7+BV7)/2,0)</f>
        <v/>
      </c>
      <c r="BX7" s="11" t="n">
        <v>0</v>
      </c>
      <c r="BY7" s="9" t="n"/>
      <c r="BZ7" s="11" t="n"/>
      <c r="CA7" s="4">
        <f>BT7+BY7-BW7</f>
        <v/>
      </c>
      <c r="CB7" s="16">
        <f>BT7+BZ7-BX7</f>
        <v/>
      </c>
      <c r="CC7" s="15" t="n">
        <v>0</v>
      </c>
      <c r="CD7" s="9" t="n">
        <v>0</v>
      </c>
      <c r="CE7" s="10">
        <f>ROUND((CC7+CD7)/2,0)</f>
        <v/>
      </c>
      <c r="CF7" s="11" t="n">
        <v>0</v>
      </c>
      <c r="CG7" s="9" t="n"/>
      <c r="CH7" s="11" t="n"/>
      <c r="CI7" s="4">
        <f>CB7+CG7-CE7</f>
        <v/>
      </c>
      <c r="CJ7" s="16">
        <f>CB7+CH7-CF7</f>
        <v/>
      </c>
      <c r="CK7" s="15" t="n">
        <v>0</v>
      </c>
      <c r="CL7" s="9" t="n">
        <v>0</v>
      </c>
      <c r="CM7" s="10">
        <f>ROUND((CK7+CL7)/2,0)</f>
        <v/>
      </c>
      <c r="CN7" s="11" t="n">
        <v>0</v>
      </c>
      <c r="CO7" s="9" t="n"/>
      <c r="CP7" s="11" t="n"/>
      <c r="CQ7" s="4">
        <f>CJ7+CO7-CM7</f>
        <v/>
      </c>
      <c r="CR7" s="16">
        <f>CJ7+CP7-CN7</f>
        <v/>
      </c>
      <c r="CS7" s="15" t="n">
        <v>0</v>
      </c>
      <c r="CT7" s="9" t="n">
        <v>0</v>
      </c>
      <c r="CU7" s="10">
        <f>ROUND((CS7+CT7)/2,0)</f>
        <v/>
      </c>
      <c r="CV7" s="11" t="n">
        <v>0</v>
      </c>
      <c r="CW7" s="9" t="n"/>
      <c r="CX7" s="11" t="n"/>
      <c r="CY7" s="4">
        <f>CR7+CW7-CU7</f>
        <v/>
      </c>
      <c r="CZ7" s="16">
        <f>CR7+CX7-CV7</f>
        <v/>
      </c>
    </row>
    <row r="8" ht="17.25" customHeight="1" s="480">
      <c r="A8" s="28" t="inlineStr">
        <is>
          <t>ABC5</t>
        </is>
      </c>
      <c r="B8" s="379" t="n"/>
      <c r="C8" s="27" t="n"/>
      <c r="D8" s="28">
        <f>_xlfn.XLOOKUP(A8,'ABC-XYZ분석 (2)'!C:C,'ABC-XYZ분석 (2)'!I:I)</f>
        <v/>
      </c>
      <c r="E8" s="28">
        <f>_xlfn.XLOOKUP(A8,'ABC-XYZ분석 (2)'!C:C,'ABC-XYZ분석 (2)'!AC:AC)</f>
        <v/>
      </c>
      <c r="F8" s="3">
        <f>_xlfn.XLOOKUP(A8,'ABC-XYZ분석 (2)'!C:C,'ABC-XYZ분석 (2)'!AG:AG)</f>
        <v/>
      </c>
      <c r="G8" s="14">
        <f>SUMIF(재고!C:C,PSI_메인!A8,재고!I:I)</f>
        <v/>
      </c>
      <c r="H8" s="270" t="n">
        <v>3022</v>
      </c>
      <c r="I8" s="271" t="n">
        <v>0</v>
      </c>
      <c r="J8" s="272" t="n">
        <v>0</v>
      </c>
      <c r="K8" s="273" t="n">
        <v>125</v>
      </c>
      <c r="L8" s="11" t="n">
        <v>0</v>
      </c>
      <c r="M8" s="9">
        <f>SUMIFS(입항스케줄!J:J,입항스케줄!C:C,PSI_메인!A8,입항스케줄!U:U,"2601")</f>
        <v/>
      </c>
      <c r="N8" s="11">
        <f>SUMIFS(입항스케줄!J:J,입항스케줄!C:C,PSI_메인!A8,입항스케줄!V:V,"2601")</f>
        <v/>
      </c>
      <c r="O8" s="275">
        <f>H8+M8-K8</f>
        <v/>
      </c>
      <c r="P8" s="276">
        <f>H8+N8-L8</f>
        <v/>
      </c>
      <c r="Q8" s="271" t="n">
        <v>0</v>
      </c>
      <c r="R8" s="272" t="n">
        <v>0</v>
      </c>
      <c r="S8" s="10" t="n">
        <v>100</v>
      </c>
      <c r="T8" s="11" t="n">
        <v>0</v>
      </c>
      <c r="U8" s="9">
        <f>SUMIFS(입항스케줄!J:J,입항스케줄!C:C,PSI_메인!A8,입항스케줄!U:U,"2602")</f>
        <v/>
      </c>
      <c r="V8" s="11">
        <f>SUMIFS(입항스케줄!J:J,입항스케줄!C:C,PSI_메인!A8,입항스케줄!V:V,"2602")</f>
        <v/>
      </c>
      <c r="W8" s="275">
        <f>P8+U8-S8</f>
        <v/>
      </c>
      <c r="X8" s="276">
        <f>P8+V8-T8</f>
        <v/>
      </c>
      <c r="Y8" s="271" t="n">
        <v>0</v>
      </c>
      <c r="Z8" s="272" t="n">
        <v>0</v>
      </c>
      <c r="AA8" s="273">
        <f>ROUND((Y8+Z8)/2,0)</f>
        <v/>
      </c>
      <c r="AB8" s="11" t="n">
        <v>0</v>
      </c>
      <c r="AC8" s="9">
        <f>SUMIFS(입항스케줄!J:J,입항스케줄!C:C,PSI_메인!A8,입항스케줄!U:U,"2603")</f>
        <v/>
      </c>
      <c r="AD8" s="11">
        <f>SUMIFS(입항스케줄!J:J,입항스케줄!C:C,PSI_메인!A8,입항스케줄!V:V,"2603")</f>
        <v/>
      </c>
      <c r="AE8" s="275">
        <f>X8+AC8-AA8</f>
        <v/>
      </c>
      <c r="AF8" s="276">
        <f>X8+AD8-AB8</f>
        <v/>
      </c>
      <c r="AG8" s="271" t="n">
        <v>0</v>
      </c>
      <c r="AH8" s="272" t="n">
        <v>0</v>
      </c>
      <c r="AI8" s="273">
        <f>ROUND((AG8+AH8)/2,0)</f>
        <v/>
      </c>
      <c r="AJ8" s="11" t="n">
        <v>0</v>
      </c>
      <c r="AK8" s="9">
        <f>SUMIFS(입항스케줄!J:J,입항스케줄!C:C,PSI_메인!A8,입항스케줄!U:U,"2604")</f>
        <v/>
      </c>
      <c r="AL8" s="11">
        <f>SUMIFS(입항스케줄!J:J,입항스케줄!C:C,PSI_메인!A8,입항스케줄!V:V,"2604")</f>
        <v/>
      </c>
      <c r="AM8" s="275">
        <f>AF8+AK8-AI8</f>
        <v/>
      </c>
      <c r="AN8" s="276">
        <f>AF8+AL8-AJ8</f>
        <v/>
      </c>
      <c r="AO8" s="271" t="n">
        <v>0</v>
      </c>
      <c r="AP8" s="272" t="n">
        <v>0</v>
      </c>
      <c r="AQ8" s="273">
        <f>ROUND((AO8+AP8)/2,0)</f>
        <v/>
      </c>
      <c r="AR8" s="11" t="n">
        <v>0</v>
      </c>
      <c r="AS8" s="9" t="n"/>
      <c r="AT8" s="274" t="n"/>
      <c r="AU8" s="275">
        <f>AN8+AS8-AQ8</f>
        <v/>
      </c>
      <c r="AV8" s="276">
        <f>AN8+AT8-AR8</f>
        <v/>
      </c>
      <c r="AW8" s="271" t="n">
        <v>0</v>
      </c>
      <c r="AX8" s="272" t="n">
        <v>0</v>
      </c>
      <c r="AY8" s="273">
        <f>ROUND((AW8+AX8)/2,0)</f>
        <v/>
      </c>
      <c r="AZ8" s="11" t="n">
        <v>0</v>
      </c>
      <c r="BA8" s="9" t="n"/>
      <c r="BB8" s="11" t="n"/>
      <c r="BC8" s="275">
        <f>AV8+BA8-AY8</f>
        <v/>
      </c>
      <c r="BD8" s="276">
        <f>AV8+BB8-AZ8</f>
        <v/>
      </c>
      <c r="BE8" s="271" t="n">
        <v>0</v>
      </c>
      <c r="BF8" s="272" t="n">
        <v>0</v>
      </c>
      <c r="BG8" s="273">
        <f>ROUND((BE8+BF8)/2,0)</f>
        <v/>
      </c>
      <c r="BH8" s="11" t="n">
        <v>0</v>
      </c>
      <c r="BI8" s="272" t="n"/>
      <c r="BJ8" s="11" t="n"/>
      <c r="BK8" s="275">
        <f>BD8+BI8-BG8</f>
        <v/>
      </c>
      <c r="BL8" s="276">
        <f>BD8+BJ8-BH8</f>
        <v/>
      </c>
      <c r="BM8" s="271" t="n">
        <v>0</v>
      </c>
      <c r="BN8" s="272" t="n">
        <v>0</v>
      </c>
      <c r="BO8" s="273">
        <f>ROUND((BM8+BN8)/2,0)</f>
        <v/>
      </c>
      <c r="BP8" s="11" t="n">
        <v>0</v>
      </c>
      <c r="BQ8" s="272" t="n"/>
      <c r="BR8" s="11" t="n"/>
      <c r="BS8" s="275">
        <f>BL8+BQ8-BO8</f>
        <v/>
      </c>
      <c r="BT8" s="276">
        <f>BL8+BR8-BP8</f>
        <v/>
      </c>
      <c r="BU8" s="271" t="n">
        <v>0</v>
      </c>
      <c r="BV8" s="272" t="n">
        <v>0</v>
      </c>
      <c r="BW8" s="273">
        <f>ROUND((BU8+BV8)/2,0)</f>
        <v/>
      </c>
      <c r="BX8" s="11" t="n">
        <v>0</v>
      </c>
      <c r="BY8" s="272" t="n"/>
      <c r="BZ8" s="11" t="n"/>
      <c r="CA8" s="275">
        <f>BT8+BY8-BW8</f>
        <v/>
      </c>
      <c r="CB8" s="276">
        <f>BT8+BZ8-BX8</f>
        <v/>
      </c>
      <c r="CC8" s="271" t="n">
        <v>0</v>
      </c>
      <c r="CD8" s="272" t="n">
        <v>0</v>
      </c>
      <c r="CE8" s="273">
        <f>ROUND((CC8+CD8)/2,0)</f>
        <v/>
      </c>
      <c r="CF8" s="11" t="n">
        <v>0</v>
      </c>
      <c r="CG8" s="272" t="n"/>
      <c r="CH8" s="11" t="n"/>
      <c r="CI8" s="275">
        <f>CB8+CG8-CE8</f>
        <v/>
      </c>
      <c r="CJ8" s="276">
        <f>CB8+CH8-CF8</f>
        <v/>
      </c>
      <c r="CK8" s="271" t="n">
        <v>0</v>
      </c>
      <c r="CL8" s="272" t="n">
        <v>0</v>
      </c>
      <c r="CM8" s="273">
        <f>ROUND((CK8+CL8)/2,0)</f>
        <v/>
      </c>
      <c r="CN8" s="11" t="n">
        <v>0</v>
      </c>
      <c r="CO8" s="272" t="n"/>
      <c r="CP8" s="274" t="n"/>
      <c r="CQ8" s="275">
        <f>CJ8+CO8-CM8</f>
        <v/>
      </c>
      <c r="CR8" s="276">
        <f>CJ8+CP8-CN8</f>
        <v/>
      </c>
      <c r="CS8" s="271" t="n">
        <v>0</v>
      </c>
      <c r="CT8" s="272" t="n">
        <v>0</v>
      </c>
      <c r="CU8" s="273">
        <f>ROUND((CS8+CT8)/2,0)</f>
        <v/>
      </c>
      <c r="CV8" s="11" t="n">
        <v>0</v>
      </c>
      <c r="CW8" s="272" t="n"/>
      <c r="CX8" s="274" t="n"/>
      <c r="CY8" s="275">
        <f>CR8+CW8-CU8</f>
        <v/>
      </c>
      <c r="CZ8" s="276">
        <f>CR8+CX8-CV8</f>
        <v/>
      </c>
    </row>
    <row r="9" ht="17.25" customHeight="1" s="480">
      <c r="A9" s="28" t="inlineStr">
        <is>
          <t>ABC6</t>
        </is>
      </c>
      <c r="B9" s="379" t="n"/>
      <c r="C9" s="27" t="n"/>
      <c r="D9" s="28">
        <f>_xlfn.XLOOKUP(A9,'ABC-XYZ분석 (2)'!C:C,'ABC-XYZ분석 (2)'!I:I)</f>
        <v/>
      </c>
      <c r="E9" s="28">
        <f>_xlfn.XLOOKUP(A9,'ABC-XYZ분석 (2)'!C:C,'ABC-XYZ분석 (2)'!AC:AC)</f>
        <v/>
      </c>
      <c r="F9" s="3">
        <f>_xlfn.XLOOKUP(A9,'ABC-XYZ분석 (2)'!C:C,'ABC-XYZ분석 (2)'!AG:AG)</f>
        <v/>
      </c>
      <c r="G9" s="14">
        <f>SUMIF(재고!C:C,PSI_메인!A9,재고!I:I)</f>
        <v/>
      </c>
      <c r="H9" s="277" t="n">
        <v>13414</v>
      </c>
      <c r="I9" s="278" t="n">
        <v>0</v>
      </c>
      <c r="J9" s="278" t="n">
        <v>0</v>
      </c>
      <c r="K9" s="279" t="n">
        <v>0</v>
      </c>
      <c r="L9" s="11" t="n">
        <v>0</v>
      </c>
      <c r="M9" s="9">
        <f>SUMIFS(입항스케줄!J:J,입항스케줄!C:C,PSI_메인!A9,입항스케줄!U:U,"2601")</f>
        <v/>
      </c>
      <c r="N9" s="11">
        <f>SUMIFS(입항스케줄!J:J,입항스케줄!C:C,PSI_메인!A9,입항스케줄!V:V,"2601")</f>
        <v/>
      </c>
      <c r="O9" s="280">
        <f>$G9+M9-K9</f>
        <v/>
      </c>
      <c r="P9" s="277">
        <f>$G9+N9-L9</f>
        <v/>
      </c>
      <c r="Q9" s="278" t="n">
        <v>0</v>
      </c>
      <c r="R9" s="278" t="n">
        <v>0</v>
      </c>
      <c r="S9" s="10" t="n">
        <v>0</v>
      </c>
      <c r="T9" s="11" t="n">
        <v>0</v>
      </c>
      <c r="U9" s="9">
        <f>SUMIFS(입항스케줄!J:J,입항스케줄!C:C,PSI_메인!A9,입항스케줄!U:U,"2602")</f>
        <v/>
      </c>
      <c r="V9" s="11">
        <f>SUMIFS(입항스케줄!J:J,입항스케줄!C:C,PSI_메인!A9,입항스케줄!V:V,"2602")</f>
        <v/>
      </c>
      <c r="W9" s="280">
        <f>$G9+U9-S9</f>
        <v/>
      </c>
      <c r="X9" s="277">
        <f>$G9+V9-T9</f>
        <v/>
      </c>
      <c r="Y9" s="278" t="n">
        <v>0</v>
      </c>
      <c r="Z9" s="278" t="n">
        <v>0</v>
      </c>
      <c r="AA9" s="279">
        <f>ROUND((Y9+Z9)/2,0)</f>
        <v/>
      </c>
      <c r="AB9" s="11" t="n">
        <v>0</v>
      </c>
      <c r="AC9" s="9">
        <f>SUMIFS(입항스케줄!J:J,입항스케줄!C:C,PSI_메인!A9,입항스케줄!U:U,"2603")</f>
        <v/>
      </c>
      <c r="AD9" s="11">
        <f>SUMIFS(입항스케줄!J:J,입항스케줄!C:C,PSI_메인!A9,입항스케줄!V:V,"2603")</f>
        <v/>
      </c>
      <c r="AE9" s="280">
        <f>$G9+AC9-AA9</f>
        <v/>
      </c>
      <c r="AF9" s="277">
        <f>$G9+AD9-AB9</f>
        <v/>
      </c>
      <c r="AG9" s="278" t="n">
        <v>0</v>
      </c>
      <c r="AH9" s="278" t="n">
        <v>0</v>
      </c>
      <c r="AI9" s="279">
        <f>ROUND((AG9+AH9)/2,0)</f>
        <v/>
      </c>
      <c r="AJ9" s="11" t="n">
        <v>0</v>
      </c>
      <c r="AK9" s="9">
        <f>SUMIFS(입항스케줄!J:J,입항스케줄!C:C,PSI_메인!A9,입항스케줄!U:U,"2604")</f>
        <v/>
      </c>
      <c r="AL9" s="11">
        <f>SUMIFS(입항스케줄!J:J,입항스케줄!C:C,PSI_메인!A9,입항스케줄!V:V,"2604")</f>
        <v/>
      </c>
      <c r="AM9" s="280">
        <f>$G9+AK9-AI9</f>
        <v/>
      </c>
      <c r="AN9" s="277">
        <f>$G9+AL9-AJ9</f>
        <v/>
      </c>
      <c r="AO9" s="278" t="n">
        <v>0</v>
      </c>
      <c r="AP9" s="278" t="n">
        <v>0</v>
      </c>
      <c r="AQ9" s="279">
        <f>ROUND((AO9+AP9)/2,0)</f>
        <v/>
      </c>
      <c r="AR9" s="11" t="n">
        <v>0</v>
      </c>
      <c r="AS9" s="9" t="n"/>
      <c r="AT9" s="277" t="n"/>
      <c r="AU9" s="280">
        <f>$G9+AS9-AQ9</f>
        <v/>
      </c>
      <c r="AV9" s="277">
        <f>$G9+AT9-AR9</f>
        <v/>
      </c>
      <c r="AW9" s="278" t="n">
        <v>0</v>
      </c>
      <c r="AX9" s="278" t="n">
        <v>0</v>
      </c>
      <c r="AY9" s="279">
        <f>ROUND((AW9+AX9)/2,0)</f>
        <v/>
      </c>
      <c r="AZ9" s="11" t="n">
        <v>0</v>
      </c>
      <c r="BA9" s="9" t="n"/>
      <c r="BB9" s="11" t="n"/>
      <c r="BC9" s="280">
        <f>$G9+BA9-AY9</f>
        <v/>
      </c>
      <c r="BD9" s="277">
        <f>$G9+BB9-AZ9</f>
        <v/>
      </c>
      <c r="BE9" s="278" t="n">
        <v>0</v>
      </c>
      <c r="BF9" s="278" t="n">
        <v>0</v>
      </c>
      <c r="BG9" s="279">
        <f>ROUND((BE9+BF9)/2,0)</f>
        <v/>
      </c>
      <c r="BH9" s="11" t="n">
        <v>0</v>
      </c>
      <c r="BI9" s="278" t="n"/>
      <c r="BJ9" s="11" t="n"/>
      <c r="BK9" s="280">
        <f>$G9+BI9-BG9</f>
        <v/>
      </c>
      <c r="BL9" s="277">
        <f>$G9+BJ9-BH9</f>
        <v/>
      </c>
      <c r="BM9" s="278" t="n">
        <v>0</v>
      </c>
      <c r="BN9" s="278" t="n">
        <v>0</v>
      </c>
      <c r="BO9" s="279">
        <f>ROUND((BM9+BN9)/2,0)</f>
        <v/>
      </c>
      <c r="BP9" s="11" t="n">
        <v>0</v>
      </c>
      <c r="BQ9" s="278" t="n"/>
      <c r="BR9" s="11" t="n"/>
      <c r="BS9" s="280">
        <f>$G9+BQ9-BO9</f>
        <v/>
      </c>
      <c r="BT9" s="277">
        <f>$G9+BR9-BP9</f>
        <v/>
      </c>
      <c r="BU9" s="278" t="n">
        <v>0</v>
      </c>
      <c r="BV9" s="278" t="n">
        <v>0</v>
      </c>
      <c r="BW9" s="279">
        <f>ROUND((BU9+BV9)/2,0)</f>
        <v/>
      </c>
      <c r="BX9" s="11" t="n">
        <v>0</v>
      </c>
      <c r="BY9" s="278" t="n"/>
      <c r="BZ9" s="11" t="n"/>
      <c r="CA9" s="280">
        <f>$G9+BY9-BW9</f>
        <v/>
      </c>
      <c r="CB9" s="277">
        <f>$G9+BZ9-BX9</f>
        <v/>
      </c>
      <c r="CC9" s="278" t="n">
        <v>0</v>
      </c>
      <c r="CD9" s="278" t="n">
        <v>0</v>
      </c>
      <c r="CE9" s="279">
        <f>ROUND((CC9+CD9)/2,0)</f>
        <v/>
      </c>
      <c r="CF9" s="11" t="n">
        <v>0</v>
      </c>
      <c r="CG9" s="278" t="n"/>
      <c r="CH9" s="11" t="n"/>
      <c r="CI9" s="280">
        <f>$G9+CG9-CE9</f>
        <v/>
      </c>
      <c r="CJ9" s="277">
        <f>$G9+CH9-CF9</f>
        <v/>
      </c>
      <c r="CK9" s="278" t="n">
        <v>0</v>
      </c>
      <c r="CL9" s="278" t="n">
        <v>0</v>
      </c>
      <c r="CM9" s="279">
        <f>ROUND((CK9+CL9)/2,0)</f>
        <v/>
      </c>
      <c r="CN9" s="11" t="n">
        <v>0</v>
      </c>
      <c r="CO9" s="278" t="n"/>
      <c r="CP9" s="277" t="n"/>
      <c r="CQ9" s="280">
        <f>$G9+CO9-CM9</f>
        <v/>
      </c>
      <c r="CR9" s="277">
        <f>$G9+CP9-CN9</f>
        <v/>
      </c>
      <c r="CS9" s="278" t="n">
        <v>0</v>
      </c>
      <c r="CT9" s="278" t="n">
        <v>0</v>
      </c>
      <c r="CU9" s="279">
        <f>ROUND((CS9+CT9)/2,0)</f>
        <v/>
      </c>
      <c r="CV9" s="11" t="n">
        <v>0</v>
      </c>
      <c r="CW9" s="278" t="n"/>
      <c r="CX9" s="277" t="n"/>
      <c r="CY9" s="280">
        <f>$G9+CW9-CU9</f>
        <v/>
      </c>
      <c r="CZ9" s="277">
        <f>$G9+CX9-CV9</f>
        <v/>
      </c>
    </row>
    <row r="10" ht="17.25" customHeight="1" s="480">
      <c r="A10" s="28" t="inlineStr">
        <is>
          <t>ABC7</t>
        </is>
      </c>
      <c r="B10" s="379" t="n"/>
      <c r="C10" s="27" t="n"/>
      <c r="D10" s="28">
        <f>_xlfn.XLOOKUP(A10,'ABC-XYZ분석 (2)'!C:C,'ABC-XYZ분석 (2)'!I:I)</f>
        <v/>
      </c>
      <c r="E10" s="28">
        <f>_xlfn.XLOOKUP(A10,'ABC-XYZ분석 (2)'!C:C,'ABC-XYZ분석 (2)'!AC:AC)</f>
        <v/>
      </c>
      <c r="F10" s="3">
        <f>_xlfn.XLOOKUP(A10,'ABC-XYZ분석 (2)'!C:C,'ABC-XYZ분석 (2)'!AG:AG)</f>
        <v/>
      </c>
      <c r="G10" s="14">
        <f>SUMIF(재고!C:C,PSI_메인!A10,재고!I:I)</f>
        <v/>
      </c>
      <c r="H10" s="277" t="n">
        <v>7601</v>
      </c>
      <c r="I10" s="278" t="n">
        <v>0</v>
      </c>
      <c r="J10" s="278" t="n">
        <v>0</v>
      </c>
      <c r="K10" s="279" t="n">
        <v>0</v>
      </c>
      <c r="L10" s="11" t="n">
        <v>0</v>
      </c>
      <c r="M10" s="9">
        <f>SUMIFS(입항스케줄!J:J,입항스케줄!C:C,PSI_메인!A10,입항스케줄!U:U,"2601")</f>
        <v/>
      </c>
      <c r="N10" s="11">
        <f>SUMIFS(입항스케줄!J:J,입항스케줄!C:C,PSI_메인!A10,입항스케줄!V:V,"2601")</f>
        <v/>
      </c>
      <c r="O10" s="280">
        <f>$G10+M10-K10</f>
        <v/>
      </c>
      <c r="P10" s="277">
        <f>$G10+N10-L10</f>
        <v/>
      </c>
      <c r="Q10" s="278" t="n">
        <v>0</v>
      </c>
      <c r="R10" s="278" t="n">
        <v>0</v>
      </c>
      <c r="S10" s="10" t="n">
        <v>0</v>
      </c>
      <c r="T10" s="11" t="n">
        <v>0</v>
      </c>
      <c r="U10" s="9">
        <f>SUMIFS(입항스케줄!J:J,입항스케줄!C:C,PSI_메인!A10,입항스케줄!U:U,"2602")</f>
        <v/>
      </c>
      <c r="V10" s="11">
        <f>SUMIFS(입항스케줄!J:J,입항스케줄!C:C,PSI_메인!A10,입항스케줄!V:V,"2602")</f>
        <v/>
      </c>
      <c r="W10" s="280">
        <f>$G10+U10-S10</f>
        <v/>
      </c>
      <c r="X10" s="277">
        <f>$G10+V10-T10</f>
        <v/>
      </c>
      <c r="Y10" s="278" t="n">
        <v>0</v>
      </c>
      <c r="Z10" s="278" t="n">
        <v>0</v>
      </c>
      <c r="AA10" s="279">
        <f>ROUND((Y10+Z10)/2,0)</f>
        <v/>
      </c>
      <c r="AB10" s="11" t="n">
        <v>0</v>
      </c>
      <c r="AC10" s="9">
        <f>SUMIFS(입항스케줄!J:J,입항스케줄!C:C,PSI_메인!A10,입항스케줄!U:U,"2603")</f>
        <v/>
      </c>
      <c r="AD10" s="11">
        <f>SUMIFS(입항스케줄!J:J,입항스케줄!C:C,PSI_메인!A10,입항스케줄!V:V,"2603")</f>
        <v/>
      </c>
      <c r="AE10" s="280">
        <f>$G10+AC10-AA10</f>
        <v/>
      </c>
      <c r="AF10" s="277">
        <f>$G10+AD10-AB10</f>
        <v/>
      </c>
      <c r="AG10" s="278" t="n">
        <v>0</v>
      </c>
      <c r="AH10" s="278" t="n">
        <v>0</v>
      </c>
      <c r="AI10" s="279">
        <f>ROUND((AG10+AH10)/2,0)</f>
        <v/>
      </c>
      <c r="AJ10" s="11" t="n">
        <v>0</v>
      </c>
      <c r="AK10" s="9">
        <f>SUMIFS(입항스케줄!J:J,입항스케줄!C:C,PSI_메인!A10,입항스케줄!U:U,"2604")</f>
        <v/>
      </c>
      <c r="AL10" s="11">
        <f>SUMIFS(입항스케줄!J:J,입항스케줄!C:C,PSI_메인!A10,입항스케줄!V:V,"2604")</f>
        <v/>
      </c>
      <c r="AM10" s="280">
        <f>$G10+AK10-AI10</f>
        <v/>
      </c>
      <c r="AN10" s="277">
        <f>$G10+AL10-AJ10</f>
        <v/>
      </c>
      <c r="AO10" s="278" t="n">
        <v>0</v>
      </c>
      <c r="AP10" s="278" t="n">
        <v>0</v>
      </c>
      <c r="AQ10" s="279">
        <f>ROUND((AO10+AP10)/2,0)</f>
        <v/>
      </c>
      <c r="AR10" s="11" t="n">
        <v>0</v>
      </c>
      <c r="AS10" s="9" t="n"/>
      <c r="AT10" s="277" t="n"/>
      <c r="AU10" s="280">
        <f>$G10+AS10-AQ10</f>
        <v/>
      </c>
      <c r="AV10" s="277">
        <f>$G10+AT10-AR10</f>
        <v/>
      </c>
      <c r="AW10" s="278" t="n">
        <v>0</v>
      </c>
      <c r="AX10" s="278" t="n">
        <v>0</v>
      </c>
      <c r="AY10" s="279">
        <f>ROUND((AW10+AX10)/2,0)</f>
        <v/>
      </c>
      <c r="AZ10" s="11" t="n">
        <v>0</v>
      </c>
      <c r="BA10" s="9" t="n"/>
      <c r="BB10" s="11" t="n"/>
      <c r="BC10" s="280">
        <f>$G10+BA10-AY10</f>
        <v/>
      </c>
      <c r="BD10" s="277">
        <f>$G10+BB10-AZ10</f>
        <v/>
      </c>
      <c r="BE10" s="278" t="n">
        <v>0</v>
      </c>
      <c r="BF10" s="278" t="n">
        <v>0</v>
      </c>
      <c r="BG10" s="279">
        <f>ROUND((BE10+BF10)/2,0)</f>
        <v/>
      </c>
      <c r="BH10" s="11" t="n">
        <v>0</v>
      </c>
      <c r="BI10" s="278" t="n"/>
      <c r="BJ10" s="11" t="n"/>
      <c r="BK10" s="280">
        <f>$G10+BI10-BG10</f>
        <v/>
      </c>
      <c r="BL10" s="277">
        <f>$G10+BJ10-BH10</f>
        <v/>
      </c>
      <c r="BM10" s="278" t="n">
        <v>0</v>
      </c>
      <c r="BN10" s="278" t="n">
        <v>0</v>
      </c>
      <c r="BO10" s="279">
        <f>ROUND((BM10+BN10)/2,0)</f>
        <v/>
      </c>
      <c r="BP10" s="11" t="n">
        <v>0</v>
      </c>
      <c r="BQ10" s="278" t="n"/>
      <c r="BR10" s="11" t="n"/>
      <c r="BS10" s="280">
        <f>$G10+BQ10-BO10</f>
        <v/>
      </c>
      <c r="BT10" s="277">
        <f>$G10+BR10-BP10</f>
        <v/>
      </c>
      <c r="BU10" s="278" t="n">
        <v>0</v>
      </c>
      <c r="BV10" s="278" t="n">
        <v>0</v>
      </c>
      <c r="BW10" s="279">
        <f>ROUND((BU10+BV10)/2,0)</f>
        <v/>
      </c>
      <c r="BX10" s="11" t="n">
        <v>0</v>
      </c>
      <c r="BY10" s="278" t="n"/>
      <c r="BZ10" s="11" t="n"/>
      <c r="CA10" s="280">
        <f>$G10+BY10-BW10</f>
        <v/>
      </c>
      <c r="CB10" s="277">
        <f>$G10+BZ10-BX10</f>
        <v/>
      </c>
      <c r="CC10" s="278" t="n">
        <v>0</v>
      </c>
      <c r="CD10" s="278" t="n">
        <v>0</v>
      </c>
      <c r="CE10" s="279">
        <f>ROUND((CC10+CD10)/2,0)</f>
        <v/>
      </c>
      <c r="CF10" s="11" t="n">
        <v>0</v>
      </c>
      <c r="CG10" s="278" t="n"/>
      <c r="CH10" s="11" t="n"/>
      <c r="CI10" s="280">
        <f>$G10+CG10-CE10</f>
        <v/>
      </c>
      <c r="CJ10" s="277">
        <f>$G10+CH10-CF10</f>
        <v/>
      </c>
      <c r="CK10" s="278" t="n">
        <v>0</v>
      </c>
      <c r="CL10" s="278" t="n">
        <v>0</v>
      </c>
      <c r="CM10" s="279">
        <f>ROUND((CK10+CL10)/2,0)</f>
        <v/>
      </c>
      <c r="CN10" s="11" t="n">
        <v>0</v>
      </c>
      <c r="CO10" s="278" t="n"/>
      <c r="CP10" s="277" t="n"/>
      <c r="CQ10" s="280">
        <f>$G10+CO10-CM10</f>
        <v/>
      </c>
      <c r="CR10" s="277">
        <f>$G10+CP10-CN10</f>
        <v/>
      </c>
      <c r="CS10" s="278" t="n">
        <v>0</v>
      </c>
      <c r="CT10" s="278" t="n">
        <v>0</v>
      </c>
      <c r="CU10" s="279">
        <f>ROUND((CS10+CT10)/2,0)</f>
        <v/>
      </c>
      <c r="CV10" s="11" t="n">
        <v>0</v>
      </c>
      <c r="CW10" s="278" t="n"/>
      <c r="CX10" s="277" t="n"/>
      <c r="CY10" s="280">
        <f>$G10+CW10-CU10</f>
        <v/>
      </c>
      <c r="CZ10" s="277">
        <f>$G10+CX10-CV10</f>
        <v/>
      </c>
    </row>
    <row r="11" ht="17.25" customHeight="1" s="480">
      <c r="A11" s="28" t="inlineStr">
        <is>
          <t>ABC8</t>
        </is>
      </c>
      <c r="B11" s="379" t="n"/>
      <c r="C11" s="27" t="n"/>
      <c r="D11" s="28">
        <f>_xlfn.XLOOKUP(A11,'ABC-XYZ분석 (2)'!C:C,'ABC-XYZ분석 (2)'!I:I)</f>
        <v/>
      </c>
      <c r="E11" s="28">
        <f>_xlfn.XLOOKUP(A11,'ABC-XYZ분석 (2)'!C:C,'ABC-XYZ분석 (2)'!AC:AC)</f>
        <v/>
      </c>
      <c r="F11" s="3">
        <f>_xlfn.XLOOKUP(A11,'ABC-XYZ분석 (2)'!C:C,'ABC-XYZ분석 (2)'!AG:AG)</f>
        <v/>
      </c>
      <c r="G11" s="14">
        <f>SUMIF(재고!C:C,PSI_메인!A11,재고!I:I)</f>
        <v/>
      </c>
      <c r="H11" s="277" t="n">
        <v>3274</v>
      </c>
      <c r="I11" s="278" t="n">
        <v>0</v>
      </c>
      <c r="J11" s="278" t="n">
        <v>0</v>
      </c>
      <c r="K11" s="279" t="n">
        <v>0</v>
      </c>
      <c r="L11" s="11" t="n">
        <v>0</v>
      </c>
      <c r="M11" s="9">
        <f>SUMIFS(입항스케줄!J:J,입항스케줄!C:C,PSI_메인!A11,입항스케줄!U:U,"2601")</f>
        <v/>
      </c>
      <c r="N11" s="11">
        <f>SUMIFS(입항스케줄!J:J,입항스케줄!C:C,PSI_메인!A11,입항스케줄!V:V,"2601")</f>
        <v/>
      </c>
      <c r="O11" s="280">
        <f>$G11+M11-K11</f>
        <v/>
      </c>
      <c r="P11" s="277">
        <f>$G11+N11-L11</f>
        <v/>
      </c>
      <c r="Q11" s="278" t="n">
        <v>0</v>
      </c>
      <c r="R11" s="278" t="n">
        <v>0</v>
      </c>
      <c r="S11" s="10" t="n">
        <v>0</v>
      </c>
      <c r="T11" s="11" t="n">
        <v>0</v>
      </c>
      <c r="U11" s="9">
        <f>SUMIFS(입항스케줄!J:J,입항스케줄!C:C,PSI_메인!A11,입항스케줄!U:U,"2602")</f>
        <v/>
      </c>
      <c r="V11" s="11">
        <f>SUMIFS(입항스케줄!J:J,입항스케줄!C:C,PSI_메인!A11,입항스케줄!V:V,"2602")</f>
        <v/>
      </c>
      <c r="W11" s="280">
        <f>$G11+U11-S11</f>
        <v/>
      </c>
      <c r="X11" s="277">
        <f>$G11+V11-T11</f>
        <v/>
      </c>
      <c r="Y11" s="278" t="n">
        <v>0</v>
      </c>
      <c r="Z11" s="278" t="n">
        <v>0</v>
      </c>
      <c r="AA11" s="279">
        <f>ROUND((Y11+Z11)/2,0)</f>
        <v/>
      </c>
      <c r="AB11" s="11" t="n">
        <v>0</v>
      </c>
      <c r="AC11" s="9">
        <f>SUMIFS(입항스케줄!J:J,입항스케줄!C:C,PSI_메인!A11,입항스케줄!U:U,"2603")</f>
        <v/>
      </c>
      <c r="AD11" s="11">
        <f>SUMIFS(입항스케줄!J:J,입항스케줄!C:C,PSI_메인!A11,입항스케줄!V:V,"2603")</f>
        <v/>
      </c>
      <c r="AE11" s="280">
        <f>$G11+AC11-AA11</f>
        <v/>
      </c>
      <c r="AF11" s="277">
        <f>$G11+AD11-AB11</f>
        <v/>
      </c>
      <c r="AG11" s="278" t="n">
        <v>0</v>
      </c>
      <c r="AH11" s="278" t="n">
        <v>0</v>
      </c>
      <c r="AI11" s="279">
        <f>ROUND((AG11+AH11)/2,0)</f>
        <v/>
      </c>
      <c r="AJ11" s="11" t="n">
        <v>0</v>
      </c>
      <c r="AK11" s="9">
        <f>SUMIFS(입항스케줄!J:J,입항스케줄!C:C,PSI_메인!A11,입항스케줄!U:U,"2604")</f>
        <v/>
      </c>
      <c r="AL11" s="11">
        <f>SUMIFS(입항스케줄!J:J,입항스케줄!C:C,PSI_메인!A11,입항스케줄!V:V,"2604")</f>
        <v/>
      </c>
      <c r="AM11" s="280">
        <f>$G11+AK11-AI11</f>
        <v/>
      </c>
      <c r="AN11" s="277">
        <f>$G11+AL11-AJ11</f>
        <v/>
      </c>
      <c r="AO11" s="278" t="n">
        <v>0</v>
      </c>
      <c r="AP11" s="278" t="n">
        <v>0</v>
      </c>
      <c r="AQ11" s="279">
        <f>ROUND((AO11+AP11)/2,0)</f>
        <v/>
      </c>
      <c r="AR11" s="11" t="n">
        <v>0</v>
      </c>
      <c r="AS11" s="9" t="n"/>
      <c r="AT11" s="277" t="n"/>
      <c r="AU11" s="280">
        <f>$G11+AS11-AQ11</f>
        <v/>
      </c>
      <c r="AV11" s="277">
        <f>$G11+AT11-AR11</f>
        <v/>
      </c>
      <c r="AW11" s="278" t="n">
        <v>0</v>
      </c>
      <c r="AX11" s="278" t="n">
        <v>0</v>
      </c>
      <c r="AY11" s="279">
        <f>ROUND((AW11+AX11)/2,0)</f>
        <v/>
      </c>
      <c r="AZ11" s="11" t="n">
        <v>0</v>
      </c>
      <c r="BA11" s="9" t="n"/>
      <c r="BB11" s="11" t="n"/>
      <c r="BC11" s="280">
        <f>$G11+BA11-AY11</f>
        <v/>
      </c>
      <c r="BD11" s="277">
        <f>$G11+BB11-AZ11</f>
        <v/>
      </c>
      <c r="BE11" s="278" t="n">
        <v>0</v>
      </c>
      <c r="BF11" s="278" t="n">
        <v>0</v>
      </c>
      <c r="BG11" s="279">
        <f>ROUND((BE11+BF11)/2,0)</f>
        <v/>
      </c>
      <c r="BH11" s="11" t="n">
        <v>0</v>
      </c>
      <c r="BI11" s="278" t="n"/>
      <c r="BJ11" s="11" t="n"/>
      <c r="BK11" s="280">
        <f>$G11+BI11-BG11</f>
        <v/>
      </c>
      <c r="BL11" s="277">
        <f>$G11+BJ11-BH11</f>
        <v/>
      </c>
      <c r="BM11" s="278" t="n">
        <v>0</v>
      </c>
      <c r="BN11" s="278" t="n">
        <v>0</v>
      </c>
      <c r="BO11" s="279">
        <f>ROUND((BM11+BN11)/2,0)</f>
        <v/>
      </c>
      <c r="BP11" s="11" t="n">
        <v>0</v>
      </c>
      <c r="BQ11" s="278" t="n"/>
      <c r="BR11" s="11" t="n"/>
      <c r="BS11" s="280">
        <f>$G11+BQ11-BO11</f>
        <v/>
      </c>
      <c r="BT11" s="277">
        <f>$G11+BR11-BP11</f>
        <v/>
      </c>
      <c r="BU11" s="278" t="n">
        <v>0</v>
      </c>
      <c r="BV11" s="278" t="n">
        <v>0</v>
      </c>
      <c r="BW11" s="279">
        <f>ROUND((BU11+BV11)/2,0)</f>
        <v/>
      </c>
      <c r="BX11" s="11" t="n">
        <v>0</v>
      </c>
      <c r="BY11" s="278" t="n"/>
      <c r="BZ11" s="11" t="n"/>
      <c r="CA11" s="280">
        <f>$G11+BY11-BW11</f>
        <v/>
      </c>
      <c r="CB11" s="277">
        <f>$G11+BZ11-BX11</f>
        <v/>
      </c>
      <c r="CC11" s="278" t="n">
        <v>0</v>
      </c>
      <c r="CD11" s="278" t="n">
        <v>0</v>
      </c>
      <c r="CE11" s="279">
        <f>ROUND((CC11+CD11)/2,0)</f>
        <v/>
      </c>
      <c r="CF11" s="11" t="n">
        <v>0</v>
      </c>
      <c r="CG11" s="278" t="n"/>
      <c r="CH11" s="11" t="n"/>
      <c r="CI11" s="280">
        <f>$G11+CG11-CE11</f>
        <v/>
      </c>
      <c r="CJ11" s="277">
        <f>$G11+CH11-CF11</f>
        <v/>
      </c>
      <c r="CK11" s="278" t="n">
        <v>0</v>
      </c>
      <c r="CL11" s="278" t="n">
        <v>0</v>
      </c>
      <c r="CM11" s="279">
        <f>ROUND((CK11+CL11)/2,0)</f>
        <v/>
      </c>
      <c r="CN11" s="11" t="n">
        <v>0</v>
      </c>
      <c r="CO11" s="278" t="n"/>
      <c r="CP11" s="277" t="n"/>
      <c r="CQ11" s="280">
        <f>$G11+CO11-CM11</f>
        <v/>
      </c>
      <c r="CR11" s="277">
        <f>$G11+CP11-CN11</f>
        <v/>
      </c>
      <c r="CS11" s="278" t="n">
        <v>0</v>
      </c>
      <c r="CT11" s="278" t="n">
        <v>0</v>
      </c>
      <c r="CU11" s="279">
        <f>ROUND((CS11+CT11)/2,0)</f>
        <v/>
      </c>
      <c r="CV11" s="11" t="n">
        <v>0</v>
      </c>
      <c r="CW11" s="278" t="n"/>
      <c r="CX11" s="277" t="n"/>
      <c r="CY11" s="280">
        <f>$G11+CW11-CU11</f>
        <v/>
      </c>
      <c r="CZ11" s="277">
        <f>$G11+CX11-CV11</f>
        <v/>
      </c>
    </row>
    <row r="12" ht="17.25" customHeight="1" s="480">
      <c r="A12" s="28" t="inlineStr">
        <is>
          <t>ABC9</t>
        </is>
      </c>
      <c r="B12" s="379" t="n"/>
      <c r="C12" s="27" t="n"/>
      <c r="D12" s="28">
        <f>_xlfn.XLOOKUP(A12,'ABC-XYZ분석 (2)'!C:C,'ABC-XYZ분석 (2)'!I:I)</f>
        <v/>
      </c>
      <c r="E12" s="28">
        <f>_xlfn.XLOOKUP(A12,'ABC-XYZ분석 (2)'!C:C,'ABC-XYZ분석 (2)'!AC:AC)</f>
        <v/>
      </c>
      <c r="F12" s="3">
        <f>_xlfn.XLOOKUP(A12,'ABC-XYZ분석 (2)'!C:C,'ABC-XYZ분석 (2)'!AG:AG)</f>
        <v/>
      </c>
      <c r="G12" s="14">
        <f>SUMIF(재고!C:C,PSI_메인!A12,재고!I:I)</f>
        <v/>
      </c>
      <c r="H12" s="277" t="n">
        <v>6767</v>
      </c>
      <c r="I12" s="278" t="n">
        <v>0</v>
      </c>
      <c r="J12" s="278" t="n">
        <v>0</v>
      </c>
      <c r="K12" s="279" t="n">
        <v>0</v>
      </c>
      <c r="L12" s="11" t="n">
        <v>0</v>
      </c>
      <c r="M12" s="9">
        <f>SUMIFS(입항스케줄!J:J,입항스케줄!C:C,PSI_메인!A12,입항스케줄!U:U,"2601")</f>
        <v/>
      </c>
      <c r="N12" s="11">
        <f>SUMIFS(입항스케줄!J:J,입항스케줄!C:C,PSI_메인!A12,입항스케줄!V:V,"2601")</f>
        <v/>
      </c>
      <c r="O12" s="280">
        <f>$G12+M12-K12</f>
        <v/>
      </c>
      <c r="P12" s="277">
        <f>$G12+N12-L12</f>
        <v/>
      </c>
      <c r="Q12" s="278" t="n">
        <v>0</v>
      </c>
      <c r="R12" s="278" t="n">
        <v>0</v>
      </c>
      <c r="S12" s="10" t="n">
        <v>0</v>
      </c>
      <c r="T12" s="11" t="n">
        <v>0</v>
      </c>
      <c r="U12" s="9">
        <f>SUMIFS(입항스케줄!J:J,입항스케줄!C:C,PSI_메인!A12,입항스케줄!U:U,"2602")</f>
        <v/>
      </c>
      <c r="V12" s="11">
        <f>SUMIFS(입항스케줄!J:J,입항스케줄!C:C,PSI_메인!A12,입항스케줄!V:V,"2602")</f>
        <v/>
      </c>
      <c r="W12" s="280">
        <f>$G12+U12-S12</f>
        <v/>
      </c>
      <c r="X12" s="277">
        <f>$G12+V12-T12</f>
        <v/>
      </c>
      <c r="Y12" s="278" t="n">
        <v>0</v>
      </c>
      <c r="Z12" s="278" t="n">
        <v>0</v>
      </c>
      <c r="AA12" s="279">
        <f>ROUND((Y12+Z12)/2,0)</f>
        <v/>
      </c>
      <c r="AB12" s="11" t="n">
        <v>0</v>
      </c>
      <c r="AC12" s="9">
        <f>SUMIFS(입항스케줄!J:J,입항스케줄!C:C,PSI_메인!A12,입항스케줄!U:U,"2603")</f>
        <v/>
      </c>
      <c r="AD12" s="11">
        <f>SUMIFS(입항스케줄!J:J,입항스케줄!C:C,PSI_메인!A12,입항스케줄!V:V,"2603")</f>
        <v/>
      </c>
      <c r="AE12" s="280">
        <f>$G12+AC12-AA12</f>
        <v/>
      </c>
      <c r="AF12" s="277">
        <f>$G12+AD12-AB12</f>
        <v/>
      </c>
      <c r="AG12" s="278" t="n">
        <v>0</v>
      </c>
      <c r="AH12" s="278" t="n">
        <v>0</v>
      </c>
      <c r="AI12" s="279">
        <f>ROUND((AG12+AH12)/2,0)</f>
        <v/>
      </c>
      <c r="AJ12" s="11" t="n">
        <v>0</v>
      </c>
      <c r="AK12" s="9">
        <f>SUMIFS(입항스케줄!J:J,입항스케줄!C:C,PSI_메인!A12,입항스케줄!U:U,"2604")</f>
        <v/>
      </c>
      <c r="AL12" s="11">
        <f>SUMIFS(입항스케줄!J:J,입항스케줄!C:C,PSI_메인!A12,입항스케줄!V:V,"2604")</f>
        <v/>
      </c>
      <c r="AM12" s="280">
        <f>$G12+AK12-AI12</f>
        <v/>
      </c>
      <c r="AN12" s="277">
        <f>$G12+AL12-AJ12</f>
        <v/>
      </c>
      <c r="AO12" s="278" t="n">
        <v>0</v>
      </c>
      <c r="AP12" s="278" t="n">
        <v>0</v>
      </c>
      <c r="AQ12" s="279">
        <f>ROUND((AO12+AP12)/2,0)</f>
        <v/>
      </c>
      <c r="AR12" s="11" t="n">
        <v>0</v>
      </c>
      <c r="AS12" s="9" t="n"/>
      <c r="AT12" s="277" t="n"/>
      <c r="AU12" s="280">
        <f>$G12+AS12-AQ12</f>
        <v/>
      </c>
      <c r="AV12" s="277">
        <f>$G12+AT12-AR12</f>
        <v/>
      </c>
      <c r="AW12" s="278" t="n">
        <v>0</v>
      </c>
      <c r="AX12" s="278" t="n">
        <v>0</v>
      </c>
      <c r="AY12" s="279">
        <f>ROUND((AW12+AX12)/2,0)</f>
        <v/>
      </c>
      <c r="AZ12" s="11" t="n">
        <v>0</v>
      </c>
      <c r="BA12" s="9" t="n"/>
      <c r="BB12" s="11" t="n"/>
      <c r="BC12" s="280">
        <f>$G12+BA12-AY12</f>
        <v/>
      </c>
      <c r="BD12" s="277">
        <f>$G12+BB12-AZ12</f>
        <v/>
      </c>
      <c r="BE12" s="278" t="n">
        <v>0</v>
      </c>
      <c r="BF12" s="278" t="n">
        <v>0</v>
      </c>
      <c r="BG12" s="279">
        <f>ROUND((BE12+BF12)/2,0)</f>
        <v/>
      </c>
      <c r="BH12" s="11" t="n">
        <v>0</v>
      </c>
      <c r="BI12" s="278" t="n"/>
      <c r="BJ12" s="11" t="n"/>
      <c r="BK12" s="280">
        <f>$G12+BI12-BG12</f>
        <v/>
      </c>
      <c r="BL12" s="277">
        <f>$G12+BJ12-BH12</f>
        <v/>
      </c>
      <c r="BM12" s="278" t="n">
        <v>0</v>
      </c>
      <c r="BN12" s="278" t="n">
        <v>0</v>
      </c>
      <c r="BO12" s="279">
        <f>ROUND((BM12+BN12)/2,0)</f>
        <v/>
      </c>
      <c r="BP12" s="11" t="n">
        <v>0</v>
      </c>
      <c r="BQ12" s="278" t="n"/>
      <c r="BR12" s="11" t="n"/>
      <c r="BS12" s="280">
        <f>$G12+BQ12-BO12</f>
        <v/>
      </c>
      <c r="BT12" s="277">
        <f>$G12+BR12-BP12</f>
        <v/>
      </c>
      <c r="BU12" s="278" t="n">
        <v>0</v>
      </c>
      <c r="BV12" s="278" t="n">
        <v>0</v>
      </c>
      <c r="BW12" s="279">
        <f>ROUND((BU12+BV12)/2,0)</f>
        <v/>
      </c>
      <c r="BX12" s="11" t="n">
        <v>0</v>
      </c>
      <c r="BY12" s="278" t="n"/>
      <c r="BZ12" s="11" t="n"/>
      <c r="CA12" s="280">
        <f>$G12+BY12-BW12</f>
        <v/>
      </c>
      <c r="CB12" s="277">
        <f>$G12+BZ12-BX12</f>
        <v/>
      </c>
      <c r="CC12" s="278" t="n">
        <v>0</v>
      </c>
      <c r="CD12" s="278" t="n">
        <v>0</v>
      </c>
      <c r="CE12" s="279">
        <f>ROUND((CC12+CD12)/2,0)</f>
        <v/>
      </c>
      <c r="CF12" s="11" t="n">
        <v>0</v>
      </c>
      <c r="CG12" s="278" t="n"/>
      <c r="CH12" s="11" t="n"/>
      <c r="CI12" s="280">
        <f>$G12+CG12-CE12</f>
        <v/>
      </c>
      <c r="CJ12" s="277">
        <f>$G12+CH12-CF12</f>
        <v/>
      </c>
      <c r="CK12" s="278" t="n">
        <v>0</v>
      </c>
      <c r="CL12" s="278" t="n">
        <v>0</v>
      </c>
      <c r="CM12" s="279">
        <f>ROUND((CK12+CL12)/2,0)</f>
        <v/>
      </c>
      <c r="CN12" s="11" t="n">
        <v>0</v>
      </c>
      <c r="CO12" s="278" t="n"/>
      <c r="CP12" s="277" t="n"/>
      <c r="CQ12" s="280">
        <f>$G12+CO12-CM12</f>
        <v/>
      </c>
      <c r="CR12" s="277">
        <f>$G12+CP12-CN12</f>
        <v/>
      </c>
      <c r="CS12" s="278" t="n">
        <v>0</v>
      </c>
      <c r="CT12" s="278" t="n">
        <v>0</v>
      </c>
      <c r="CU12" s="279">
        <f>ROUND((CS12+CT12)/2,0)</f>
        <v/>
      </c>
      <c r="CV12" s="11" t="n">
        <v>0</v>
      </c>
      <c r="CW12" s="278" t="n"/>
      <c r="CX12" s="277" t="n"/>
      <c r="CY12" s="280">
        <f>$G12+CW12-CU12</f>
        <v/>
      </c>
      <c r="CZ12" s="277">
        <f>$G12+CX12-CV12</f>
        <v/>
      </c>
    </row>
    <row r="13" ht="17.25" customHeight="1" s="480">
      <c r="A13" s="28" t="inlineStr">
        <is>
          <t>ABC10</t>
        </is>
      </c>
      <c r="B13" s="379" t="n"/>
      <c r="C13" s="27" t="n"/>
      <c r="D13" s="28">
        <f>_xlfn.XLOOKUP(A13,'ABC-XYZ분석 (2)'!C:C,'ABC-XYZ분석 (2)'!I:I)</f>
        <v/>
      </c>
      <c r="E13" s="28">
        <f>_xlfn.XLOOKUP(A13,'ABC-XYZ분석 (2)'!C:C,'ABC-XYZ분석 (2)'!AC:AC)</f>
        <v/>
      </c>
      <c r="F13" s="3">
        <f>_xlfn.XLOOKUP(A13,'ABC-XYZ분석 (2)'!C:C,'ABC-XYZ분석 (2)'!AG:AG)</f>
        <v/>
      </c>
      <c r="G13" s="14">
        <f>SUMIF(재고!C:C,PSI_메인!A13,재고!I:I)</f>
        <v/>
      </c>
      <c r="H13" s="277" t="n">
        <v>10244</v>
      </c>
      <c r="I13" s="278" t="n">
        <v>0</v>
      </c>
      <c r="J13" s="278" t="n">
        <v>0</v>
      </c>
      <c r="K13" s="279" t="n">
        <v>0</v>
      </c>
      <c r="L13" s="11" t="n">
        <v>0</v>
      </c>
      <c r="M13" s="9">
        <f>SUMIFS(입항스케줄!J:J,입항스케줄!C:C,PSI_메인!A13,입항스케줄!U:U,"2601")</f>
        <v/>
      </c>
      <c r="N13" s="11">
        <f>SUMIFS(입항스케줄!J:J,입항스케줄!C:C,PSI_메인!A13,입항스케줄!V:V,"2601")</f>
        <v/>
      </c>
      <c r="O13" s="280">
        <f>$G13+M13-K13</f>
        <v/>
      </c>
      <c r="P13" s="277">
        <f>$G13+N13-L13</f>
        <v/>
      </c>
      <c r="Q13" s="278" t="n">
        <v>0</v>
      </c>
      <c r="R13" s="278" t="n">
        <v>0</v>
      </c>
      <c r="S13" s="10" t="n">
        <v>0</v>
      </c>
      <c r="T13" s="11" t="n">
        <v>0</v>
      </c>
      <c r="U13" s="9">
        <f>SUMIFS(입항스케줄!J:J,입항스케줄!C:C,PSI_메인!A13,입항스케줄!U:U,"2602")</f>
        <v/>
      </c>
      <c r="V13" s="11">
        <f>SUMIFS(입항스케줄!J:J,입항스케줄!C:C,PSI_메인!A13,입항스케줄!V:V,"2602")</f>
        <v/>
      </c>
      <c r="W13" s="280">
        <f>$G13+U13-S13</f>
        <v/>
      </c>
      <c r="X13" s="277">
        <f>$G13+V13-T13</f>
        <v/>
      </c>
      <c r="Y13" s="278" t="n">
        <v>0</v>
      </c>
      <c r="Z13" s="278" t="n">
        <v>0</v>
      </c>
      <c r="AA13" s="279">
        <f>ROUND((Y13+Z13)/2,0)</f>
        <v/>
      </c>
      <c r="AB13" s="11" t="n">
        <v>0</v>
      </c>
      <c r="AC13" s="9">
        <f>SUMIFS(입항스케줄!J:J,입항스케줄!C:C,PSI_메인!A13,입항스케줄!U:U,"2603")</f>
        <v/>
      </c>
      <c r="AD13" s="11">
        <f>SUMIFS(입항스케줄!J:J,입항스케줄!C:C,PSI_메인!A13,입항스케줄!V:V,"2603")</f>
        <v/>
      </c>
      <c r="AE13" s="280">
        <f>$G13+AC13-AA13</f>
        <v/>
      </c>
      <c r="AF13" s="277">
        <f>$G13+AD13-AB13</f>
        <v/>
      </c>
      <c r="AG13" s="278" t="n">
        <v>0</v>
      </c>
      <c r="AH13" s="278" t="n">
        <v>0</v>
      </c>
      <c r="AI13" s="279">
        <f>ROUND((AG13+AH13)/2,0)</f>
        <v/>
      </c>
      <c r="AJ13" s="11" t="n">
        <v>0</v>
      </c>
      <c r="AK13" s="9">
        <f>SUMIFS(입항스케줄!J:J,입항스케줄!C:C,PSI_메인!A13,입항스케줄!U:U,"2604")</f>
        <v/>
      </c>
      <c r="AL13" s="11">
        <f>SUMIFS(입항스케줄!J:J,입항스케줄!C:C,PSI_메인!A13,입항스케줄!V:V,"2604")</f>
        <v/>
      </c>
      <c r="AM13" s="280">
        <f>$G13+AK13-AI13</f>
        <v/>
      </c>
      <c r="AN13" s="277">
        <f>$G13+AL13-AJ13</f>
        <v/>
      </c>
      <c r="AO13" s="278" t="n">
        <v>0</v>
      </c>
      <c r="AP13" s="278" t="n">
        <v>0</v>
      </c>
      <c r="AQ13" s="279">
        <f>ROUND((AO13+AP13)/2,0)</f>
        <v/>
      </c>
      <c r="AR13" s="11" t="n">
        <v>0</v>
      </c>
      <c r="AS13" s="9" t="n"/>
      <c r="AT13" s="277" t="n"/>
      <c r="AU13" s="280">
        <f>$G13+AS13-AQ13</f>
        <v/>
      </c>
      <c r="AV13" s="277">
        <f>$G13+AT13-AR13</f>
        <v/>
      </c>
      <c r="AW13" s="278" t="n">
        <v>0</v>
      </c>
      <c r="AX13" s="278" t="n">
        <v>0</v>
      </c>
      <c r="AY13" s="279">
        <f>ROUND((AW13+AX13)/2,0)</f>
        <v/>
      </c>
      <c r="AZ13" s="11" t="n">
        <v>0</v>
      </c>
      <c r="BA13" s="9" t="n"/>
      <c r="BB13" s="11" t="n"/>
      <c r="BC13" s="280">
        <f>$G13+BA13-AY13</f>
        <v/>
      </c>
      <c r="BD13" s="277">
        <f>$G13+BB13-AZ13</f>
        <v/>
      </c>
      <c r="BE13" s="278" t="n">
        <v>0</v>
      </c>
      <c r="BF13" s="278" t="n">
        <v>0</v>
      </c>
      <c r="BG13" s="279">
        <f>ROUND((BE13+BF13)/2,0)</f>
        <v/>
      </c>
      <c r="BH13" s="11" t="n">
        <v>0</v>
      </c>
      <c r="BI13" s="278" t="n"/>
      <c r="BJ13" s="11" t="n"/>
      <c r="BK13" s="280">
        <f>$G13+BI13-BG13</f>
        <v/>
      </c>
      <c r="BL13" s="277">
        <f>$G13+BJ13-BH13</f>
        <v/>
      </c>
      <c r="BM13" s="278" t="n">
        <v>0</v>
      </c>
      <c r="BN13" s="278" t="n">
        <v>0</v>
      </c>
      <c r="BO13" s="279">
        <f>ROUND((BM13+BN13)/2,0)</f>
        <v/>
      </c>
      <c r="BP13" s="11" t="n">
        <v>0</v>
      </c>
      <c r="BQ13" s="278" t="n"/>
      <c r="BR13" s="11" t="n"/>
      <c r="BS13" s="280">
        <f>$G13+BQ13-BO13</f>
        <v/>
      </c>
      <c r="BT13" s="277">
        <f>$G13+BR13-BP13</f>
        <v/>
      </c>
      <c r="BU13" s="278" t="n">
        <v>0</v>
      </c>
      <c r="BV13" s="278" t="n">
        <v>0</v>
      </c>
      <c r="BW13" s="279">
        <f>ROUND((BU13+BV13)/2,0)</f>
        <v/>
      </c>
      <c r="BX13" s="11" t="n">
        <v>0</v>
      </c>
      <c r="BY13" s="278" t="n"/>
      <c r="BZ13" s="11" t="n"/>
      <c r="CA13" s="280">
        <f>$G13+BY13-BW13</f>
        <v/>
      </c>
      <c r="CB13" s="277">
        <f>$G13+BZ13-BX13</f>
        <v/>
      </c>
      <c r="CC13" s="278" t="n">
        <v>0</v>
      </c>
      <c r="CD13" s="278" t="n">
        <v>0</v>
      </c>
      <c r="CE13" s="279">
        <f>ROUND((CC13+CD13)/2,0)</f>
        <v/>
      </c>
      <c r="CF13" s="11" t="n">
        <v>0</v>
      </c>
      <c r="CG13" s="278" t="n"/>
      <c r="CH13" s="11" t="n"/>
      <c r="CI13" s="280">
        <f>$G13+CG13-CE13</f>
        <v/>
      </c>
      <c r="CJ13" s="277">
        <f>$G13+CH13-CF13</f>
        <v/>
      </c>
      <c r="CK13" s="278" t="n">
        <v>0</v>
      </c>
      <c r="CL13" s="278" t="n">
        <v>0</v>
      </c>
      <c r="CM13" s="279">
        <f>ROUND((CK13+CL13)/2,0)</f>
        <v/>
      </c>
      <c r="CN13" s="11" t="n">
        <v>0</v>
      </c>
      <c r="CO13" s="278" t="n"/>
      <c r="CP13" s="277" t="n"/>
      <c r="CQ13" s="280">
        <f>$G13+CO13-CM13</f>
        <v/>
      </c>
      <c r="CR13" s="277">
        <f>$G13+CP13-CN13</f>
        <v/>
      </c>
      <c r="CS13" s="278" t="n">
        <v>0</v>
      </c>
      <c r="CT13" s="278" t="n">
        <v>0</v>
      </c>
      <c r="CU13" s="279">
        <f>ROUND((CS13+CT13)/2,0)</f>
        <v/>
      </c>
      <c r="CV13" s="11" t="n">
        <v>0</v>
      </c>
      <c r="CW13" s="278" t="n"/>
      <c r="CX13" s="277" t="n"/>
      <c r="CY13" s="280">
        <f>$G13+CW13-CU13</f>
        <v/>
      </c>
      <c r="CZ13" s="277">
        <f>$G13+CX13-CV13</f>
        <v/>
      </c>
    </row>
    <row r="14" ht="17.25" customHeight="1" s="480">
      <c r="A14" s="28" t="inlineStr">
        <is>
          <t>ABC11</t>
        </is>
      </c>
      <c r="B14" s="379" t="n"/>
      <c r="C14" s="27" t="n"/>
      <c r="D14" s="28">
        <f>_xlfn.XLOOKUP(A14,'ABC-XYZ분석 (2)'!C:C,'ABC-XYZ분석 (2)'!I:I)</f>
        <v/>
      </c>
      <c r="E14" s="28">
        <f>_xlfn.XLOOKUP(A14,'ABC-XYZ분석 (2)'!C:C,'ABC-XYZ분석 (2)'!AC:AC)</f>
        <v/>
      </c>
      <c r="F14" s="3">
        <f>_xlfn.XLOOKUP(A14,'ABC-XYZ분석 (2)'!C:C,'ABC-XYZ분석 (2)'!AG:AG)</f>
        <v/>
      </c>
      <c r="G14" s="14">
        <f>SUMIF(재고!C:C,PSI_메인!A14,재고!I:I)</f>
        <v/>
      </c>
      <c r="H14" s="277" t="n">
        <v>2877</v>
      </c>
      <c r="I14" s="278" t="n">
        <v>0</v>
      </c>
      <c r="J14" s="278" t="n">
        <v>0</v>
      </c>
      <c r="K14" s="279" t="n">
        <v>400</v>
      </c>
      <c r="L14" s="11" t="n">
        <v>0</v>
      </c>
      <c r="M14" s="9">
        <f>SUMIFS(입항스케줄!J:J,입항스케줄!C:C,PSI_메인!A14,입항스케줄!U:U,"2601")</f>
        <v/>
      </c>
      <c r="N14" s="11">
        <f>SUMIFS(입항스케줄!J:J,입항스케줄!C:C,PSI_메인!A14,입항스케줄!V:V,"2601")</f>
        <v/>
      </c>
      <c r="O14" s="280">
        <f>$G14+M14-K14</f>
        <v/>
      </c>
      <c r="P14" s="277">
        <f>$G14+N14-L14</f>
        <v/>
      </c>
      <c r="Q14" s="278" t="n">
        <v>0</v>
      </c>
      <c r="R14" s="278" t="n">
        <v>0</v>
      </c>
      <c r="S14" s="10" t="n">
        <v>500</v>
      </c>
      <c r="T14" s="11" t="n">
        <v>0</v>
      </c>
      <c r="U14" s="9">
        <f>SUMIFS(입항스케줄!J:J,입항스케줄!C:C,PSI_메인!A14,입항스케줄!U:U,"2602")</f>
        <v/>
      </c>
      <c r="V14" s="11">
        <f>SUMIFS(입항스케줄!J:J,입항스케줄!C:C,PSI_메인!A14,입항스케줄!V:V,"2602")</f>
        <v/>
      </c>
      <c r="W14" s="280">
        <f>$G14+U14-S14</f>
        <v/>
      </c>
      <c r="X14" s="277">
        <f>$G14+V14-T14</f>
        <v/>
      </c>
      <c r="Y14" s="278" t="n">
        <v>0</v>
      </c>
      <c r="Z14" s="278" t="n">
        <v>0</v>
      </c>
      <c r="AA14" s="279">
        <f>ROUND((Y14+Z14)/2,0)</f>
        <v/>
      </c>
      <c r="AB14" s="11" t="n">
        <v>0</v>
      </c>
      <c r="AC14" s="9">
        <f>SUMIFS(입항스케줄!J:J,입항스케줄!C:C,PSI_메인!A14,입항스케줄!U:U,"2603")</f>
        <v/>
      </c>
      <c r="AD14" s="11">
        <f>SUMIFS(입항스케줄!J:J,입항스케줄!C:C,PSI_메인!A14,입항스케줄!V:V,"2603")</f>
        <v/>
      </c>
      <c r="AE14" s="280">
        <f>$G14+AC14-AA14</f>
        <v/>
      </c>
      <c r="AF14" s="277">
        <f>$G14+AD14-AB14</f>
        <v/>
      </c>
      <c r="AG14" s="278" t="n">
        <v>0</v>
      </c>
      <c r="AH14" s="278" t="n">
        <v>0</v>
      </c>
      <c r="AI14" s="279">
        <f>ROUND((AG14+AH14)/2,0)</f>
        <v/>
      </c>
      <c r="AJ14" s="11" t="n">
        <v>0</v>
      </c>
      <c r="AK14" s="9">
        <f>SUMIFS(입항스케줄!J:J,입항스케줄!C:C,PSI_메인!A14,입항스케줄!U:U,"2604")</f>
        <v/>
      </c>
      <c r="AL14" s="11">
        <f>SUMIFS(입항스케줄!J:J,입항스케줄!C:C,PSI_메인!A14,입항스케줄!V:V,"2604")</f>
        <v/>
      </c>
      <c r="AM14" s="280">
        <f>$G14+AK14-AI14</f>
        <v/>
      </c>
      <c r="AN14" s="277">
        <f>$G14+AL14-AJ14</f>
        <v/>
      </c>
      <c r="AO14" s="278" t="n">
        <v>0</v>
      </c>
      <c r="AP14" s="278" t="n">
        <v>0</v>
      </c>
      <c r="AQ14" s="279">
        <f>ROUND((AO14+AP14)/2,0)</f>
        <v/>
      </c>
      <c r="AR14" s="11" t="n">
        <v>0</v>
      </c>
      <c r="AS14" s="9" t="n"/>
      <c r="AT14" s="277" t="n"/>
      <c r="AU14" s="280">
        <f>$G14+AS14-AQ14</f>
        <v/>
      </c>
      <c r="AV14" s="277">
        <f>$G14+AT14-AR14</f>
        <v/>
      </c>
      <c r="AW14" s="278" t="n">
        <v>0</v>
      </c>
      <c r="AX14" s="278" t="n">
        <v>0</v>
      </c>
      <c r="AY14" s="279">
        <f>ROUND((AW14+AX14)/2,0)</f>
        <v/>
      </c>
      <c r="AZ14" s="11" t="n">
        <v>0</v>
      </c>
      <c r="BA14" s="9" t="n"/>
      <c r="BB14" s="11" t="n"/>
      <c r="BC14" s="280">
        <f>$G14+BA14-AY14</f>
        <v/>
      </c>
      <c r="BD14" s="277">
        <f>$G14+BB14-AZ14</f>
        <v/>
      </c>
      <c r="BE14" s="278" t="n">
        <v>0</v>
      </c>
      <c r="BF14" s="278" t="n">
        <v>0</v>
      </c>
      <c r="BG14" s="279">
        <f>ROUND((BE14+BF14)/2,0)</f>
        <v/>
      </c>
      <c r="BH14" s="11" t="n">
        <v>0</v>
      </c>
      <c r="BI14" s="278" t="n"/>
      <c r="BJ14" s="11" t="n"/>
      <c r="BK14" s="280">
        <f>$G14+BI14-BG14</f>
        <v/>
      </c>
      <c r="BL14" s="277">
        <f>$G14+BJ14-BH14</f>
        <v/>
      </c>
      <c r="BM14" s="278" t="n">
        <v>0</v>
      </c>
      <c r="BN14" s="278" t="n">
        <v>0</v>
      </c>
      <c r="BO14" s="279">
        <f>ROUND((BM14+BN14)/2,0)</f>
        <v/>
      </c>
      <c r="BP14" s="11" t="n">
        <v>0</v>
      </c>
      <c r="BQ14" s="278" t="n"/>
      <c r="BR14" s="11" t="n"/>
      <c r="BS14" s="280">
        <f>$G14+BQ14-BO14</f>
        <v/>
      </c>
      <c r="BT14" s="277">
        <f>$G14+BR14-BP14</f>
        <v/>
      </c>
      <c r="BU14" s="278" t="n">
        <v>0</v>
      </c>
      <c r="BV14" s="278" t="n">
        <v>0</v>
      </c>
      <c r="BW14" s="279">
        <f>ROUND((BU14+BV14)/2,0)</f>
        <v/>
      </c>
      <c r="BX14" s="11" t="n">
        <v>0</v>
      </c>
      <c r="BY14" s="278" t="n"/>
      <c r="BZ14" s="11" t="n"/>
      <c r="CA14" s="280">
        <f>$G14+BY14-BW14</f>
        <v/>
      </c>
      <c r="CB14" s="277">
        <f>$G14+BZ14-BX14</f>
        <v/>
      </c>
      <c r="CC14" s="278" t="n">
        <v>0</v>
      </c>
      <c r="CD14" s="278" t="n">
        <v>0</v>
      </c>
      <c r="CE14" s="279">
        <f>ROUND((CC14+CD14)/2,0)</f>
        <v/>
      </c>
      <c r="CF14" s="11" t="n">
        <v>0</v>
      </c>
      <c r="CG14" s="278" t="n"/>
      <c r="CH14" s="11" t="n"/>
      <c r="CI14" s="280">
        <f>$G14+CG14-CE14</f>
        <v/>
      </c>
      <c r="CJ14" s="277">
        <f>$G14+CH14-CF14</f>
        <v/>
      </c>
      <c r="CK14" s="278" t="n">
        <v>0</v>
      </c>
      <c r="CL14" s="278" t="n">
        <v>0</v>
      </c>
      <c r="CM14" s="279">
        <f>ROUND((CK14+CL14)/2,0)</f>
        <v/>
      </c>
      <c r="CN14" s="11" t="n">
        <v>0</v>
      </c>
      <c r="CO14" s="278" t="n"/>
      <c r="CP14" s="277" t="n"/>
      <c r="CQ14" s="280">
        <f>$G14+CO14-CM14</f>
        <v/>
      </c>
      <c r="CR14" s="277">
        <f>$G14+CP14-CN14</f>
        <v/>
      </c>
      <c r="CS14" s="278" t="n">
        <v>0</v>
      </c>
      <c r="CT14" s="278" t="n">
        <v>0</v>
      </c>
      <c r="CU14" s="279">
        <f>ROUND((CS14+CT14)/2,0)</f>
        <v/>
      </c>
      <c r="CV14" s="11" t="n">
        <v>0</v>
      </c>
      <c r="CW14" s="278" t="n"/>
      <c r="CX14" s="277" t="n"/>
      <c r="CY14" s="280">
        <f>$G14+CW14-CU14</f>
        <v/>
      </c>
      <c r="CZ14" s="277">
        <f>$G14+CX14-CV14</f>
        <v/>
      </c>
    </row>
    <row r="15" ht="17.25" customHeight="1" s="480">
      <c r="A15" s="28" t="inlineStr">
        <is>
          <t>ABC12</t>
        </is>
      </c>
      <c r="B15" s="379" t="n"/>
      <c r="C15" s="27" t="n"/>
      <c r="D15" s="28">
        <f>_xlfn.XLOOKUP(A15,'ABC-XYZ분석 (2)'!C:C,'ABC-XYZ분석 (2)'!I:I)</f>
        <v/>
      </c>
      <c r="E15" s="28">
        <f>_xlfn.XLOOKUP(A15,'ABC-XYZ분석 (2)'!C:C,'ABC-XYZ분석 (2)'!AC:AC)</f>
        <v/>
      </c>
      <c r="F15" s="3">
        <f>_xlfn.XLOOKUP(A15,'ABC-XYZ분석 (2)'!C:C,'ABC-XYZ분석 (2)'!AG:AG)</f>
        <v/>
      </c>
      <c r="G15" s="14">
        <f>SUMIF(재고!C:C,PSI_메인!A15,재고!I:I)</f>
        <v/>
      </c>
      <c r="H15" s="277" t="n">
        <v>3641</v>
      </c>
      <c r="I15" s="278" t="n">
        <v>0</v>
      </c>
      <c r="J15" s="278" t="n">
        <v>0</v>
      </c>
      <c r="K15" s="279" t="n">
        <v>2000</v>
      </c>
      <c r="L15" s="11" t="n">
        <v>0</v>
      </c>
      <c r="M15" s="9">
        <f>SUMIFS(입항스케줄!J:J,입항스케줄!C:C,PSI_메인!A15,입항스케줄!U:U,"2601")</f>
        <v/>
      </c>
      <c r="N15" s="11">
        <f>SUMIFS(입항스케줄!J:J,입항스케줄!C:C,PSI_메인!A15,입항스케줄!V:V,"2601")</f>
        <v/>
      </c>
      <c r="O15" s="280">
        <f>$G15+M15-K15</f>
        <v/>
      </c>
      <c r="P15" s="277">
        <f>$G15+N15-L15</f>
        <v/>
      </c>
      <c r="Q15" s="278" t="n">
        <v>0</v>
      </c>
      <c r="R15" s="278" t="n">
        <v>0</v>
      </c>
      <c r="S15" s="10" t="n">
        <v>2000</v>
      </c>
      <c r="T15" s="11" t="n">
        <v>0</v>
      </c>
      <c r="U15" s="9">
        <f>SUMIFS(입항스케줄!J:J,입항스케줄!C:C,PSI_메인!A15,입항스케줄!U:U,"2602")</f>
        <v/>
      </c>
      <c r="V15" s="11">
        <f>SUMIFS(입항스케줄!J:J,입항스케줄!C:C,PSI_메인!A15,입항스케줄!V:V,"2602")</f>
        <v/>
      </c>
      <c r="W15" s="280">
        <f>$G15+U15-S15</f>
        <v/>
      </c>
      <c r="X15" s="277">
        <f>$G15+V15-T15</f>
        <v/>
      </c>
      <c r="Y15" s="278" t="n">
        <v>0</v>
      </c>
      <c r="Z15" s="278" t="n">
        <v>0</v>
      </c>
      <c r="AA15" s="279">
        <f>ROUND((Y15+Z15)/2,0)</f>
        <v/>
      </c>
      <c r="AB15" s="11" t="n">
        <v>0</v>
      </c>
      <c r="AC15" s="9">
        <f>SUMIFS(입항스케줄!J:J,입항스케줄!C:C,PSI_메인!A15,입항스케줄!U:U,"2603")</f>
        <v/>
      </c>
      <c r="AD15" s="11">
        <f>SUMIFS(입항스케줄!J:J,입항스케줄!C:C,PSI_메인!A15,입항스케줄!V:V,"2603")</f>
        <v/>
      </c>
      <c r="AE15" s="280">
        <f>$G15+AC15-AA15</f>
        <v/>
      </c>
      <c r="AF15" s="277">
        <f>$G15+AD15-AB15</f>
        <v/>
      </c>
      <c r="AG15" s="278" t="n">
        <v>0</v>
      </c>
      <c r="AH15" s="278" t="n">
        <v>0</v>
      </c>
      <c r="AI15" s="279">
        <f>ROUND((AG15+AH15)/2,0)</f>
        <v/>
      </c>
      <c r="AJ15" s="11" t="n">
        <v>0</v>
      </c>
      <c r="AK15" s="9">
        <f>SUMIFS(입항스케줄!J:J,입항스케줄!C:C,PSI_메인!A15,입항스케줄!U:U,"2604")</f>
        <v/>
      </c>
      <c r="AL15" s="11">
        <f>SUMIFS(입항스케줄!J:J,입항스케줄!C:C,PSI_메인!A15,입항스케줄!V:V,"2604")</f>
        <v/>
      </c>
      <c r="AM15" s="280">
        <f>$G15+AK15-AI15</f>
        <v/>
      </c>
      <c r="AN15" s="277">
        <f>$G15+AL15-AJ15</f>
        <v/>
      </c>
      <c r="AO15" s="278" t="n">
        <v>0</v>
      </c>
      <c r="AP15" s="278" t="n">
        <v>0</v>
      </c>
      <c r="AQ15" s="279">
        <f>ROUND((AO15+AP15)/2,0)</f>
        <v/>
      </c>
      <c r="AR15" s="11" t="n">
        <v>0</v>
      </c>
      <c r="AS15" s="9" t="n"/>
      <c r="AT15" s="277" t="n"/>
      <c r="AU15" s="280">
        <f>$G15+AS15-AQ15</f>
        <v/>
      </c>
      <c r="AV15" s="277">
        <f>$G15+AT15-AR15</f>
        <v/>
      </c>
      <c r="AW15" s="278" t="n">
        <v>0</v>
      </c>
      <c r="AX15" s="278" t="n">
        <v>0</v>
      </c>
      <c r="AY15" s="279">
        <f>ROUND((AW15+AX15)/2,0)</f>
        <v/>
      </c>
      <c r="AZ15" s="11" t="n">
        <v>0</v>
      </c>
      <c r="BA15" s="9" t="n"/>
      <c r="BB15" s="11" t="n"/>
      <c r="BC15" s="280">
        <f>$G15+BA15-AY15</f>
        <v/>
      </c>
      <c r="BD15" s="277">
        <f>$G15+BB15-AZ15</f>
        <v/>
      </c>
      <c r="BE15" s="278" t="n">
        <v>0</v>
      </c>
      <c r="BF15" s="278" t="n">
        <v>0</v>
      </c>
      <c r="BG15" s="279">
        <f>ROUND((BE15+BF15)/2,0)</f>
        <v/>
      </c>
      <c r="BH15" s="11" t="n">
        <v>0</v>
      </c>
      <c r="BI15" s="278" t="n"/>
      <c r="BJ15" s="11" t="n"/>
      <c r="BK15" s="280">
        <f>$G15+BI15-BG15</f>
        <v/>
      </c>
      <c r="BL15" s="277">
        <f>$G15+BJ15-BH15</f>
        <v/>
      </c>
      <c r="BM15" s="278" t="n">
        <v>0</v>
      </c>
      <c r="BN15" s="278" t="n">
        <v>0</v>
      </c>
      <c r="BO15" s="279">
        <f>ROUND((BM15+BN15)/2,0)</f>
        <v/>
      </c>
      <c r="BP15" s="11" t="n">
        <v>0</v>
      </c>
      <c r="BQ15" s="278" t="n"/>
      <c r="BR15" s="11" t="n"/>
      <c r="BS15" s="280">
        <f>$G15+BQ15-BO15</f>
        <v/>
      </c>
      <c r="BT15" s="277">
        <f>$G15+BR15-BP15</f>
        <v/>
      </c>
      <c r="BU15" s="278" t="n">
        <v>0</v>
      </c>
      <c r="BV15" s="278" t="n">
        <v>0</v>
      </c>
      <c r="BW15" s="279">
        <f>ROUND((BU15+BV15)/2,0)</f>
        <v/>
      </c>
      <c r="BX15" s="11" t="n">
        <v>0</v>
      </c>
      <c r="BY15" s="278" t="n"/>
      <c r="BZ15" s="11" t="n"/>
      <c r="CA15" s="280">
        <f>$G15+BY15-BW15</f>
        <v/>
      </c>
      <c r="CB15" s="277">
        <f>$G15+BZ15-BX15</f>
        <v/>
      </c>
      <c r="CC15" s="278" t="n">
        <v>0</v>
      </c>
      <c r="CD15" s="278" t="n">
        <v>0</v>
      </c>
      <c r="CE15" s="279">
        <f>ROUND((CC15+CD15)/2,0)</f>
        <v/>
      </c>
      <c r="CF15" s="11" t="n">
        <v>0</v>
      </c>
      <c r="CG15" s="278" t="n"/>
      <c r="CH15" s="11" t="n"/>
      <c r="CI15" s="280">
        <f>$G15+CG15-CE15</f>
        <v/>
      </c>
      <c r="CJ15" s="277">
        <f>$G15+CH15-CF15</f>
        <v/>
      </c>
      <c r="CK15" s="278" t="n">
        <v>0</v>
      </c>
      <c r="CL15" s="278" t="n">
        <v>0</v>
      </c>
      <c r="CM15" s="279">
        <f>ROUND((CK15+CL15)/2,0)</f>
        <v/>
      </c>
      <c r="CN15" s="11" t="n">
        <v>0</v>
      </c>
      <c r="CO15" s="278" t="n"/>
      <c r="CP15" s="277" t="n"/>
      <c r="CQ15" s="280">
        <f>$G15+CO15-CM15</f>
        <v/>
      </c>
      <c r="CR15" s="277">
        <f>$G15+CP15-CN15</f>
        <v/>
      </c>
      <c r="CS15" s="278" t="n">
        <v>0</v>
      </c>
      <c r="CT15" s="278" t="n">
        <v>0</v>
      </c>
      <c r="CU15" s="279">
        <f>ROUND((CS15+CT15)/2,0)</f>
        <v/>
      </c>
      <c r="CV15" s="11" t="n">
        <v>0</v>
      </c>
      <c r="CW15" s="278" t="n"/>
      <c r="CX15" s="277" t="n"/>
      <c r="CY15" s="280">
        <f>$G15+CW15-CU15</f>
        <v/>
      </c>
      <c r="CZ15" s="277">
        <f>$G15+CX15-CV15</f>
        <v/>
      </c>
    </row>
    <row r="16" ht="17.25" customHeight="1" s="480">
      <c r="A16" s="28" t="inlineStr">
        <is>
          <t>ABC13</t>
        </is>
      </c>
      <c r="B16" s="379" t="n"/>
      <c r="C16" s="27" t="n"/>
      <c r="D16" s="28">
        <f>_xlfn.XLOOKUP(A16,'ABC-XYZ분석 (2)'!C:C,'ABC-XYZ분석 (2)'!I:I)</f>
        <v/>
      </c>
      <c r="E16" s="28">
        <f>_xlfn.XLOOKUP(A16,'ABC-XYZ분석 (2)'!C:C,'ABC-XYZ분석 (2)'!AC:AC)</f>
        <v/>
      </c>
      <c r="F16" s="3">
        <f>_xlfn.XLOOKUP(A16,'ABC-XYZ분석 (2)'!C:C,'ABC-XYZ분석 (2)'!AG:AG)</f>
        <v/>
      </c>
      <c r="G16" s="14">
        <f>SUMIF(재고!C:C,PSI_메인!A16,재고!I:I)</f>
        <v/>
      </c>
      <c r="H16" s="277" t="n">
        <v>837</v>
      </c>
      <c r="I16" s="278" t="n">
        <v>0</v>
      </c>
      <c r="J16" s="278" t="n">
        <v>0</v>
      </c>
      <c r="K16" s="279" t="n">
        <v>487.5</v>
      </c>
      <c r="L16" s="11" t="n">
        <v>0</v>
      </c>
      <c r="M16" s="9">
        <f>SUMIFS(입항스케줄!J:J,입항스케줄!C:C,PSI_메인!A16,입항스케줄!U:U,"2601")</f>
        <v/>
      </c>
      <c r="N16" s="11">
        <f>SUMIFS(입항스케줄!J:J,입항스케줄!C:C,PSI_메인!A16,입항스케줄!V:V,"2601")</f>
        <v/>
      </c>
      <c r="O16" s="280">
        <f>$G16+M16-K16</f>
        <v/>
      </c>
      <c r="P16" s="277">
        <f>$G16+N16-L16</f>
        <v/>
      </c>
      <c r="Q16" s="278" t="n">
        <v>0</v>
      </c>
      <c r="R16" s="278" t="n">
        <v>0</v>
      </c>
      <c r="S16" s="10" t="n">
        <v>300</v>
      </c>
      <c r="T16" s="11" t="n">
        <v>0</v>
      </c>
      <c r="U16" s="9">
        <f>SUMIFS(입항스케줄!J:J,입항스케줄!C:C,PSI_메인!A16,입항스케줄!U:U,"2602")</f>
        <v/>
      </c>
      <c r="V16" s="11">
        <f>SUMIFS(입항스케줄!J:J,입항스케줄!C:C,PSI_메인!A16,입항스케줄!V:V,"2602")</f>
        <v/>
      </c>
      <c r="W16" s="280">
        <f>$G16+U16-S16</f>
        <v/>
      </c>
      <c r="X16" s="277">
        <f>$G16+V16-T16</f>
        <v/>
      </c>
      <c r="Y16" s="278" t="n">
        <v>0</v>
      </c>
      <c r="Z16" s="278" t="n">
        <v>0</v>
      </c>
      <c r="AA16" s="279">
        <f>ROUND((Y16+Z16)/2,0)</f>
        <v/>
      </c>
      <c r="AB16" s="11" t="n">
        <v>0</v>
      </c>
      <c r="AC16" s="9">
        <f>SUMIFS(입항스케줄!J:J,입항스케줄!C:C,PSI_메인!A16,입항스케줄!U:U,"2603")</f>
        <v/>
      </c>
      <c r="AD16" s="11">
        <f>SUMIFS(입항스케줄!J:J,입항스케줄!C:C,PSI_메인!A16,입항스케줄!V:V,"2603")</f>
        <v/>
      </c>
      <c r="AE16" s="280">
        <f>$G16+AC16-AA16</f>
        <v/>
      </c>
      <c r="AF16" s="277">
        <f>$G16+AD16-AB16</f>
        <v/>
      </c>
      <c r="AG16" s="278" t="n">
        <v>0</v>
      </c>
      <c r="AH16" s="278" t="n">
        <v>0</v>
      </c>
      <c r="AI16" s="279">
        <f>ROUND((AG16+AH16)/2,0)</f>
        <v/>
      </c>
      <c r="AJ16" s="11" t="n">
        <v>0</v>
      </c>
      <c r="AK16" s="9">
        <f>SUMIFS(입항스케줄!J:J,입항스케줄!C:C,PSI_메인!A16,입항스케줄!U:U,"2604")</f>
        <v/>
      </c>
      <c r="AL16" s="11">
        <f>SUMIFS(입항스케줄!J:J,입항스케줄!C:C,PSI_메인!A16,입항스케줄!V:V,"2604")</f>
        <v/>
      </c>
      <c r="AM16" s="280">
        <f>$G16+AK16-AI16</f>
        <v/>
      </c>
      <c r="AN16" s="277">
        <f>$G16+AL16-AJ16</f>
        <v/>
      </c>
      <c r="AO16" s="278" t="n">
        <v>0</v>
      </c>
      <c r="AP16" s="278" t="n">
        <v>0</v>
      </c>
      <c r="AQ16" s="279">
        <f>ROUND((AO16+AP16)/2,0)</f>
        <v/>
      </c>
      <c r="AR16" s="11" t="n">
        <v>0</v>
      </c>
      <c r="AS16" s="9" t="n"/>
      <c r="AT16" s="277" t="n"/>
      <c r="AU16" s="280">
        <f>$G16+AS16-AQ16</f>
        <v/>
      </c>
      <c r="AV16" s="277">
        <f>$G16+AT16-AR16</f>
        <v/>
      </c>
      <c r="AW16" s="278" t="n">
        <v>0</v>
      </c>
      <c r="AX16" s="278" t="n">
        <v>0</v>
      </c>
      <c r="AY16" s="279">
        <f>ROUND((AW16+AX16)/2,0)</f>
        <v/>
      </c>
      <c r="AZ16" s="11" t="n">
        <v>0</v>
      </c>
      <c r="BA16" s="9" t="n"/>
      <c r="BB16" s="11" t="n"/>
      <c r="BC16" s="280">
        <f>$G16+BA16-AY16</f>
        <v/>
      </c>
      <c r="BD16" s="277">
        <f>$G16+BB16-AZ16</f>
        <v/>
      </c>
      <c r="BE16" s="278" t="n">
        <v>0</v>
      </c>
      <c r="BF16" s="278" t="n">
        <v>0</v>
      </c>
      <c r="BG16" s="279">
        <f>ROUND((BE16+BF16)/2,0)</f>
        <v/>
      </c>
      <c r="BH16" s="11" t="n">
        <v>0</v>
      </c>
      <c r="BI16" s="278" t="n"/>
      <c r="BJ16" s="11" t="n"/>
      <c r="BK16" s="280">
        <f>$G16+BI16-BG16</f>
        <v/>
      </c>
      <c r="BL16" s="277">
        <f>$G16+BJ16-BH16</f>
        <v/>
      </c>
      <c r="BM16" s="278" t="n">
        <v>0</v>
      </c>
      <c r="BN16" s="278" t="n">
        <v>0</v>
      </c>
      <c r="BO16" s="279">
        <f>ROUND((BM16+BN16)/2,0)</f>
        <v/>
      </c>
      <c r="BP16" s="11" t="n">
        <v>0</v>
      </c>
      <c r="BQ16" s="278" t="n"/>
      <c r="BR16" s="11" t="n"/>
      <c r="BS16" s="280">
        <f>$G16+BQ16-BO16</f>
        <v/>
      </c>
      <c r="BT16" s="277">
        <f>$G16+BR16-BP16</f>
        <v/>
      </c>
      <c r="BU16" s="278" t="n">
        <v>0</v>
      </c>
      <c r="BV16" s="278" t="n">
        <v>0</v>
      </c>
      <c r="BW16" s="279">
        <f>ROUND((BU16+BV16)/2,0)</f>
        <v/>
      </c>
      <c r="BX16" s="11" t="n">
        <v>0</v>
      </c>
      <c r="BY16" s="278" t="n"/>
      <c r="BZ16" s="11" t="n"/>
      <c r="CA16" s="280">
        <f>$G16+BY16-BW16</f>
        <v/>
      </c>
      <c r="CB16" s="277">
        <f>$G16+BZ16-BX16</f>
        <v/>
      </c>
      <c r="CC16" s="278" t="n">
        <v>0</v>
      </c>
      <c r="CD16" s="278" t="n">
        <v>0</v>
      </c>
      <c r="CE16" s="279">
        <f>ROUND((CC16+CD16)/2,0)</f>
        <v/>
      </c>
      <c r="CF16" s="11" t="n">
        <v>0</v>
      </c>
      <c r="CG16" s="278" t="n"/>
      <c r="CH16" s="11" t="n"/>
      <c r="CI16" s="280">
        <f>$G16+CG16-CE16</f>
        <v/>
      </c>
      <c r="CJ16" s="277">
        <f>$G16+CH16-CF16</f>
        <v/>
      </c>
      <c r="CK16" s="278" t="n">
        <v>0</v>
      </c>
      <c r="CL16" s="278" t="n">
        <v>0</v>
      </c>
      <c r="CM16" s="279">
        <f>ROUND((CK16+CL16)/2,0)</f>
        <v/>
      </c>
      <c r="CN16" s="11" t="n">
        <v>0</v>
      </c>
      <c r="CO16" s="278" t="n"/>
      <c r="CP16" s="277" t="n"/>
      <c r="CQ16" s="280">
        <f>$G16+CO16-CM16</f>
        <v/>
      </c>
      <c r="CR16" s="277">
        <f>$G16+CP16-CN16</f>
        <v/>
      </c>
      <c r="CS16" s="278" t="n">
        <v>0</v>
      </c>
      <c r="CT16" s="278" t="n">
        <v>0</v>
      </c>
      <c r="CU16" s="279">
        <f>ROUND((CS16+CT16)/2,0)</f>
        <v/>
      </c>
      <c r="CV16" s="11" t="n">
        <v>0</v>
      </c>
      <c r="CW16" s="278" t="n"/>
      <c r="CX16" s="277" t="n"/>
      <c r="CY16" s="280">
        <f>$G16+CW16-CU16</f>
        <v/>
      </c>
      <c r="CZ16" s="277">
        <f>$G16+CX16-CV16</f>
        <v/>
      </c>
    </row>
    <row r="17" ht="17.25" customHeight="1" s="480">
      <c r="A17" s="28" t="inlineStr">
        <is>
          <t>ABC14</t>
        </is>
      </c>
      <c r="B17" s="379" t="n"/>
      <c r="C17" s="27" t="n"/>
      <c r="D17" s="28">
        <f>_xlfn.XLOOKUP(A17,'ABC-XYZ분석 (2)'!C:C,'ABC-XYZ분석 (2)'!I:I)</f>
        <v/>
      </c>
      <c r="E17" s="28">
        <f>_xlfn.XLOOKUP(A17,'ABC-XYZ분석 (2)'!C:C,'ABC-XYZ분석 (2)'!AC:AC)</f>
        <v/>
      </c>
      <c r="F17" s="3">
        <f>_xlfn.XLOOKUP(A17,'ABC-XYZ분석 (2)'!C:C,'ABC-XYZ분석 (2)'!AG:AG)</f>
        <v/>
      </c>
      <c r="G17" s="14">
        <f>SUMIF(재고!C:C,PSI_메인!A17,재고!I:I)</f>
        <v/>
      </c>
      <c r="H17" s="277" t="n">
        <v>9201</v>
      </c>
      <c r="I17" s="278" t="n">
        <v>0</v>
      </c>
      <c r="J17" s="278" t="n">
        <v>0</v>
      </c>
      <c r="K17" s="279" t="n">
        <v>0</v>
      </c>
      <c r="L17" s="11" t="n">
        <v>0</v>
      </c>
      <c r="M17" s="9">
        <f>SUMIFS(입항스케줄!J:J,입항스케줄!C:C,PSI_메인!A17,입항스케줄!U:U,"2601")</f>
        <v/>
      </c>
      <c r="N17" s="11">
        <f>SUMIFS(입항스케줄!J:J,입항스케줄!C:C,PSI_메인!A17,입항스케줄!V:V,"2601")</f>
        <v/>
      </c>
      <c r="O17" s="280">
        <f>$G17+M17-K17</f>
        <v/>
      </c>
      <c r="P17" s="277">
        <f>$G17+N17-L17</f>
        <v/>
      </c>
      <c r="Q17" s="278" t="n">
        <v>0</v>
      </c>
      <c r="R17" s="278" t="n">
        <v>0</v>
      </c>
      <c r="S17" s="10" t="n">
        <v>0</v>
      </c>
      <c r="T17" s="11" t="n">
        <v>0</v>
      </c>
      <c r="U17" s="9">
        <f>SUMIFS(입항스케줄!J:J,입항스케줄!C:C,PSI_메인!A17,입항스케줄!U:U,"2602")</f>
        <v/>
      </c>
      <c r="V17" s="11">
        <f>SUMIFS(입항스케줄!J:J,입항스케줄!C:C,PSI_메인!A17,입항스케줄!V:V,"2602")</f>
        <v/>
      </c>
      <c r="W17" s="280">
        <f>$G17+U17-S17</f>
        <v/>
      </c>
      <c r="X17" s="277">
        <f>$G17+V17-T17</f>
        <v/>
      </c>
      <c r="Y17" s="278" t="n">
        <v>0</v>
      </c>
      <c r="Z17" s="278" t="n">
        <v>0</v>
      </c>
      <c r="AA17" s="279">
        <f>ROUND((Y17+Z17)/2,0)</f>
        <v/>
      </c>
      <c r="AB17" s="11" t="n">
        <v>0</v>
      </c>
      <c r="AC17" s="9">
        <f>SUMIFS(입항스케줄!J:J,입항스케줄!C:C,PSI_메인!A17,입항스케줄!U:U,"2603")</f>
        <v/>
      </c>
      <c r="AD17" s="11">
        <f>SUMIFS(입항스케줄!J:J,입항스케줄!C:C,PSI_메인!A17,입항스케줄!V:V,"2603")</f>
        <v/>
      </c>
      <c r="AE17" s="280">
        <f>$G17+AC17-AA17</f>
        <v/>
      </c>
      <c r="AF17" s="277">
        <f>$G17+AD17-AB17</f>
        <v/>
      </c>
      <c r="AG17" s="278" t="n">
        <v>0</v>
      </c>
      <c r="AH17" s="278" t="n">
        <v>0</v>
      </c>
      <c r="AI17" s="279">
        <f>ROUND((AG17+AH17)/2,0)</f>
        <v/>
      </c>
      <c r="AJ17" s="11" t="n">
        <v>0</v>
      </c>
      <c r="AK17" s="9">
        <f>SUMIFS(입항스케줄!J:J,입항스케줄!C:C,PSI_메인!A17,입항스케줄!U:U,"2604")</f>
        <v/>
      </c>
      <c r="AL17" s="11">
        <f>SUMIFS(입항스케줄!J:J,입항스케줄!C:C,PSI_메인!A17,입항스케줄!V:V,"2604")</f>
        <v/>
      </c>
      <c r="AM17" s="280">
        <f>$G17+AK17-AI17</f>
        <v/>
      </c>
      <c r="AN17" s="277">
        <f>$G17+AL17-AJ17</f>
        <v/>
      </c>
      <c r="AO17" s="278" t="n">
        <v>0</v>
      </c>
      <c r="AP17" s="278" t="n">
        <v>0</v>
      </c>
      <c r="AQ17" s="279">
        <f>ROUND((AO17+AP17)/2,0)</f>
        <v/>
      </c>
      <c r="AR17" s="11" t="n">
        <v>0</v>
      </c>
      <c r="AS17" s="9" t="n"/>
      <c r="AT17" s="277" t="n"/>
      <c r="AU17" s="280">
        <f>$G17+AS17-AQ17</f>
        <v/>
      </c>
      <c r="AV17" s="277">
        <f>$G17+AT17-AR17</f>
        <v/>
      </c>
      <c r="AW17" s="278" t="n">
        <v>0</v>
      </c>
      <c r="AX17" s="278" t="n">
        <v>0</v>
      </c>
      <c r="AY17" s="279">
        <f>ROUND((AW17+AX17)/2,0)</f>
        <v/>
      </c>
      <c r="AZ17" s="11" t="n">
        <v>0</v>
      </c>
      <c r="BA17" s="9" t="n"/>
      <c r="BB17" s="11" t="n"/>
      <c r="BC17" s="280">
        <f>$G17+BA17-AY17</f>
        <v/>
      </c>
      <c r="BD17" s="277">
        <f>$G17+BB17-AZ17</f>
        <v/>
      </c>
      <c r="BE17" s="278" t="n">
        <v>0</v>
      </c>
      <c r="BF17" s="278" t="n">
        <v>0</v>
      </c>
      <c r="BG17" s="279">
        <f>ROUND((BE17+BF17)/2,0)</f>
        <v/>
      </c>
      <c r="BH17" s="11" t="n">
        <v>0</v>
      </c>
      <c r="BI17" s="278" t="n"/>
      <c r="BJ17" s="11" t="n"/>
      <c r="BK17" s="280">
        <f>$G17+BI17-BG17</f>
        <v/>
      </c>
      <c r="BL17" s="277">
        <f>$G17+BJ17-BH17</f>
        <v/>
      </c>
      <c r="BM17" s="278" t="n">
        <v>0</v>
      </c>
      <c r="BN17" s="278" t="n">
        <v>0</v>
      </c>
      <c r="BO17" s="279">
        <f>ROUND((BM17+BN17)/2,0)</f>
        <v/>
      </c>
      <c r="BP17" s="11" t="n">
        <v>0</v>
      </c>
      <c r="BQ17" s="278" t="n"/>
      <c r="BR17" s="11" t="n"/>
      <c r="BS17" s="280">
        <f>$G17+BQ17-BO17</f>
        <v/>
      </c>
      <c r="BT17" s="277">
        <f>$G17+BR17-BP17</f>
        <v/>
      </c>
      <c r="BU17" s="278" t="n">
        <v>0</v>
      </c>
      <c r="BV17" s="278" t="n">
        <v>0</v>
      </c>
      <c r="BW17" s="279">
        <f>ROUND((BU17+BV17)/2,0)</f>
        <v/>
      </c>
      <c r="BX17" s="11" t="n">
        <v>0</v>
      </c>
      <c r="BY17" s="278" t="n"/>
      <c r="BZ17" s="11" t="n"/>
      <c r="CA17" s="280">
        <f>$G17+BY17-BW17</f>
        <v/>
      </c>
      <c r="CB17" s="277">
        <f>$G17+BZ17-BX17</f>
        <v/>
      </c>
      <c r="CC17" s="278" t="n">
        <v>0</v>
      </c>
      <c r="CD17" s="278" t="n">
        <v>0</v>
      </c>
      <c r="CE17" s="279">
        <f>ROUND((CC17+CD17)/2,0)</f>
        <v/>
      </c>
      <c r="CF17" s="11" t="n">
        <v>0</v>
      </c>
      <c r="CG17" s="278" t="n"/>
      <c r="CH17" s="11" t="n"/>
      <c r="CI17" s="280">
        <f>$G17+CG17-CE17</f>
        <v/>
      </c>
      <c r="CJ17" s="277">
        <f>$G17+CH17-CF17</f>
        <v/>
      </c>
      <c r="CK17" s="278" t="n">
        <v>0</v>
      </c>
      <c r="CL17" s="278" t="n">
        <v>0</v>
      </c>
      <c r="CM17" s="279">
        <f>ROUND((CK17+CL17)/2,0)</f>
        <v/>
      </c>
      <c r="CN17" s="11" t="n">
        <v>0</v>
      </c>
      <c r="CO17" s="278" t="n"/>
      <c r="CP17" s="277" t="n"/>
      <c r="CQ17" s="280">
        <f>$G17+CO17-CM17</f>
        <v/>
      </c>
      <c r="CR17" s="277">
        <f>$G17+CP17-CN17</f>
        <v/>
      </c>
      <c r="CS17" s="278" t="n">
        <v>0</v>
      </c>
      <c r="CT17" s="278" t="n">
        <v>0</v>
      </c>
      <c r="CU17" s="279">
        <f>ROUND((CS17+CT17)/2,0)</f>
        <v/>
      </c>
      <c r="CV17" s="11" t="n">
        <v>0</v>
      </c>
      <c r="CW17" s="278" t="n"/>
      <c r="CX17" s="277" t="n"/>
      <c r="CY17" s="280">
        <f>$G17+CW17-CU17</f>
        <v/>
      </c>
      <c r="CZ17" s="277">
        <f>$G17+CX17-CV17</f>
        <v/>
      </c>
    </row>
    <row r="18" ht="17.25" customHeight="1" s="480">
      <c r="A18" s="28" t="inlineStr">
        <is>
          <t>ABC15</t>
        </is>
      </c>
      <c r="B18" s="379" t="n"/>
      <c r="C18" s="27" t="n"/>
      <c r="D18" s="28">
        <f>_xlfn.XLOOKUP(A18,'ABC-XYZ분석 (2)'!C:C,'ABC-XYZ분석 (2)'!I:I)</f>
        <v/>
      </c>
      <c r="E18" s="28">
        <f>_xlfn.XLOOKUP(A18,'ABC-XYZ분석 (2)'!C:C,'ABC-XYZ분석 (2)'!AC:AC)</f>
        <v/>
      </c>
      <c r="F18" s="3">
        <f>_xlfn.XLOOKUP(A18,'ABC-XYZ분석 (2)'!C:C,'ABC-XYZ분석 (2)'!AG:AG)</f>
        <v/>
      </c>
      <c r="G18" s="14">
        <f>SUMIF(재고!C:C,PSI_메인!A18,재고!I:I)</f>
        <v/>
      </c>
      <c r="H18" s="277" t="n">
        <v>556</v>
      </c>
      <c r="I18" s="278" t="n">
        <v>0</v>
      </c>
      <c r="J18" s="278" t="n">
        <v>0</v>
      </c>
      <c r="K18" s="279" t="n">
        <v>300</v>
      </c>
      <c r="L18" s="11" t="n">
        <v>0</v>
      </c>
      <c r="M18" s="9">
        <f>SUMIFS(입항스케줄!J:J,입항스케줄!C:C,PSI_메인!A18,입항스케줄!U:U,"2601")</f>
        <v/>
      </c>
      <c r="N18" s="11">
        <f>SUMIFS(입항스케줄!J:J,입항스케줄!C:C,PSI_메인!A18,입항스케줄!V:V,"2601")</f>
        <v/>
      </c>
      <c r="O18" s="280">
        <f>$G18+M18-K18</f>
        <v/>
      </c>
      <c r="P18" s="277">
        <f>$G18+N18-L18</f>
        <v/>
      </c>
      <c r="Q18" s="278" t="n">
        <v>0</v>
      </c>
      <c r="R18" s="278" t="n">
        <v>0</v>
      </c>
      <c r="S18" s="10" t="n">
        <v>300</v>
      </c>
      <c r="T18" s="11" t="n">
        <v>0</v>
      </c>
      <c r="U18" s="9">
        <f>SUMIFS(입항스케줄!J:J,입항스케줄!C:C,PSI_메인!A18,입항스케줄!U:U,"2602")</f>
        <v/>
      </c>
      <c r="V18" s="11">
        <f>SUMIFS(입항스케줄!J:J,입항스케줄!C:C,PSI_메인!A18,입항스케줄!V:V,"2602")</f>
        <v/>
      </c>
      <c r="W18" s="280">
        <f>$G18+U18-S18</f>
        <v/>
      </c>
      <c r="X18" s="277">
        <f>$G18+V18-T18</f>
        <v/>
      </c>
      <c r="Y18" s="278" t="n">
        <v>0</v>
      </c>
      <c r="Z18" s="278" t="n">
        <v>0</v>
      </c>
      <c r="AA18" s="279">
        <f>ROUND((Y18+Z18)/2,0)</f>
        <v/>
      </c>
      <c r="AB18" s="11" t="n">
        <v>0</v>
      </c>
      <c r="AC18" s="9">
        <f>SUMIFS(입항스케줄!J:J,입항스케줄!C:C,PSI_메인!A18,입항스케줄!U:U,"2603")</f>
        <v/>
      </c>
      <c r="AD18" s="11">
        <f>SUMIFS(입항스케줄!J:J,입항스케줄!C:C,PSI_메인!A18,입항스케줄!V:V,"2603")</f>
        <v/>
      </c>
      <c r="AE18" s="280">
        <f>$G18+AC18-AA18</f>
        <v/>
      </c>
      <c r="AF18" s="277">
        <f>$G18+AD18-AB18</f>
        <v/>
      </c>
      <c r="AG18" s="278" t="n">
        <v>0</v>
      </c>
      <c r="AH18" s="278" t="n">
        <v>0</v>
      </c>
      <c r="AI18" s="279">
        <f>ROUND((AG18+AH18)/2,0)</f>
        <v/>
      </c>
      <c r="AJ18" s="11" t="n">
        <v>0</v>
      </c>
      <c r="AK18" s="9">
        <f>SUMIFS(입항스케줄!J:J,입항스케줄!C:C,PSI_메인!A18,입항스케줄!U:U,"2604")</f>
        <v/>
      </c>
      <c r="AL18" s="11">
        <f>SUMIFS(입항스케줄!J:J,입항스케줄!C:C,PSI_메인!A18,입항스케줄!V:V,"2604")</f>
        <v/>
      </c>
      <c r="AM18" s="280">
        <f>$G18+AK18-AI18</f>
        <v/>
      </c>
      <c r="AN18" s="277">
        <f>$G18+AL18-AJ18</f>
        <v/>
      </c>
      <c r="AO18" s="278" t="n">
        <v>0</v>
      </c>
      <c r="AP18" s="278" t="n">
        <v>0</v>
      </c>
      <c r="AQ18" s="279">
        <f>ROUND((AO18+AP18)/2,0)</f>
        <v/>
      </c>
      <c r="AR18" s="11" t="n">
        <v>0</v>
      </c>
      <c r="AS18" s="9" t="n"/>
      <c r="AT18" s="277" t="n"/>
      <c r="AU18" s="280">
        <f>$G18+AS18-AQ18</f>
        <v/>
      </c>
      <c r="AV18" s="277">
        <f>$G18+AT18-AR18</f>
        <v/>
      </c>
      <c r="AW18" s="278" t="n">
        <v>0</v>
      </c>
      <c r="AX18" s="278" t="n">
        <v>0</v>
      </c>
      <c r="AY18" s="279">
        <f>ROUND((AW18+AX18)/2,0)</f>
        <v/>
      </c>
      <c r="AZ18" s="11" t="n">
        <v>0</v>
      </c>
      <c r="BA18" s="9" t="n"/>
      <c r="BB18" s="11" t="n"/>
      <c r="BC18" s="280">
        <f>$G18+BA18-AY18</f>
        <v/>
      </c>
      <c r="BD18" s="277">
        <f>$G18+BB18-AZ18</f>
        <v/>
      </c>
      <c r="BE18" s="278" t="n">
        <v>0</v>
      </c>
      <c r="BF18" s="278" t="n">
        <v>0</v>
      </c>
      <c r="BG18" s="279">
        <f>ROUND((BE18+BF18)/2,0)</f>
        <v/>
      </c>
      <c r="BH18" s="11" t="n">
        <v>0</v>
      </c>
      <c r="BI18" s="278" t="n"/>
      <c r="BJ18" s="11" t="n"/>
      <c r="BK18" s="280">
        <f>$G18+BI18-BG18</f>
        <v/>
      </c>
      <c r="BL18" s="277">
        <f>$G18+BJ18-BH18</f>
        <v/>
      </c>
      <c r="BM18" s="278" t="n">
        <v>0</v>
      </c>
      <c r="BN18" s="278" t="n">
        <v>0</v>
      </c>
      <c r="BO18" s="279">
        <f>ROUND((BM18+BN18)/2,0)</f>
        <v/>
      </c>
      <c r="BP18" s="11" t="n">
        <v>0</v>
      </c>
      <c r="BQ18" s="278" t="n"/>
      <c r="BR18" s="11" t="n"/>
      <c r="BS18" s="280">
        <f>$G18+BQ18-BO18</f>
        <v/>
      </c>
      <c r="BT18" s="277">
        <f>$G18+BR18-BP18</f>
        <v/>
      </c>
      <c r="BU18" s="278" t="n">
        <v>0</v>
      </c>
      <c r="BV18" s="278" t="n">
        <v>0</v>
      </c>
      <c r="BW18" s="279">
        <f>ROUND((BU18+BV18)/2,0)</f>
        <v/>
      </c>
      <c r="BX18" s="11" t="n">
        <v>0</v>
      </c>
      <c r="BY18" s="278" t="n"/>
      <c r="BZ18" s="11" t="n"/>
      <c r="CA18" s="280">
        <f>$G18+BY18-BW18</f>
        <v/>
      </c>
      <c r="CB18" s="277">
        <f>$G18+BZ18-BX18</f>
        <v/>
      </c>
      <c r="CC18" s="278" t="n">
        <v>0</v>
      </c>
      <c r="CD18" s="278" t="n">
        <v>0</v>
      </c>
      <c r="CE18" s="279">
        <f>ROUND((CC18+CD18)/2,0)</f>
        <v/>
      </c>
      <c r="CF18" s="11" t="n">
        <v>0</v>
      </c>
      <c r="CG18" s="278" t="n"/>
      <c r="CH18" s="11" t="n"/>
      <c r="CI18" s="280">
        <f>$G18+CG18-CE18</f>
        <v/>
      </c>
      <c r="CJ18" s="277">
        <f>$G18+CH18-CF18</f>
        <v/>
      </c>
      <c r="CK18" s="278" t="n">
        <v>0</v>
      </c>
      <c r="CL18" s="278" t="n">
        <v>0</v>
      </c>
      <c r="CM18" s="279">
        <f>ROUND((CK18+CL18)/2,0)</f>
        <v/>
      </c>
      <c r="CN18" s="11" t="n">
        <v>0</v>
      </c>
      <c r="CO18" s="278" t="n"/>
      <c r="CP18" s="277" t="n"/>
      <c r="CQ18" s="280">
        <f>$G18+CO18-CM18</f>
        <v/>
      </c>
      <c r="CR18" s="277">
        <f>$G18+CP18-CN18</f>
        <v/>
      </c>
      <c r="CS18" s="278" t="n">
        <v>0</v>
      </c>
      <c r="CT18" s="278" t="n">
        <v>0</v>
      </c>
      <c r="CU18" s="279">
        <f>ROUND((CS18+CT18)/2,0)</f>
        <v/>
      </c>
      <c r="CV18" s="11" t="n">
        <v>0</v>
      </c>
      <c r="CW18" s="278" t="n"/>
      <c r="CX18" s="277" t="n"/>
      <c r="CY18" s="280">
        <f>$G18+CW18-CU18</f>
        <v/>
      </c>
      <c r="CZ18" s="277">
        <f>$G18+CX18-CV18</f>
        <v/>
      </c>
    </row>
    <row r="19" ht="17.25" customHeight="1" s="480">
      <c r="A19" s="28" t="inlineStr">
        <is>
          <t>ABC16</t>
        </is>
      </c>
      <c r="B19" s="379" t="n"/>
      <c r="C19" s="27" t="n"/>
      <c r="D19" s="28">
        <f>_xlfn.XLOOKUP(A19,'ABC-XYZ분석 (2)'!C:C,'ABC-XYZ분석 (2)'!I:I)</f>
        <v/>
      </c>
      <c r="E19" s="28">
        <f>_xlfn.XLOOKUP(A19,'ABC-XYZ분석 (2)'!C:C,'ABC-XYZ분석 (2)'!AC:AC)</f>
        <v/>
      </c>
      <c r="F19" s="3">
        <f>_xlfn.XLOOKUP(A19,'ABC-XYZ분석 (2)'!C:C,'ABC-XYZ분석 (2)'!AG:AG)</f>
        <v/>
      </c>
      <c r="G19" s="14">
        <f>SUMIF(재고!C:C,PSI_메인!A19,재고!I:I)</f>
        <v/>
      </c>
      <c r="H19" s="277" t="n">
        <v>195</v>
      </c>
      <c r="I19" s="278" t="n">
        <v>0</v>
      </c>
      <c r="J19" s="278" t="n">
        <v>0</v>
      </c>
      <c r="K19" s="279" t="n">
        <v>300</v>
      </c>
      <c r="L19" s="11" t="n">
        <v>0</v>
      </c>
      <c r="M19" s="9">
        <f>SUMIFS(입항스케줄!J:J,입항스케줄!C:C,PSI_메인!A19,입항스케줄!U:U,"2601")</f>
        <v/>
      </c>
      <c r="N19" s="11">
        <f>SUMIFS(입항스케줄!J:J,입항스케줄!C:C,PSI_메인!A19,입항스케줄!V:V,"2601")</f>
        <v/>
      </c>
      <c r="O19" s="280">
        <f>$G19+M19-K19</f>
        <v/>
      </c>
      <c r="P19" s="277">
        <f>$G19+N19-L19</f>
        <v/>
      </c>
      <c r="Q19" s="278" t="n">
        <v>0</v>
      </c>
      <c r="R19" s="278" t="n">
        <v>0</v>
      </c>
      <c r="S19" s="10" t="n">
        <v>75.59999999999999</v>
      </c>
      <c r="T19" s="11" t="n">
        <v>0</v>
      </c>
      <c r="U19" s="9">
        <f>SUMIFS(입항스케줄!J:J,입항스케줄!C:C,PSI_메인!A19,입항스케줄!U:U,"2602")</f>
        <v/>
      </c>
      <c r="V19" s="11">
        <f>SUMIFS(입항스케줄!J:J,입항스케줄!C:C,PSI_메인!A19,입항스케줄!V:V,"2602")</f>
        <v/>
      </c>
      <c r="W19" s="280">
        <f>$G19+U19-S19</f>
        <v/>
      </c>
      <c r="X19" s="277">
        <f>$G19+V19-T19</f>
        <v/>
      </c>
      <c r="Y19" s="278" t="n">
        <v>0</v>
      </c>
      <c r="Z19" s="278" t="n">
        <v>0</v>
      </c>
      <c r="AA19" s="279">
        <f>ROUND((Y19+Z19)/2,0)</f>
        <v/>
      </c>
      <c r="AB19" s="11" t="n">
        <v>0</v>
      </c>
      <c r="AC19" s="9">
        <f>SUMIFS(입항스케줄!J:J,입항스케줄!C:C,PSI_메인!A19,입항스케줄!U:U,"2603")</f>
        <v/>
      </c>
      <c r="AD19" s="11">
        <f>SUMIFS(입항스케줄!J:J,입항스케줄!C:C,PSI_메인!A19,입항스케줄!V:V,"2603")</f>
        <v/>
      </c>
      <c r="AE19" s="280">
        <f>$G19+AC19-AA19</f>
        <v/>
      </c>
      <c r="AF19" s="277">
        <f>$G19+AD19-AB19</f>
        <v/>
      </c>
      <c r="AG19" s="278" t="n">
        <v>0</v>
      </c>
      <c r="AH19" s="278" t="n">
        <v>0</v>
      </c>
      <c r="AI19" s="279">
        <f>ROUND((AG19+AH19)/2,0)</f>
        <v/>
      </c>
      <c r="AJ19" s="11" t="n">
        <v>0</v>
      </c>
      <c r="AK19" s="9">
        <f>SUMIFS(입항스케줄!J:J,입항스케줄!C:C,PSI_메인!A19,입항스케줄!U:U,"2604")</f>
        <v/>
      </c>
      <c r="AL19" s="11">
        <f>SUMIFS(입항스케줄!J:J,입항스케줄!C:C,PSI_메인!A19,입항스케줄!V:V,"2604")</f>
        <v/>
      </c>
      <c r="AM19" s="280">
        <f>$G19+AK19-AI19</f>
        <v/>
      </c>
      <c r="AN19" s="277">
        <f>$G19+AL19-AJ19</f>
        <v/>
      </c>
      <c r="AO19" s="278" t="n">
        <v>0</v>
      </c>
      <c r="AP19" s="278" t="n">
        <v>0</v>
      </c>
      <c r="AQ19" s="279">
        <f>ROUND((AO19+AP19)/2,0)</f>
        <v/>
      </c>
      <c r="AR19" s="11" t="n">
        <v>0</v>
      </c>
      <c r="AS19" s="9" t="n"/>
      <c r="AT19" s="277" t="n"/>
      <c r="AU19" s="280">
        <f>$G19+AS19-AQ19</f>
        <v/>
      </c>
      <c r="AV19" s="277">
        <f>$G19+AT19-AR19</f>
        <v/>
      </c>
      <c r="AW19" s="278" t="n">
        <v>0</v>
      </c>
      <c r="AX19" s="278" t="n">
        <v>0</v>
      </c>
      <c r="AY19" s="279">
        <f>ROUND((AW19+AX19)/2,0)</f>
        <v/>
      </c>
      <c r="AZ19" s="11" t="n">
        <v>0</v>
      </c>
      <c r="BA19" s="9" t="n"/>
      <c r="BB19" s="11" t="n"/>
      <c r="BC19" s="280">
        <f>$G19+BA19-AY19</f>
        <v/>
      </c>
      <c r="BD19" s="277">
        <f>$G19+BB19-AZ19</f>
        <v/>
      </c>
      <c r="BE19" s="278" t="n">
        <v>0</v>
      </c>
      <c r="BF19" s="278" t="n">
        <v>0</v>
      </c>
      <c r="BG19" s="279">
        <f>ROUND((BE19+BF19)/2,0)</f>
        <v/>
      </c>
      <c r="BH19" s="11" t="n">
        <v>0</v>
      </c>
      <c r="BI19" s="278" t="n"/>
      <c r="BJ19" s="11" t="n"/>
      <c r="BK19" s="280">
        <f>$G19+BI19-BG19</f>
        <v/>
      </c>
      <c r="BL19" s="277">
        <f>$G19+BJ19-BH19</f>
        <v/>
      </c>
      <c r="BM19" s="278" t="n">
        <v>0</v>
      </c>
      <c r="BN19" s="278" t="n">
        <v>0</v>
      </c>
      <c r="BO19" s="279">
        <f>ROUND((BM19+BN19)/2,0)</f>
        <v/>
      </c>
      <c r="BP19" s="11" t="n">
        <v>0</v>
      </c>
      <c r="BQ19" s="278" t="n"/>
      <c r="BR19" s="11" t="n"/>
      <c r="BS19" s="280">
        <f>$G19+BQ19-BO19</f>
        <v/>
      </c>
      <c r="BT19" s="277">
        <f>$G19+BR19-BP19</f>
        <v/>
      </c>
      <c r="BU19" s="278" t="n">
        <v>0</v>
      </c>
      <c r="BV19" s="278" t="n">
        <v>0</v>
      </c>
      <c r="BW19" s="279">
        <f>ROUND((BU19+BV19)/2,0)</f>
        <v/>
      </c>
      <c r="BX19" s="11" t="n">
        <v>0</v>
      </c>
      <c r="BY19" s="278" t="n"/>
      <c r="BZ19" s="11" t="n"/>
      <c r="CA19" s="280">
        <f>$G19+BY19-BW19</f>
        <v/>
      </c>
      <c r="CB19" s="277">
        <f>$G19+BZ19-BX19</f>
        <v/>
      </c>
      <c r="CC19" s="278" t="n">
        <v>0</v>
      </c>
      <c r="CD19" s="278" t="n">
        <v>0</v>
      </c>
      <c r="CE19" s="279">
        <f>ROUND((CC19+CD19)/2,0)</f>
        <v/>
      </c>
      <c r="CF19" s="11" t="n">
        <v>0</v>
      </c>
      <c r="CG19" s="278" t="n"/>
      <c r="CH19" s="11" t="n"/>
      <c r="CI19" s="280">
        <f>$G19+CG19-CE19</f>
        <v/>
      </c>
      <c r="CJ19" s="277">
        <f>$G19+CH19-CF19</f>
        <v/>
      </c>
      <c r="CK19" s="278" t="n">
        <v>0</v>
      </c>
      <c r="CL19" s="278" t="n">
        <v>0</v>
      </c>
      <c r="CM19" s="279">
        <f>ROUND((CK19+CL19)/2,0)</f>
        <v/>
      </c>
      <c r="CN19" s="11" t="n">
        <v>0</v>
      </c>
      <c r="CO19" s="278" t="n"/>
      <c r="CP19" s="277" t="n"/>
      <c r="CQ19" s="280">
        <f>$G19+CO19-CM19</f>
        <v/>
      </c>
      <c r="CR19" s="277">
        <f>$G19+CP19-CN19</f>
        <v/>
      </c>
      <c r="CS19" s="278" t="n">
        <v>0</v>
      </c>
      <c r="CT19" s="278" t="n">
        <v>0</v>
      </c>
      <c r="CU19" s="279">
        <f>ROUND((CS19+CT19)/2,0)</f>
        <v/>
      </c>
      <c r="CV19" s="11" t="n">
        <v>0</v>
      </c>
      <c r="CW19" s="278" t="n"/>
      <c r="CX19" s="277" t="n"/>
      <c r="CY19" s="280">
        <f>$G19+CW19-CU19</f>
        <v/>
      </c>
      <c r="CZ19" s="277">
        <f>$G19+CX19-CV19</f>
        <v/>
      </c>
    </row>
    <row r="20" ht="17.25" customHeight="1" s="480">
      <c r="A20" s="28" t="inlineStr">
        <is>
          <t>ABC17</t>
        </is>
      </c>
      <c r="B20" s="379" t="n"/>
      <c r="C20" s="27" t="n"/>
      <c r="D20" s="28">
        <f>_xlfn.XLOOKUP(A20,'ABC-XYZ분석 (2)'!C:C,'ABC-XYZ분석 (2)'!I:I)</f>
        <v/>
      </c>
      <c r="E20" s="28">
        <f>_xlfn.XLOOKUP(A20,'ABC-XYZ분석 (2)'!C:C,'ABC-XYZ분석 (2)'!AC:AC)</f>
        <v/>
      </c>
      <c r="F20" s="3">
        <f>_xlfn.XLOOKUP(A20,'ABC-XYZ분석 (2)'!C:C,'ABC-XYZ분석 (2)'!AG:AG)</f>
        <v/>
      </c>
      <c r="G20" s="14">
        <f>SUMIF(재고!C:C,PSI_메인!A20,재고!I:I)</f>
        <v/>
      </c>
      <c r="H20" s="277" t="n">
        <v>649</v>
      </c>
      <c r="I20" s="278" t="n">
        <v>0</v>
      </c>
      <c r="J20" s="278" t="n">
        <v>0</v>
      </c>
      <c r="K20" s="279" t="n">
        <v>562.5</v>
      </c>
      <c r="L20" s="11" t="n">
        <v>0</v>
      </c>
      <c r="M20" s="9">
        <f>SUMIFS(입항스케줄!J:J,입항스케줄!C:C,PSI_메인!A20,입항스케줄!U:U,"2601")</f>
        <v/>
      </c>
      <c r="N20" s="11">
        <f>SUMIFS(입항스케줄!J:J,입항스케줄!C:C,PSI_메인!A20,입항스케줄!V:V,"2601")</f>
        <v/>
      </c>
      <c r="O20" s="280">
        <f>$G20+M20-K20</f>
        <v/>
      </c>
      <c r="P20" s="277">
        <f>$G20+N20-L20</f>
        <v/>
      </c>
      <c r="Q20" s="278" t="n">
        <v>0</v>
      </c>
      <c r="R20" s="278" t="n">
        <v>0</v>
      </c>
      <c r="S20" s="10" t="n">
        <v>300</v>
      </c>
      <c r="T20" s="11" t="n">
        <v>0</v>
      </c>
      <c r="U20" s="9">
        <f>SUMIFS(입항스케줄!J:J,입항스케줄!C:C,PSI_메인!A20,입항스케줄!U:U,"2602")</f>
        <v/>
      </c>
      <c r="V20" s="11">
        <f>SUMIFS(입항스케줄!J:J,입항스케줄!C:C,PSI_메인!A20,입항스케줄!V:V,"2602")</f>
        <v/>
      </c>
      <c r="W20" s="280">
        <f>$G20+U20-S20</f>
        <v/>
      </c>
      <c r="X20" s="277">
        <f>$G20+V20-T20</f>
        <v/>
      </c>
      <c r="Y20" s="278" t="n">
        <v>0</v>
      </c>
      <c r="Z20" s="278" t="n">
        <v>0</v>
      </c>
      <c r="AA20" s="279">
        <f>ROUND((Y20+Z20)/2,0)</f>
        <v/>
      </c>
      <c r="AB20" s="11" t="n">
        <v>0</v>
      </c>
      <c r="AC20" s="9">
        <f>SUMIFS(입항스케줄!J:J,입항스케줄!C:C,PSI_메인!A20,입항스케줄!U:U,"2603")</f>
        <v/>
      </c>
      <c r="AD20" s="11">
        <f>SUMIFS(입항스케줄!J:J,입항스케줄!C:C,PSI_메인!A20,입항스케줄!V:V,"2603")</f>
        <v/>
      </c>
      <c r="AE20" s="280">
        <f>$G20+AC20-AA20</f>
        <v/>
      </c>
      <c r="AF20" s="277">
        <f>$G20+AD20-AB20</f>
        <v/>
      </c>
      <c r="AG20" s="278" t="n">
        <v>0</v>
      </c>
      <c r="AH20" s="278" t="n">
        <v>0</v>
      </c>
      <c r="AI20" s="279">
        <f>ROUND((AG20+AH20)/2,0)</f>
        <v/>
      </c>
      <c r="AJ20" s="11" t="n">
        <v>0</v>
      </c>
      <c r="AK20" s="9">
        <f>SUMIFS(입항스케줄!J:J,입항스케줄!C:C,PSI_메인!A20,입항스케줄!U:U,"2604")</f>
        <v/>
      </c>
      <c r="AL20" s="11">
        <f>SUMIFS(입항스케줄!J:J,입항스케줄!C:C,PSI_메인!A20,입항스케줄!V:V,"2604")</f>
        <v/>
      </c>
      <c r="AM20" s="280">
        <f>$G20+AK20-AI20</f>
        <v/>
      </c>
      <c r="AN20" s="277">
        <f>$G20+AL20-AJ20</f>
        <v/>
      </c>
      <c r="AO20" s="278" t="n">
        <v>0</v>
      </c>
      <c r="AP20" s="278" t="n">
        <v>0</v>
      </c>
      <c r="AQ20" s="279">
        <f>ROUND((AO20+AP20)/2,0)</f>
        <v/>
      </c>
      <c r="AR20" s="11" t="n">
        <v>0</v>
      </c>
      <c r="AS20" s="9" t="n"/>
      <c r="AT20" s="277" t="n"/>
      <c r="AU20" s="280">
        <f>$G20+AS20-AQ20</f>
        <v/>
      </c>
      <c r="AV20" s="277">
        <f>$G20+AT20-AR20</f>
        <v/>
      </c>
      <c r="AW20" s="278" t="n">
        <v>0</v>
      </c>
      <c r="AX20" s="278" t="n">
        <v>0</v>
      </c>
      <c r="AY20" s="279">
        <f>ROUND((AW20+AX20)/2,0)</f>
        <v/>
      </c>
      <c r="AZ20" s="11" t="n">
        <v>0</v>
      </c>
      <c r="BA20" s="9" t="n"/>
      <c r="BB20" s="11" t="n"/>
      <c r="BC20" s="280">
        <f>$G20+BA20-AY20</f>
        <v/>
      </c>
      <c r="BD20" s="277">
        <f>$G20+BB20-AZ20</f>
        <v/>
      </c>
      <c r="BE20" s="278" t="n">
        <v>0</v>
      </c>
      <c r="BF20" s="278" t="n">
        <v>0</v>
      </c>
      <c r="BG20" s="279">
        <f>ROUND((BE20+BF20)/2,0)</f>
        <v/>
      </c>
      <c r="BH20" s="11" t="n">
        <v>0</v>
      </c>
      <c r="BI20" s="278" t="n"/>
      <c r="BJ20" s="11" t="n"/>
      <c r="BK20" s="280">
        <f>$G20+BI20-BG20</f>
        <v/>
      </c>
      <c r="BL20" s="277">
        <f>$G20+BJ20-BH20</f>
        <v/>
      </c>
      <c r="BM20" s="278" t="n">
        <v>0</v>
      </c>
      <c r="BN20" s="278" t="n">
        <v>0</v>
      </c>
      <c r="BO20" s="279">
        <f>ROUND((BM20+BN20)/2,0)</f>
        <v/>
      </c>
      <c r="BP20" s="11" t="n">
        <v>0</v>
      </c>
      <c r="BQ20" s="278" t="n"/>
      <c r="BR20" s="11" t="n"/>
      <c r="BS20" s="280">
        <f>$G20+BQ20-BO20</f>
        <v/>
      </c>
      <c r="BT20" s="277">
        <f>$G20+BR20-BP20</f>
        <v/>
      </c>
      <c r="BU20" s="278" t="n">
        <v>0</v>
      </c>
      <c r="BV20" s="278" t="n">
        <v>0</v>
      </c>
      <c r="BW20" s="279">
        <f>ROUND((BU20+BV20)/2,0)</f>
        <v/>
      </c>
      <c r="BX20" s="11" t="n">
        <v>0</v>
      </c>
      <c r="BY20" s="278" t="n"/>
      <c r="BZ20" s="11" t="n"/>
      <c r="CA20" s="280">
        <f>$G20+BY20-BW20</f>
        <v/>
      </c>
      <c r="CB20" s="277">
        <f>$G20+BZ20-BX20</f>
        <v/>
      </c>
      <c r="CC20" s="278" t="n">
        <v>0</v>
      </c>
      <c r="CD20" s="278" t="n">
        <v>0</v>
      </c>
      <c r="CE20" s="279">
        <f>ROUND((CC20+CD20)/2,0)</f>
        <v/>
      </c>
      <c r="CF20" s="11" t="n">
        <v>0</v>
      </c>
      <c r="CG20" s="278" t="n"/>
      <c r="CH20" s="11" t="n"/>
      <c r="CI20" s="280">
        <f>$G20+CG20-CE20</f>
        <v/>
      </c>
      <c r="CJ20" s="277">
        <f>$G20+CH20-CF20</f>
        <v/>
      </c>
      <c r="CK20" s="278" t="n">
        <v>0</v>
      </c>
      <c r="CL20" s="278" t="n">
        <v>0</v>
      </c>
      <c r="CM20" s="279">
        <f>ROUND((CK20+CL20)/2,0)</f>
        <v/>
      </c>
      <c r="CN20" s="11" t="n">
        <v>0</v>
      </c>
      <c r="CO20" s="278" t="n"/>
      <c r="CP20" s="277" t="n"/>
      <c r="CQ20" s="280">
        <f>$G20+CO20-CM20</f>
        <v/>
      </c>
      <c r="CR20" s="277">
        <f>$G20+CP20-CN20</f>
        <v/>
      </c>
      <c r="CS20" s="278" t="n">
        <v>0</v>
      </c>
      <c r="CT20" s="278" t="n">
        <v>0</v>
      </c>
      <c r="CU20" s="279">
        <f>ROUND((CS20+CT20)/2,0)</f>
        <v/>
      </c>
      <c r="CV20" s="11" t="n">
        <v>0</v>
      </c>
      <c r="CW20" s="278" t="n"/>
      <c r="CX20" s="277" t="n"/>
      <c r="CY20" s="280">
        <f>$G20+CW20-CU20</f>
        <v/>
      </c>
      <c r="CZ20" s="277">
        <f>$G20+CX20-CV20</f>
        <v/>
      </c>
    </row>
    <row r="21" ht="17.25" customHeight="1" s="480">
      <c r="A21" s="28" t="inlineStr">
        <is>
          <t>ABC18</t>
        </is>
      </c>
      <c r="B21" s="379" t="n"/>
      <c r="C21" s="27" t="n"/>
      <c r="D21" s="28">
        <f>_xlfn.XLOOKUP(A21,'ABC-XYZ분석 (2)'!C:C,'ABC-XYZ분석 (2)'!I:I)</f>
        <v/>
      </c>
      <c r="E21" s="28">
        <f>_xlfn.XLOOKUP(A21,'ABC-XYZ분석 (2)'!C:C,'ABC-XYZ분석 (2)'!AC:AC)</f>
        <v/>
      </c>
      <c r="F21" s="3">
        <f>_xlfn.XLOOKUP(A21,'ABC-XYZ분석 (2)'!C:C,'ABC-XYZ분석 (2)'!AG:AG)</f>
        <v/>
      </c>
      <c r="G21" s="14">
        <f>SUMIF(재고!C:C,PSI_메인!A21,재고!I:I)</f>
        <v/>
      </c>
      <c r="H21" s="277" t="n">
        <v>621</v>
      </c>
      <c r="I21" s="278" t="n">
        <v>0</v>
      </c>
      <c r="J21" s="278" t="n">
        <v>0</v>
      </c>
      <c r="K21" s="279" t="n">
        <v>0</v>
      </c>
      <c r="L21" s="11" t="n">
        <v>0</v>
      </c>
      <c r="M21" s="9">
        <f>SUMIFS(입항스케줄!J:J,입항스케줄!C:C,PSI_메인!A21,입항스케줄!U:U,"2601")</f>
        <v/>
      </c>
      <c r="N21" s="11">
        <f>SUMIFS(입항스케줄!J:J,입항스케줄!C:C,PSI_메인!A21,입항스케줄!V:V,"2601")</f>
        <v/>
      </c>
      <c r="O21" s="280">
        <f>$G21+M21-K21</f>
        <v/>
      </c>
      <c r="P21" s="277">
        <f>$G21+N21-L21</f>
        <v/>
      </c>
      <c r="Q21" s="278" t="n">
        <v>0</v>
      </c>
      <c r="R21" s="278" t="n">
        <v>0</v>
      </c>
      <c r="S21" s="10" t="n">
        <v>0</v>
      </c>
      <c r="T21" s="11" t="n">
        <v>0</v>
      </c>
      <c r="U21" s="9">
        <f>SUMIFS(입항스케줄!J:J,입항스케줄!C:C,PSI_메인!A21,입항스케줄!U:U,"2602")</f>
        <v/>
      </c>
      <c r="V21" s="11">
        <f>SUMIFS(입항스케줄!J:J,입항스케줄!C:C,PSI_메인!A21,입항스케줄!V:V,"2602")</f>
        <v/>
      </c>
      <c r="W21" s="280">
        <f>$G21+U21-S21</f>
        <v/>
      </c>
      <c r="X21" s="277">
        <f>$G21+V21-T21</f>
        <v/>
      </c>
      <c r="Y21" s="278" t="n">
        <v>0</v>
      </c>
      <c r="Z21" s="278" t="n">
        <v>0</v>
      </c>
      <c r="AA21" s="279">
        <f>ROUND((Y21+Z21)/2,0)</f>
        <v/>
      </c>
      <c r="AB21" s="11" t="n">
        <v>0</v>
      </c>
      <c r="AC21" s="9">
        <f>SUMIFS(입항스케줄!J:J,입항스케줄!C:C,PSI_메인!A21,입항스케줄!U:U,"2603")</f>
        <v/>
      </c>
      <c r="AD21" s="11">
        <f>SUMIFS(입항스케줄!J:J,입항스케줄!C:C,PSI_메인!A21,입항스케줄!V:V,"2603")</f>
        <v/>
      </c>
      <c r="AE21" s="280">
        <f>$G21+AC21-AA21</f>
        <v/>
      </c>
      <c r="AF21" s="277">
        <f>$G21+AD21-AB21</f>
        <v/>
      </c>
      <c r="AG21" s="278" t="n">
        <v>0</v>
      </c>
      <c r="AH21" s="278" t="n">
        <v>0</v>
      </c>
      <c r="AI21" s="279">
        <f>ROUND((AG21+AH21)/2,0)</f>
        <v/>
      </c>
      <c r="AJ21" s="11" t="n">
        <v>0</v>
      </c>
      <c r="AK21" s="9">
        <f>SUMIFS(입항스케줄!J:J,입항스케줄!C:C,PSI_메인!A21,입항스케줄!U:U,"2604")</f>
        <v/>
      </c>
      <c r="AL21" s="11">
        <f>SUMIFS(입항스케줄!J:J,입항스케줄!C:C,PSI_메인!A21,입항스케줄!V:V,"2604")</f>
        <v/>
      </c>
      <c r="AM21" s="280">
        <f>$G21+AK21-AI21</f>
        <v/>
      </c>
      <c r="AN21" s="277">
        <f>$G21+AL21-AJ21</f>
        <v/>
      </c>
      <c r="AO21" s="278" t="n">
        <v>0</v>
      </c>
      <c r="AP21" s="278" t="n">
        <v>0</v>
      </c>
      <c r="AQ21" s="279">
        <f>ROUND((AO21+AP21)/2,0)</f>
        <v/>
      </c>
      <c r="AR21" s="11" t="n">
        <v>0</v>
      </c>
      <c r="AS21" s="9" t="n"/>
      <c r="AT21" s="277" t="n"/>
      <c r="AU21" s="280">
        <f>$G21+AS21-AQ21</f>
        <v/>
      </c>
      <c r="AV21" s="277">
        <f>$G21+AT21-AR21</f>
        <v/>
      </c>
      <c r="AW21" s="278" t="n">
        <v>0</v>
      </c>
      <c r="AX21" s="278" t="n">
        <v>0</v>
      </c>
      <c r="AY21" s="279">
        <f>ROUND((AW21+AX21)/2,0)</f>
        <v/>
      </c>
      <c r="AZ21" s="11" t="n">
        <v>0</v>
      </c>
      <c r="BA21" s="9" t="n"/>
      <c r="BB21" s="11" t="n"/>
      <c r="BC21" s="280">
        <f>$G21+BA21-AY21</f>
        <v/>
      </c>
      <c r="BD21" s="277">
        <f>$G21+BB21-AZ21</f>
        <v/>
      </c>
      <c r="BE21" s="278" t="n">
        <v>0</v>
      </c>
      <c r="BF21" s="278" t="n">
        <v>0</v>
      </c>
      <c r="BG21" s="279">
        <f>ROUND((BE21+BF21)/2,0)</f>
        <v/>
      </c>
      <c r="BH21" s="11" t="n">
        <v>0</v>
      </c>
      <c r="BI21" s="278" t="n"/>
      <c r="BJ21" s="11" t="n"/>
      <c r="BK21" s="280">
        <f>$G21+BI21-BG21</f>
        <v/>
      </c>
      <c r="BL21" s="277">
        <f>$G21+BJ21-BH21</f>
        <v/>
      </c>
      <c r="BM21" s="278" t="n">
        <v>0</v>
      </c>
      <c r="BN21" s="278" t="n">
        <v>0</v>
      </c>
      <c r="BO21" s="279">
        <f>ROUND((BM21+BN21)/2,0)</f>
        <v/>
      </c>
      <c r="BP21" s="11" t="n">
        <v>0</v>
      </c>
      <c r="BQ21" s="278" t="n"/>
      <c r="BR21" s="11" t="n"/>
      <c r="BS21" s="280">
        <f>$G21+BQ21-BO21</f>
        <v/>
      </c>
      <c r="BT21" s="277">
        <f>$G21+BR21-BP21</f>
        <v/>
      </c>
      <c r="BU21" s="278" t="n">
        <v>0</v>
      </c>
      <c r="BV21" s="278" t="n">
        <v>0</v>
      </c>
      <c r="BW21" s="279">
        <f>ROUND((BU21+BV21)/2,0)</f>
        <v/>
      </c>
      <c r="BX21" s="11" t="n">
        <v>0</v>
      </c>
      <c r="BY21" s="278" t="n"/>
      <c r="BZ21" s="11" t="n"/>
      <c r="CA21" s="280">
        <f>$G21+BY21-BW21</f>
        <v/>
      </c>
      <c r="CB21" s="277">
        <f>$G21+BZ21-BX21</f>
        <v/>
      </c>
      <c r="CC21" s="278" t="n">
        <v>0</v>
      </c>
      <c r="CD21" s="278" t="n">
        <v>0</v>
      </c>
      <c r="CE21" s="279">
        <f>ROUND((CC21+CD21)/2,0)</f>
        <v/>
      </c>
      <c r="CF21" s="11" t="n">
        <v>0</v>
      </c>
      <c r="CG21" s="278" t="n"/>
      <c r="CH21" s="11" t="n"/>
      <c r="CI21" s="280">
        <f>$G21+CG21-CE21</f>
        <v/>
      </c>
      <c r="CJ21" s="277">
        <f>$G21+CH21-CF21</f>
        <v/>
      </c>
      <c r="CK21" s="278" t="n">
        <v>0</v>
      </c>
      <c r="CL21" s="278" t="n">
        <v>0</v>
      </c>
      <c r="CM21" s="279">
        <f>ROUND((CK21+CL21)/2,0)</f>
        <v/>
      </c>
      <c r="CN21" s="11" t="n">
        <v>0</v>
      </c>
      <c r="CO21" s="278" t="n"/>
      <c r="CP21" s="277" t="n"/>
      <c r="CQ21" s="280">
        <f>$G21+CO21-CM21</f>
        <v/>
      </c>
      <c r="CR21" s="277">
        <f>$G21+CP21-CN21</f>
        <v/>
      </c>
      <c r="CS21" s="278" t="n">
        <v>0</v>
      </c>
      <c r="CT21" s="278" t="n">
        <v>0</v>
      </c>
      <c r="CU21" s="279">
        <f>ROUND((CS21+CT21)/2,0)</f>
        <v/>
      </c>
      <c r="CV21" s="11" t="n">
        <v>0</v>
      </c>
      <c r="CW21" s="278" t="n"/>
      <c r="CX21" s="277" t="n"/>
      <c r="CY21" s="280">
        <f>$G21+CW21-CU21</f>
        <v/>
      </c>
      <c r="CZ21" s="277">
        <f>$G21+CX21-CV21</f>
        <v/>
      </c>
    </row>
    <row r="22" ht="17.25" customHeight="1" s="480">
      <c r="A22" s="28" t="inlineStr">
        <is>
          <t>ABC19</t>
        </is>
      </c>
      <c r="B22" s="379" t="n"/>
      <c r="C22" s="27" t="n"/>
      <c r="D22" s="28">
        <f>_xlfn.XLOOKUP(A22,'ABC-XYZ분석 (2)'!C:C,'ABC-XYZ분석 (2)'!I:I)</f>
        <v/>
      </c>
      <c r="E22" s="28">
        <f>_xlfn.XLOOKUP(A22,'ABC-XYZ분석 (2)'!C:C,'ABC-XYZ분석 (2)'!AC:AC)</f>
        <v/>
      </c>
      <c r="F22" s="3">
        <f>_xlfn.XLOOKUP(A22,'ABC-XYZ분석 (2)'!C:C,'ABC-XYZ분석 (2)'!AG:AG)</f>
        <v/>
      </c>
      <c r="G22" s="14">
        <f>SUMIF(재고!C:C,PSI_메인!A22,재고!I:I)</f>
        <v/>
      </c>
      <c r="H22" s="277" t="n">
        <v>1525</v>
      </c>
      <c r="I22" s="278" t="n">
        <v>0</v>
      </c>
      <c r="J22" s="278" t="n">
        <v>0</v>
      </c>
      <c r="K22" s="279" t="n">
        <v>325</v>
      </c>
      <c r="L22" s="11" t="n">
        <v>0</v>
      </c>
      <c r="M22" s="9">
        <f>SUMIFS(입항스케줄!J:J,입항스케줄!C:C,PSI_메인!A22,입항스케줄!U:U,"2601")</f>
        <v/>
      </c>
      <c r="N22" s="11">
        <f>SUMIFS(입항스케줄!J:J,입항스케줄!C:C,PSI_메인!A22,입항스케줄!V:V,"2601")</f>
        <v/>
      </c>
      <c r="O22" s="280">
        <f>$G22+M22-K22</f>
        <v/>
      </c>
      <c r="P22" s="277">
        <f>$G22+N22-L22</f>
        <v/>
      </c>
      <c r="Q22" s="278" t="n">
        <v>0</v>
      </c>
      <c r="R22" s="278" t="n">
        <v>0</v>
      </c>
      <c r="S22" s="10" t="n">
        <v>800</v>
      </c>
      <c r="T22" s="11" t="n">
        <v>0</v>
      </c>
      <c r="U22" s="9">
        <f>SUMIFS(입항스케줄!J:J,입항스케줄!C:C,PSI_메인!A22,입항스케줄!U:U,"2602")</f>
        <v/>
      </c>
      <c r="V22" s="11">
        <f>SUMIFS(입항스케줄!J:J,입항스케줄!C:C,PSI_메인!A22,입항스케줄!V:V,"2602")</f>
        <v/>
      </c>
      <c r="W22" s="280">
        <f>$G22+U22-S22</f>
        <v/>
      </c>
      <c r="X22" s="277">
        <f>$G22+V22-T22</f>
        <v/>
      </c>
      <c r="Y22" s="278" t="n">
        <v>0</v>
      </c>
      <c r="Z22" s="278" t="n">
        <v>0</v>
      </c>
      <c r="AA22" s="279">
        <f>ROUND((Y22+Z22)/2,0)</f>
        <v/>
      </c>
      <c r="AB22" s="11" t="n">
        <v>0</v>
      </c>
      <c r="AC22" s="9">
        <f>SUMIFS(입항스케줄!J:J,입항스케줄!C:C,PSI_메인!A22,입항스케줄!U:U,"2603")</f>
        <v/>
      </c>
      <c r="AD22" s="11">
        <f>SUMIFS(입항스케줄!J:J,입항스케줄!C:C,PSI_메인!A22,입항스케줄!V:V,"2603")</f>
        <v/>
      </c>
      <c r="AE22" s="280">
        <f>$G22+AC22-AA22</f>
        <v/>
      </c>
      <c r="AF22" s="277">
        <f>$G22+AD22-AB22</f>
        <v/>
      </c>
      <c r="AG22" s="278" t="n">
        <v>0</v>
      </c>
      <c r="AH22" s="278" t="n">
        <v>0</v>
      </c>
      <c r="AI22" s="279">
        <f>ROUND((AG22+AH22)/2,0)</f>
        <v/>
      </c>
      <c r="AJ22" s="11" t="n">
        <v>0</v>
      </c>
      <c r="AK22" s="9">
        <f>SUMIFS(입항스케줄!J:J,입항스케줄!C:C,PSI_메인!A22,입항스케줄!U:U,"2604")</f>
        <v/>
      </c>
      <c r="AL22" s="11">
        <f>SUMIFS(입항스케줄!J:J,입항스케줄!C:C,PSI_메인!A22,입항스케줄!V:V,"2604")</f>
        <v/>
      </c>
      <c r="AM22" s="280">
        <f>$G22+AK22-AI22</f>
        <v/>
      </c>
      <c r="AN22" s="277">
        <f>$G22+AL22-AJ22</f>
        <v/>
      </c>
      <c r="AO22" s="278" t="n">
        <v>0</v>
      </c>
      <c r="AP22" s="278" t="n">
        <v>0</v>
      </c>
      <c r="AQ22" s="279">
        <f>ROUND((AO22+AP22)/2,0)</f>
        <v/>
      </c>
      <c r="AR22" s="11" t="n">
        <v>0</v>
      </c>
      <c r="AS22" s="9" t="n"/>
      <c r="AT22" s="277" t="n"/>
      <c r="AU22" s="280">
        <f>$G22+AS22-AQ22</f>
        <v/>
      </c>
      <c r="AV22" s="277">
        <f>$G22+AT22-AR22</f>
        <v/>
      </c>
      <c r="AW22" s="278" t="n">
        <v>0</v>
      </c>
      <c r="AX22" s="278" t="n">
        <v>0</v>
      </c>
      <c r="AY22" s="279">
        <f>ROUND((AW22+AX22)/2,0)</f>
        <v/>
      </c>
      <c r="AZ22" s="11" t="n">
        <v>0</v>
      </c>
      <c r="BA22" s="9" t="n"/>
      <c r="BB22" s="11" t="n"/>
      <c r="BC22" s="280">
        <f>$G22+BA22-AY22</f>
        <v/>
      </c>
      <c r="BD22" s="277">
        <f>$G22+BB22-AZ22</f>
        <v/>
      </c>
      <c r="BE22" s="278" t="n">
        <v>0</v>
      </c>
      <c r="BF22" s="278" t="n">
        <v>0</v>
      </c>
      <c r="BG22" s="279">
        <f>ROUND((BE22+BF22)/2,0)</f>
        <v/>
      </c>
      <c r="BH22" s="11" t="n">
        <v>0</v>
      </c>
      <c r="BI22" s="278" t="n"/>
      <c r="BJ22" s="11" t="n"/>
      <c r="BK22" s="280">
        <f>$G22+BI22-BG22</f>
        <v/>
      </c>
      <c r="BL22" s="277">
        <f>$G22+BJ22-BH22</f>
        <v/>
      </c>
      <c r="BM22" s="278" t="n">
        <v>0</v>
      </c>
      <c r="BN22" s="278" t="n">
        <v>0</v>
      </c>
      <c r="BO22" s="279">
        <f>ROUND((BM22+BN22)/2,0)</f>
        <v/>
      </c>
      <c r="BP22" s="11" t="n">
        <v>0</v>
      </c>
      <c r="BQ22" s="278" t="n"/>
      <c r="BR22" s="11" t="n"/>
      <c r="BS22" s="280">
        <f>$G22+BQ22-BO22</f>
        <v/>
      </c>
      <c r="BT22" s="277">
        <f>$G22+BR22-BP22</f>
        <v/>
      </c>
      <c r="BU22" s="278" t="n">
        <v>0</v>
      </c>
      <c r="BV22" s="278" t="n">
        <v>0</v>
      </c>
      <c r="BW22" s="279">
        <f>ROUND((BU22+BV22)/2,0)</f>
        <v/>
      </c>
      <c r="BX22" s="11" t="n">
        <v>0</v>
      </c>
      <c r="BY22" s="278" t="n"/>
      <c r="BZ22" s="11" t="n"/>
      <c r="CA22" s="280">
        <f>$G22+BY22-BW22</f>
        <v/>
      </c>
      <c r="CB22" s="277">
        <f>$G22+BZ22-BX22</f>
        <v/>
      </c>
      <c r="CC22" s="278" t="n">
        <v>0</v>
      </c>
      <c r="CD22" s="278" t="n">
        <v>0</v>
      </c>
      <c r="CE22" s="279">
        <f>ROUND((CC22+CD22)/2,0)</f>
        <v/>
      </c>
      <c r="CF22" s="11" t="n">
        <v>0</v>
      </c>
      <c r="CG22" s="278" t="n"/>
      <c r="CH22" s="11" t="n"/>
      <c r="CI22" s="280">
        <f>$G22+CG22-CE22</f>
        <v/>
      </c>
      <c r="CJ22" s="277">
        <f>$G22+CH22-CF22</f>
        <v/>
      </c>
      <c r="CK22" s="278" t="n">
        <v>0</v>
      </c>
      <c r="CL22" s="278" t="n">
        <v>0</v>
      </c>
      <c r="CM22" s="279">
        <f>ROUND((CK22+CL22)/2,0)</f>
        <v/>
      </c>
      <c r="CN22" s="11" t="n">
        <v>0</v>
      </c>
      <c r="CO22" s="278" t="n"/>
      <c r="CP22" s="277" t="n"/>
      <c r="CQ22" s="280">
        <f>$G22+CO22-CM22</f>
        <v/>
      </c>
      <c r="CR22" s="277">
        <f>$G22+CP22-CN22</f>
        <v/>
      </c>
      <c r="CS22" s="278" t="n">
        <v>0</v>
      </c>
      <c r="CT22" s="278" t="n">
        <v>0</v>
      </c>
      <c r="CU22" s="279">
        <f>ROUND((CS22+CT22)/2,0)</f>
        <v/>
      </c>
      <c r="CV22" s="11" t="n">
        <v>0</v>
      </c>
      <c r="CW22" s="278" t="n"/>
      <c r="CX22" s="277" t="n"/>
      <c r="CY22" s="280">
        <f>$G22+CW22-CU22</f>
        <v/>
      </c>
      <c r="CZ22" s="277">
        <f>$G22+CX22-CV22</f>
        <v/>
      </c>
    </row>
    <row r="23" ht="17.25" customHeight="1" s="480">
      <c r="A23" s="28" t="inlineStr">
        <is>
          <t>ABC20</t>
        </is>
      </c>
      <c r="B23" s="379" t="n"/>
      <c r="C23" s="27" t="n"/>
      <c r="D23" s="28">
        <f>_xlfn.XLOOKUP(A23,'ABC-XYZ분석 (2)'!C:C,'ABC-XYZ분석 (2)'!I:I)</f>
        <v/>
      </c>
      <c r="E23" s="28">
        <f>_xlfn.XLOOKUP(A23,'ABC-XYZ분석 (2)'!C:C,'ABC-XYZ분석 (2)'!AC:AC)</f>
        <v/>
      </c>
      <c r="F23" s="3">
        <f>_xlfn.XLOOKUP(A23,'ABC-XYZ분석 (2)'!C:C,'ABC-XYZ분석 (2)'!AG:AG)</f>
        <v/>
      </c>
      <c r="G23" s="14">
        <f>SUMIF(재고!C:C,PSI_메인!A23,재고!I:I)</f>
        <v/>
      </c>
      <c r="H23" s="277" t="n">
        <v>651</v>
      </c>
      <c r="I23" s="278" t="n">
        <v>0</v>
      </c>
      <c r="J23" s="278" t="n">
        <v>0</v>
      </c>
      <c r="K23" s="279" t="n">
        <v>375</v>
      </c>
      <c r="L23" s="11" t="n">
        <v>0</v>
      </c>
      <c r="M23" s="9">
        <f>SUMIFS(입항스케줄!J:J,입항스케줄!C:C,PSI_메인!A23,입항스케줄!U:U,"2601")</f>
        <v/>
      </c>
      <c r="N23" s="11">
        <f>SUMIFS(입항스케줄!J:J,입항스케줄!C:C,PSI_메인!A23,입항스케줄!V:V,"2601")</f>
        <v/>
      </c>
      <c r="O23" s="280">
        <f>$G23+M23-K23</f>
        <v/>
      </c>
      <c r="P23" s="277">
        <f>$G23+N23-L23</f>
        <v/>
      </c>
      <c r="Q23" s="278" t="n">
        <v>0</v>
      </c>
      <c r="R23" s="278" t="n">
        <v>0</v>
      </c>
      <c r="S23" s="10" t="n">
        <v>150</v>
      </c>
      <c r="T23" s="11" t="n">
        <v>0</v>
      </c>
      <c r="U23" s="9">
        <f>SUMIFS(입항스케줄!J:J,입항스케줄!C:C,PSI_메인!A23,입항스케줄!U:U,"2602")</f>
        <v/>
      </c>
      <c r="V23" s="11">
        <f>SUMIFS(입항스케줄!J:J,입항스케줄!C:C,PSI_메인!A23,입항스케줄!V:V,"2602")</f>
        <v/>
      </c>
      <c r="W23" s="280">
        <f>$G23+U23-S23</f>
        <v/>
      </c>
      <c r="X23" s="277">
        <f>$G23+V23-T23</f>
        <v/>
      </c>
      <c r="Y23" s="278" t="n">
        <v>0</v>
      </c>
      <c r="Z23" s="278" t="n">
        <v>0</v>
      </c>
      <c r="AA23" s="279">
        <f>ROUND((Y23+Z23)/2,0)</f>
        <v/>
      </c>
      <c r="AB23" s="11" t="n">
        <v>0</v>
      </c>
      <c r="AC23" s="9">
        <f>SUMIFS(입항스케줄!J:J,입항스케줄!C:C,PSI_메인!A23,입항스케줄!U:U,"2603")</f>
        <v/>
      </c>
      <c r="AD23" s="11">
        <f>SUMIFS(입항스케줄!J:J,입항스케줄!C:C,PSI_메인!A23,입항스케줄!V:V,"2603")</f>
        <v/>
      </c>
      <c r="AE23" s="280">
        <f>$G23+AC23-AA23</f>
        <v/>
      </c>
      <c r="AF23" s="277">
        <f>$G23+AD23-AB23</f>
        <v/>
      </c>
      <c r="AG23" s="278" t="n">
        <v>0</v>
      </c>
      <c r="AH23" s="278" t="n">
        <v>0</v>
      </c>
      <c r="AI23" s="279">
        <f>ROUND((AG23+AH23)/2,0)</f>
        <v/>
      </c>
      <c r="AJ23" s="11" t="n">
        <v>0</v>
      </c>
      <c r="AK23" s="9">
        <f>SUMIFS(입항스케줄!J:J,입항스케줄!C:C,PSI_메인!A23,입항스케줄!U:U,"2604")</f>
        <v/>
      </c>
      <c r="AL23" s="11">
        <f>SUMIFS(입항스케줄!J:J,입항스케줄!C:C,PSI_메인!A23,입항스케줄!V:V,"2604")</f>
        <v/>
      </c>
      <c r="AM23" s="280">
        <f>$G23+AK23-AI23</f>
        <v/>
      </c>
      <c r="AN23" s="277">
        <f>$G23+AL23-AJ23</f>
        <v/>
      </c>
      <c r="AO23" s="278" t="n">
        <v>0</v>
      </c>
      <c r="AP23" s="278" t="n">
        <v>0</v>
      </c>
      <c r="AQ23" s="279">
        <f>ROUND((AO23+AP23)/2,0)</f>
        <v/>
      </c>
      <c r="AR23" s="11" t="n">
        <v>0</v>
      </c>
      <c r="AS23" s="9" t="n"/>
      <c r="AT23" s="277" t="n"/>
      <c r="AU23" s="280">
        <f>$G23+AS23-AQ23</f>
        <v/>
      </c>
      <c r="AV23" s="277">
        <f>$G23+AT23-AR23</f>
        <v/>
      </c>
      <c r="AW23" s="278" t="n">
        <v>0</v>
      </c>
      <c r="AX23" s="278" t="n">
        <v>0</v>
      </c>
      <c r="AY23" s="279">
        <f>ROUND((AW23+AX23)/2,0)</f>
        <v/>
      </c>
      <c r="AZ23" s="11" t="n">
        <v>0</v>
      </c>
      <c r="BA23" s="9" t="n"/>
      <c r="BB23" s="11" t="n"/>
      <c r="BC23" s="280">
        <f>$G23+BA23-AY23</f>
        <v/>
      </c>
      <c r="BD23" s="277">
        <f>$G23+BB23-AZ23</f>
        <v/>
      </c>
      <c r="BE23" s="278" t="n">
        <v>0</v>
      </c>
      <c r="BF23" s="278" t="n">
        <v>0</v>
      </c>
      <c r="BG23" s="279">
        <f>ROUND((BE23+BF23)/2,0)</f>
        <v/>
      </c>
      <c r="BH23" s="11" t="n">
        <v>0</v>
      </c>
      <c r="BI23" s="278" t="n"/>
      <c r="BJ23" s="11" t="n"/>
      <c r="BK23" s="280">
        <f>$G23+BI23-BG23</f>
        <v/>
      </c>
      <c r="BL23" s="277">
        <f>$G23+BJ23-BH23</f>
        <v/>
      </c>
      <c r="BM23" s="278" t="n">
        <v>0</v>
      </c>
      <c r="BN23" s="278" t="n">
        <v>0</v>
      </c>
      <c r="BO23" s="279">
        <f>ROUND((BM23+BN23)/2,0)</f>
        <v/>
      </c>
      <c r="BP23" s="11" t="n">
        <v>0</v>
      </c>
      <c r="BQ23" s="278" t="n"/>
      <c r="BR23" s="11" t="n"/>
      <c r="BS23" s="280">
        <f>$G23+BQ23-BO23</f>
        <v/>
      </c>
      <c r="BT23" s="277">
        <f>$G23+BR23-BP23</f>
        <v/>
      </c>
      <c r="BU23" s="278" t="n">
        <v>0</v>
      </c>
      <c r="BV23" s="278" t="n">
        <v>0</v>
      </c>
      <c r="BW23" s="279">
        <f>ROUND((BU23+BV23)/2,0)</f>
        <v/>
      </c>
      <c r="BX23" s="11" t="n">
        <v>0</v>
      </c>
      <c r="BY23" s="278" t="n"/>
      <c r="BZ23" s="11" t="n"/>
      <c r="CA23" s="280">
        <f>$G23+BY23-BW23</f>
        <v/>
      </c>
      <c r="CB23" s="277">
        <f>$G23+BZ23-BX23</f>
        <v/>
      </c>
      <c r="CC23" s="278" t="n">
        <v>0</v>
      </c>
      <c r="CD23" s="278" t="n">
        <v>0</v>
      </c>
      <c r="CE23" s="279">
        <f>ROUND((CC23+CD23)/2,0)</f>
        <v/>
      </c>
      <c r="CF23" s="11" t="n">
        <v>0</v>
      </c>
      <c r="CG23" s="278" t="n"/>
      <c r="CH23" s="11" t="n"/>
      <c r="CI23" s="280">
        <f>$G23+CG23-CE23</f>
        <v/>
      </c>
      <c r="CJ23" s="277">
        <f>$G23+CH23-CF23</f>
        <v/>
      </c>
      <c r="CK23" s="278" t="n">
        <v>0</v>
      </c>
      <c r="CL23" s="278" t="n">
        <v>0</v>
      </c>
      <c r="CM23" s="279">
        <f>ROUND((CK23+CL23)/2,0)</f>
        <v/>
      </c>
      <c r="CN23" s="11" t="n">
        <v>0</v>
      </c>
      <c r="CO23" s="278" t="n"/>
      <c r="CP23" s="277" t="n"/>
      <c r="CQ23" s="280">
        <f>$G23+CO23-CM23</f>
        <v/>
      </c>
      <c r="CR23" s="277">
        <f>$G23+CP23-CN23</f>
        <v/>
      </c>
      <c r="CS23" s="278" t="n">
        <v>0</v>
      </c>
      <c r="CT23" s="278" t="n">
        <v>0</v>
      </c>
      <c r="CU23" s="279">
        <f>ROUND((CS23+CT23)/2,0)</f>
        <v/>
      </c>
      <c r="CV23" s="11" t="n">
        <v>0</v>
      </c>
      <c r="CW23" s="278" t="n"/>
      <c r="CX23" s="277" t="n"/>
      <c r="CY23" s="280">
        <f>$G23+CW23-CU23</f>
        <v/>
      </c>
      <c r="CZ23" s="277">
        <f>$G23+CX23-CV23</f>
        <v/>
      </c>
    </row>
    <row r="24" ht="17.25" customHeight="1" s="480">
      <c r="A24" s="28" t="inlineStr">
        <is>
          <t>ABC21</t>
        </is>
      </c>
      <c r="B24" s="379" t="n"/>
      <c r="C24" s="27" t="n"/>
      <c r="D24" s="28">
        <f>_xlfn.XLOOKUP(A24,'ABC-XYZ분석 (2)'!C:C,'ABC-XYZ분석 (2)'!I:I)</f>
        <v/>
      </c>
      <c r="E24" s="28">
        <f>_xlfn.XLOOKUP(A24,'ABC-XYZ분석 (2)'!C:C,'ABC-XYZ분석 (2)'!AC:AC)</f>
        <v/>
      </c>
      <c r="F24" s="3">
        <f>_xlfn.XLOOKUP(A24,'ABC-XYZ분석 (2)'!C:C,'ABC-XYZ분석 (2)'!AG:AG)</f>
        <v/>
      </c>
      <c r="G24" s="14">
        <f>SUMIF(재고!C:C,PSI_메인!A24,재고!I:I)</f>
        <v/>
      </c>
      <c r="H24" s="277" t="n">
        <v>1535</v>
      </c>
      <c r="I24" s="278" t="n">
        <v>0</v>
      </c>
      <c r="J24" s="278" t="n">
        <v>0</v>
      </c>
      <c r="K24" s="279" t="n">
        <v>300</v>
      </c>
      <c r="L24" s="11" t="n">
        <v>0</v>
      </c>
      <c r="M24" s="9">
        <f>SUMIFS(입항스케줄!J:J,입항스케줄!C:C,PSI_메인!A24,입항스케줄!U:U,"2601")</f>
        <v/>
      </c>
      <c r="N24" s="11">
        <f>SUMIFS(입항스케줄!J:J,입항스케줄!C:C,PSI_메인!A24,입항스케줄!V:V,"2601")</f>
        <v/>
      </c>
      <c r="O24" s="280">
        <f>$G24+M24-K24</f>
        <v/>
      </c>
      <c r="P24" s="277">
        <f>$G24+N24-L24</f>
        <v/>
      </c>
      <c r="Q24" s="278" t="n">
        <v>0</v>
      </c>
      <c r="R24" s="278" t="n">
        <v>0</v>
      </c>
      <c r="S24" s="10" t="n">
        <v>450</v>
      </c>
      <c r="T24" s="11" t="n">
        <v>0</v>
      </c>
      <c r="U24" s="9">
        <f>SUMIFS(입항스케줄!J:J,입항스케줄!C:C,PSI_메인!A24,입항스케줄!U:U,"2602")</f>
        <v/>
      </c>
      <c r="V24" s="11">
        <f>SUMIFS(입항스케줄!J:J,입항스케줄!C:C,PSI_메인!A24,입항스케줄!V:V,"2602")</f>
        <v/>
      </c>
      <c r="W24" s="280">
        <f>$G24+U24-S24</f>
        <v/>
      </c>
      <c r="X24" s="277">
        <f>$G24+V24-T24</f>
        <v/>
      </c>
      <c r="Y24" s="278" t="n">
        <v>0</v>
      </c>
      <c r="Z24" s="278" t="n">
        <v>0</v>
      </c>
      <c r="AA24" s="279">
        <f>ROUND((Y24+Z24)/2,0)</f>
        <v/>
      </c>
      <c r="AB24" s="11" t="n">
        <v>0</v>
      </c>
      <c r="AC24" s="9">
        <f>SUMIFS(입항스케줄!J:J,입항스케줄!C:C,PSI_메인!A24,입항스케줄!U:U,"2603")</f>
        <v/>
      </c>
      <c r="AD24" s="11">
        <f>SUMIFS(입항스케줄!J:J,입항스케줄!C:C,PSI_메인!A24,입항스케줄!V:V,"2603")</f>
        <v/>
      </c>
      <c r="AE24" s="280">
        <f>$G24+AC24-AA24</f>
        <v/>
      </c>
      <c r="AF24" s="277">
        <f>$G24+AD24-AB24</f>
        <v/>
      </c>
      <c r="AG24" s="278" t="n">
        <v>0</v>
      </c>
      <c r="AH24" s="278" t="n">
        <v>0</v>
      </c>
      <c r="AI24" s="279">
        <f>ROUND((AG24+AH24)/2,0)</f>
        <v/>
      </c>
      <c r="AJ24" s="11" t="n">
        <v>0</v>
      </c>
      <c r="AK24" s="9">
        <f>SUMIFS(입항스케줄!J:J,입항스케줄!C:C,PSI_메인!A24,입항스케줄!U:U,"2604")</f>
        <v/>
      </c>
      <c r="AL24" s="11">
        <f>SUMIFS(입항스케줄!J:J,입항스케줄!C:C,PSI_메인!A24,입항스케줄!V:V,"2604")</f>
        <v/>
      </c>
      <c r="AM24" s="280">
        <f>$G24+AK24-AI24</f>
        <v/>
      </c>
      <c r="AN24" s="277">
        <f>$G24+AL24-AJ24</f>
        <v/>
      </c>
      <c r="AO24" s="278" t="n">
        <v>0</v>
      </c>
      <c r="AP24" s="278" t="n">
        <v>0</v>
      </c>
      <c r="AQ24" s="279">
        <f>ROUND((AO24+AP24)/2,0)</f>
        <v/>
      </c>
      <c r="AR24" s="11" t="n">
        <v>0</v>
      </c>
      <c r="AS24" s="9" t="n"/>
      <c r="AT24" s="277" t="n"/>
      <c r="AU24" s="280">
        <f>$G24+AS24-AQ24</f>
        <v/>
      </c>
      <c r="AV24" s="277">
        <f>$G24+AT24-AR24</f>
        <v/>
      </c>
      <c r="AW24" s="278" t="n">
        <v>0</v>
      </c>
      <c r="AX24" s="278" t="n">
        <v>0</v>
      </c>
      <c r="AY24" s="279">
        <f>ROUND((AW24+AX24)/2,0)</f>
        <v/>
      </c>
      <c r="AZ24" s="11" t="n">
        <v>0</v>
      </c>
      <c r="BA24" s="9" t="n"/>
      <c r="BB24" s="11" t="n"/>
      <c r="BC24" s="280">
        <f>$G24+BA24-AY24</f>
        <v/>
      </c>
      <c r="BD24" s="277">
        <f>$G24+BB24-AZ24</f>
        <v/>
      </c>
      <c r="BE24" s="278" t="n">
        <v>0</v>
      </c>
      <c r="BF24" s="278" t="n">
        <v>0</v>
      </c>
      <c r="BG24" s="279">
        <f>ROUND((BE24+BF24)/2,0)</f>
        <v/>
      </c>
      <c r="BH24" s="11" t="n">
        <v>0</v>
      </c>
      <c r="BI24" s="278" t="n"/>
      <c r="BJ24" s="11" t="n"/>
      <c r="BK24" s="280">
        <f>$G24+BI24-BG24</f>
        <v/>
      </c>
      <c r="BL24" s="277">
        <f>$G24+BJ24-BH24</f>
        <v/>
      </c>
      <c r="BM24" s="278" t="n">
        <v>0</v>
      </c>
      <c r="BN24" s="278" t="n">
        <v>0</v>
      </c>
      <c r="BO24" s="279">
        <f>ROUND((BM24+BN24)/2,0)</f>
        <v/>
      </c>
      <c r="BP24" s="11" t="n">
        <v>0</v>
      </c>
      <c r="BQ24" s="278" t="n"/>
      <c r="BR24" s="11" t="n"/>
      <c r="BS24" s="280">
        <f>$G24+BQ24-BO24</f>
        <v/>
      </c>
      <c r="BT24" s="277">
        <f>$G24+BR24-BP24</f>
        <v/>
      </c>
      <c r="BU24" s="278" t="n">
        <v>0</v>
      </c>
      <c r="BV24" s="278" t="n">
        <v>0</v>
      </c>
      <c r="BW24" s="279">
        <f>ROUND((BU24+BV24)/2,0)</f>
        <v/>
      </c>
      <c r="BX24" s="11" t="n">
        <v>0</v>
      </c>
      <c r="BY24" s="278" t="n"/>
      <c r="BZ24" s="11" t="n"/>
      <c r="CA24" s="280">
        <f>$G24+BY24-BW24</f>
        <v/>
      </c>
      <c r="CB24" s="277">
        <f>$G24+BZ24-BX24</f>
        <v/>
      </c>
      <c r="CC24" s="278" t="n">
        <v>0</v>
      </c>
      <c r="CD24" s="278" t="n">
        <v>0</v>
      </c>
      <c r="CE24" s="279">
        <f>ROUND((CC24+CD24)/2,0)</f>
        <v/>
      </c>
      <c r="CF24" s="11" t="n">
        <v>0</v>
      </c>
      <c r="CG24" s="278" t="n"/>
      <c r="CH24" s="11" t="n"/>
      <c r="CI24" s="280">
        <f>$G24+CG24-CE24</f>
        <v/>
      </c>
      <c r="CJ24" s="277">
        <f>$G24+CH24-CF24</f>
        <v/>
      </c>
      <c r="CK24" s="278" t="n">
        <v>0</v>
      </c>
      <c r="CL24" s="278" t="n">
        <v>0</v>
      </c>
      <c r="CM24" s="279">
        <f>ROUND((CK24+CL24)/2,0)</f>
        <v/>
      </c>
      <c r="CN24" s="11" t="n">
        <v>0</v>
      </c>
      <c r="CO24" s="278" t="n"/>
      <c r="CP24" s="277" t="n"/>
      <c r="CQ24" s="280">
        <f>$G24+CO24-CM24</f>
        <v/>
      </c>
      <c r="CR24" s="277">
        <f>$G24+CP24-CN24</f>
        <v/>
      </c>
      <c r="CS24" s="278" t="n">
        <v>0</v>
      </c>
      <c r="CT24" s="278" t="n">
        <v>0</v>
      </c>
      <c r="CU24" s="279">
        <f>ROUND((CS24+CT24)/2,0)</f>
        <v/>
      </c>
      <c r="CV24" s="11" t="n">
        <v>0</v>
      </c>
      <c r="CW24" s="278" t="n"/>
      <c r="CX24" s="277" t="n"/>
      <c r="CY24" s="280">
        <f>$G24+CW24-CU24</f>
        <v/>
      </c>
      <c r="CZ24" s="277">
        <f>$G24+CX24-CV24</f>
        <v/>
      </c>
    </row>
    <row r="25" ht="17.25" customHeight="1" s="480">
      <c r="A25" s="28" t="inlineStr">
        <is>
          <t>ABC22</t>
        </is>
      </c>
      <c r="B25" s="379" t="n"/>
      <c r="C25" s="27" t="n"/>
      <c r="D25" s="28">
        <f>_xlfn.XLOOKUP(A25,'ABC-XYZ분석 (2)'!C:C,'ABC-XYZ분석 (2)'!I:I)</f>
        <v/>
      </c>
      <c r="E25" s="28">
        <f>_xlfn.XLOOKUP(A25,'ABC-XYZ분석 (2)'!C:C,'ABC-XYZ분석 (2)'!AC:AC)</f>
        <v/>
      </c>
      <c r="F25" s="3">
        <f>_xlfn.XLOOKUP(A25,'ABC-XYZ분석 (2)'!C:C,'ABC-XYZ분석 (2)'!AG:AG)</f>
        <v/>
      </c>
      <c r="G25" s="14">
        <f>SUMIF(재고!C:C,PSI_메인!A25,재고!I:I)</f>
        <v/>
      </c>
      <c r="H25" s="277" t="n">
        <v>326</v>
      </c>
      <c r="I25" s="278" t="n">
        <v>0</v>
      </c>
      <c r="J25" s="278" t="n">
        <v>0</v>
      </c>
      <c r="K25" s="279" t="n">
        <v>300</v>
      </c>
      <c r="L25" s="11" t="n">
        <v>0</v>
      </c>
      <c r="M25" s="9">
        <f>SUMIFS(입항스케줄!J:J,입항스케줄!C:C,PSI_메인!A25,입항스케줄!U:U,"2601")</f>
        <v/>
      </c>
      <c r="N25" s="11">
        <f>SUMIFS(입항스케줄!J:J,입항스케줄!C:C,PSI_메인!A25,입항스케줄!V:V,"2601")</f>
        <v/>
      </c>
      <c r="O25" s="280">
        <f>$G25+M25-K25</f>
        <v/>
      </c>
      <c r="P25" s="277">
        <f>$G25+N25-L25</f>
        <v/>
      </c>
      <c r="Q25" s="278" t="n">
        <v>0</v>
      </c>
      <c r="R25" s="278" t="n">
        <v>0</v>
      </c>
      <c r="S25" s="10" t="n">
        <v>0</v>
      </c>
      <c r="T25" s="11" t="n">
        <v>0</v>
      </c>
      <c r="U25" s="9">
        <f>SUMIFS(입항스케줄!J:J,입항스케줄!C:C,PSI_메인!A25,입항스케줄!U:U,"2602")</f>
        <v/>
      </c>
      <c r="V25" s="11">
        <f>SUMIFS(입항스케줄!J:J,입항스케줄!C:C,PSI_메인!A25,입항스케줄!V:V,"2602")</f>
        <v/>
      </c>
      <c r="W25" s="280">
        <f>$G25+U25-S25</f>
        <v/>
      </c>
      <c r="X25" s="277">
        <f>$G25+V25-T25</f>
        <v/>
      </c>
      <c r="Y25" s="278" t="n">
        <v>0</v>
      </c>
      <c r="Z25" s="278" t="n">
        <v>0</v>
      </c>
      <c r="AA25" s="279">
        <f>ROUND((Y25+Z25)/2,0)</f>
        <v/>
      </c>
      <c r="AB25" s="11" t="n">
        <v>0</v>
      </c>
      <c r="AC25" s="9">
        <f>SUMIFS(입항스케줄!J:J,입항스케줄!C:C,PSI_메인!A25,입항스케줄!U:U,"2603")</f>
        <v/>
      </c>
      <c r="AD25" s="11">
        <f>SUMIFS(입항스케줄!J:J,입항스케줄!C:C,PSI_메인!A25,입항스케줄!V:V,"2603")</f>
        <v/>
      </c>
      <c r="AE25" s="280">
        <f>$G25+AC25-AA25</f>
        <v/>
      </c>
      <c r="AF25" s="277">
        <f>$G25+AD25-AB25</f>
        <v/>
      </c>
      <c r="AG25" s="278" t="n">
        <v>0</v>
      </c>
      <c r="AH25" s="278" t="n">
        <v>0</v>
      </c>
      <c r="AI25" s="279">
        <f>ROUND((AG25+AH25)/2,0)</f>
        <v/>
      </c>
      <c r="AJ25" s="11" t="n">
        <v>0</v>
      </c>
      <c r="AK25" s="9">
        <f>SUMIFS(입항스케줄!J:J,입항스케줄!C:C,PSI_메인!A25,입항스케줄!U:U,"2604")</f>
        <v/>
      </c>
      <c r="AL25" s="11">
        <f>SUMIFS(입항스케줄!J:J,입항스케줄!C:C,PSI_메인!A25,입항스케줄!V:V,"2604")</f>
        <v/>
      </c>
      <c r="AM25" s="280">
        <f>$G25+AK25-AI25</f>
        <v/>
      </c>
      <c r="AN25" s="277">
        <f>$G25+AL25-AJ25</f>
        <v/>
      </c>
      <c r="AO25" s="278" t="n">
        <v>0</v>
      </c>
      <c r="AP25" s="278" t="n">
        <v>0</v>
      </c>
      <c r="AQ25" s="279">
        <f>ROUND((AO25+AP25)/2,0)</f>
        <v/>
      </c>
      <c r="AR25" s="11" t="n">
        <v>0</v>
      </c>
      <c r="AS25" s="9" t="n"/>
      <c r="AT25" s="277" t="n"/>
      <c r="AU25" s="280">
        <f>$G25+AS25-AQ25</f>
        <v/>
      </c>
      <c r="AV25" s="277">
        <f>$G25+AT25-AR25</f>
        <v/>
      </c>
      <c r="AW25" s="278" t="n">
        <v>0</v>
      </c>
      <c r="AX25" s="278" t="n">
        <v>0</v>
      </c>
      <c r="AY25" s="279">
        <f>ROUND((AW25+AX25)/2,0)</f>
        <v/>
      </c>
      <c r="AZ25" s="11" t="n">
        <v>0</v>
      </c>
      <c r="BA25" s="9" t="n"/>
      <c r="BB25" s="11" t="n"/>
      <c r="BC25" s="280">
        <f>$G25+BA25-AY25</f>
        <v/>
      </c>
      <c r="BD25" s="277">
        <f>$G25+BB25-AZ25</f>
        <v/>
      </c>
      <c r="BE25" s="278" t="n">
        <v>0</v>
      </c>
      <c r="BF25" s="278" t="n">
        <v>0</v>
      </c>
      <c r="BG25" s="279">
        <f>ROUND((BE25+BF25)/2,0)</f>
        <v/>
      </c>
      <c r="BH25" s="11" t="n">
        <v>0</v>
      </c>
      <c r="BI25" s="278" t="n"/>
      <c r="BJ25" s="11" t="n"/>
      <c r="BK25" s="280">
        <f>$G25+BI25-BG25</f>
        <v/>
      </c>
      <c r="BL25" s="277">
        <f>$G25+BJ25-BH25</f>
        <v/>
      </c>
      <c r="BM25" s="278" t="n">
        <v>0</v>
      </c>
      <c r="BN25" s="278" t="n">
        <v>0</v>
      </c>
      <c r="BO25" s="279">
        <f>ROUND((BM25+BN25)/2,0)</f>
        <v/>
      </c>
      <c r="BP25" s="11" t="n">
        <v>0</v>
      </c>
      <c r="BQ25" s="278" t="n"/>
      <c r="BR25" s="11" t="n"/>
      <c r="BS25" s="280">
        <f>$G25+BQ25-BO25</f>
        <v/>
      </c>
      <c r="BT25" s="277">
        <f>$G25+BR25-BP25</f>
        <v/>
      </c>
      <c r="BU25" s="278" t="n">
        <v>0</v>
      </c>
      <c r="BV25" s="278" t="n">
        <v>0</v>
      </c>
      <c r="BW25" s="279">
        <f>ROUND((BU25+BV25)/2,0)</f>
        <v/>
      </c>
      <c r="BX25" s="11" t="n">
        <v>0</v>
      </c>
      <c r="BY25" s="278" t="n"/>
      <c r="BZ25" s="11" t="n"/>
      <c r="CA25" s="280">
        <f>$G25+BY25-BW25</f>
        <v/>
      </c>
      <c r="CB25" s="277">
        <f>$G25+BZ25-BX25</f>
        <v/>
      </c>
      <c r="CC25" s="278" t="n">
        <v>0</v>
      </c>
      <c r="CD25" s="278" t="n">
        <v>0</v>
      </c>
      <c r="CE25" s="279">
        <f>ROUND((CC25+CD25)/2,0)</f>
        <v/>
      </c>
      <c r="CF25" s="11" t="n">
        <v>0</v>
      </c>
      <c r="CG25" s="278" t="n"/>
      <c r="CH25" s="11" t="n"/>
      <c r="CI25" s="280">
        <f>$G25+CG25-CE25</f>
        <v/>
      </c>
      <c r="CJ25" s="277">
        <f>$G25+CH25-CF25</f>
        <v/>
      </c>
      <c r="CK25" s="278" t="n">
        <v>0</v>
      </c>
      <c r="CL25" s="278" t="n">
        <v>0</v>
      </c>
      <c r="CM25" s="279">
        <f>ROUND((CK25+CL25)/2,0)</f>
        <v/>
      </c>
      <c r="CN25" s="11" t="n">
        <v>0</v>
      </c>
      <c r="CO25" s="278" t="n"/>
      <c r="CP25" s="277" t="n"/>
      <c r="CQ25" s="280">
        <f>$G25+CO25-CM25</f>
        <v/>
      </c>
      <c r="CR25" s="277">
        <f>$G25+CP25-CN25</f>
        <v/>
      </c>
      <c r="CS25" s="278" t="n">
        <v>0</v>
      </c>
      <c r="CT25" s="278" t="n">
        <v>0</v>
      </c>
      <c r="CU25" s="279">
        <f>ROUND((CS25+CT25)/2,0)</f>
        <v/>
      </c>
      <c r="CV25" s="11" t="n">
        <v>0</v>
      </c>
      <c r="CW25" s="278" t="n"/>
      <c r="CX25" s="277" t="n"/>
      <c r="CY25" s="280">
        <f>$G25+CW25-CU25</f>
        <v/>
      </c>
      <c r="CZ25" s="277">
        <f>$G25+CX25-CV25</f>
        <v/>
      </c>
    </row>
    <row r="26" ht="17.25" customHeight="1" s="480">
      <c r="A26" s="28" t="inlineStr">
        <is>
          <t>ABC23</t>
        </is>
      </c>
      <c r="B26" s="379" t="n"/>
      <c r="C26" s="27" t="n"/>
      <c r="D26" s="28">
        <f>_xlfn.XLOOKUP(A26,'ABC-XYZ분석 (2)'!C:C,'ABC-XYZ분석 (2)'!I:I)</f>
        <v/>
      </c>
      <c r="E26" s="28">
        <f>_xlfn.XLOOKUP(A26,'ABC-XYZ분석 (2)'!C:C,'ABC-XYZ분석 (2)'!AC:AC)</f>
        <v/>
      </c>
      <c r="F26" s="3">
        <f>_xlfn.XLOOKUP(A26,'ABC-XYZ분석 (2)'!C:C,'ABC-XYZ분석 (2)'!AG:AG)</f>
        <v/>
      </c>
      <c r="G26" s="14">
        <f>SUMIF(재고!C:C,PSI_메인!A26,재고!I:I)</f>
        <v/>
      </c>
      <c r="H26" s="277" t="n">
        <v>849</v>
      </c>
      <c r="I26" s="278" t="n">
        <v>0</v>
      </c>
      <c r="J26" s="278" t="n">
        <v>0</v>
      </c>
      <c r="K26" s="279" t="n">
        <v>375</v>
      </c>
      <c r="L26" s="11" t="n">
        <v>0</v>
      </c>
      <c r="M26" s="9">
        <f>SUMIFS(입항스케줄!J:J,입항스케줄!C:C,PSI_메인!A26,입항스케줄!U:U,"2601")</f>
        <v/>
      </c>
      <c r="N26" s="11">
        <f>SUMIFS(입항스케줄!J:J,입항스케줄!C:C,PSI_메인!A26,입항스케줄!V:V,"2601")</f>
        <v/>
      </c>
      <c r="O26" s="280">
        <f>$G26+M26-K26</f>
        <v/>
      </c>
      <c r="P26" s="277">
        <f>$G26+N26-L26</f>
        <v/>
      </c>
      <c r="Q26" s="278" t="n">
        <v>0</v>
      </c>
      <c r="R26" s="278" t="n">
        <v>0</v>
      </c>
      <c r="S26" s="10" t="n">
        <v>300</v>
      </c>
      <c r="T26" s="11" t="n">
        <v>0</v>
      </c>
      <c r="U26" s="9">
        <f>SUMIFS(입항스케줄!J:J,입항스케줄!C:C,PSI_메인!A26,입항스케줄!U:U,"2602")</f>
        <v/>
      </c>
      <c r="V26" s="11">
        <f>SUMIFS(입항스케줄!J:J,입항스케줄!C:C,PSI_메인!A26,입항스케줄!V:V,"2602")</f>
        <v/>
      </c>
      <c r="W26" s="280">
        <f>$G26+U26-S26</f>
        <v/>
      </c>
      <c r="X26" s="277">
        <f>$G26+V26-T26</f>
        <v/>
      </c>
      <c r="Y26" s="278" t="n">
        <v>0</v>
      </c>
      <c r="Z26" s="278" t="n">
        <v>0</v>
      </c>
      <c r="AA26" s="279">
        <f>ROUND((Y26+Z26)/2,0)</f>
        <v/>
      </c>
      <c r="AB26" s="11" t="n">
        <v>0</v>
      </c>
      <c r="AC26" s="9">
        <f>SUMIFS(입항스케줄!J:J,입항스케줄!C:C,PSI_메인!A26,입항스케줄!U:U,"2603")</f>
        <v/>
      </c>
      <c r="AD26" s="11">
        <f>SUMIFS(입항스케줄!J:J,입항스케줄!C:C,PSI_메인!A26,입항스케줄!V:V,"2603")</f>
        <v/>
      </c>
      <c r="AE26" s="280">
        <f>$G26+AC26-AA26</f>
        <v/>
      </c>
      <c r="AF26" s="277">
        <f>$G26+AD26-AB26</f>
        <v/>
      </c>
      <c r="AG26" s="278" t="n">
        <v>0</v>
      </c>
      <c r="AH26" s="278" t="n">
        <v>0</v>
      </c>
      <c r="AI26" s="279">
        <f>ROUND((AG26+AH26)/2,0)</f>
        <v/>
      </c>
      <c r="AJ26" s="11" t="n">
        <v>0</v>
      </c>
      <c r="AK26" s="9">
        <f>SUMIFS(입항스케줄!J:J,입항스케줄!C:C,PSI_메인!A26,입항스케줄!U:U,"2604")</f>
        <v/>
      </c>
      <c r="AL26" s="11">
        <f>SUMIFS(입항스케줄!J:J,입항스케줄!C:C,PSI_메인!A26,입항스케줄!V:V,"2604")</f>
        <v/>
      </c>
      <c r="AM26" s="280">
        <f>$G26+AK26-AI26</f>
        <v/>
      </c>
      <c r="AN26" s="277">
        <f>$G26+AL26-AJ26</f>
        <v/>
      </c>
      <c r="AO26" s="278" t="n">
        <v>0</v>
      </c>
      <c r="AP26" s="278" t="n">
        <v>0</v>
      </c>
      <c r="AQ26" s="279">
        <f>ROUND((AO26+AP26)/2,0)</f>
        <v/>
      </c>
      <c r="AR26" s="11" t="n">
        <v>0</v>
      </c>
      <c r="AS26" s="9" t="n"/>
      <c r="AT26" s="277" t="n"/>
      <c r="AU26" s="280">
        <f>$G26+AS26-AQ26</f>
        <v/>
      </c>
      <c r="AV26" s="277">
        <f>$G26+AT26-AR26</f>
        <v/>
      </c>
      <c r="AW26" s="278" t="n">
        <v>0</v>
      </c>
      <c r="AX26" s="278" t="n">
        <v>0</v>
      </c>
      <c r="AY26" s="279">
        <f>ROUND((AW26+AX26)/2,0)</f>
        <v/>
      </c>
      <c r="AZ26" s="11" t="n">
        <v>0</v>
      </c>
      <c r="BA26" s="9" t="n"/>
      <c r="BB26" s="11" t="n"/>
      <c r="BC26" s="280">
        <f>$G26+BA26-AY26</f>
        <v/>
      </c>
      <c r="BD26" s="277">
        <f>$G26+BB26-AZ26</f>
        <v/>
      </c>
      <c r="BE26" s="278" t="n">
        <v>0</v>
      </c>
      <c r="BF26" s="278" t="n">
        <v>0</v>
      </c>
      <c r="BG26" s="279">
        <f>ROUND((BE26+BF26)/2,0)</f>
        <v/>
      </c>
      <c r="BH26" s="11" t="n">
        <v>0</v>
      </c>
      <c r="BI26" s="278" t="n"/>
      <c r="BJ26" s="11" t="n"/>
      <c r="BK26" s="280">
        <f>$G26+BI26-BG26</f>
        <v/>
      </c>
      <c r="BL26" s="277">
        <f>$G26+BJ26-BH26</f>
        <v/>
      </c>
      <c r="BM26" s="278" t="n">
        <v>0</v>
      </c>
      <c r="BN26" s="278" t="n">
        <v>0</v>
      </c>
      <c r="BO26" s="279">
        <f>ROUND((BM26+BN26)/2,0)</f>
        <v/>
      </c>
      <c r="BP26" s="11" t="n">
        <v>0</v>
      </c>
      <c r="BQ26" s="278" t="n"/>
      <c r="BR26" s="11" t="n"/>
      <c r="BS26" s="280">
        <f>$G26+BQ26-BO26</f>
        <v/>
      </c>
      <c r="BT26" s="277">
        <f>$G26+BR26-BP26</f>
        <v/>
      </c>
      <c r="BU26" s="278" t="n">
        <v>0</v>
      </c>
      <c r="BV26" s="278" t="n">
        <v>0</v>
      </c>
      <c r="BW26" s="279">
        <f>ROUND((BU26+BV26)/2,0)</f>
        <v/>
      </c>
      <c r="BX26" s="11" t="n">
        <v>0</v>
      </c>
      <c r="BY26" s="278" t="n"/>
      <c r="BZ26" s="11" t="n"/>
      <c r="CA26" s="280">
        <f>$G26+BY26-BW26</f>
        <v/>
      </c>
      <c r="CB26" s="277">
        <f>$G26+BZ26-BX26</f>
        <v/>
      </c>
      <c r="CC26" s="278" t="n">
        <v>0</v>
      </c>
      <c r="CD26" s="278" t="n">
        <v>0</v>
      </c>
      <c r="CE26" s="279">
        <f>ROUND((CC26+CD26)/2,0)</f>
        <v/>
      </c>
      <c r="CF26" s="11" t="n">
        <v>0</v>
      </c>
      <c r="CG26" s="278" t="n"/>
      <c r="CH26" s="11" t="n"/>
      <c r="CI26" s="280">
        <f>$G26+CG26-CE26</f>
        <v/>
      </c>
      <c r="CJ26" s="277">
        <f>$G26+CH26-CF26</f>
        <v/>
      </c>
      <c r="CK26" s="278" t="n">
        <v>0</v>
      </c>
      <c r="CL26" s="278" t="n">
        <v>0</v>
      </c>
      <c r="CM26" s="279">
        <f>ROUND((CK26+CL26)/2,0)</f>
        <v/>
      </c>
      <c r="CN26" s="11" t="n">
        <v>0</v>
      </c>
      <c r="CO26" s="278" t="n"/>
      <c r="CP26" s="277" t="n"/>
      <c r="CQ26" s="280">
        <f>$G26+CO26-CM26</f>
        <v/>
      </c>
      <c r="CR26" s="277">
        <f>$G26+CP26-CN26</f>
        <v/>
      </c>
      <c r="CS26" s="278" t="n">
        <v>0</v>
      </c>
      <c r="CT26" s="278" t="n">
        <v>0</v>
      </c>
      <c r="CU26" s="279">
        <f>ROUND((CS26+CT26)/2,0)</f>
        <v/>
      </c>
      <c r="CV26" s="11" t="n">
        <v>0</v>
      </c>
      <c r="CW26" s="278" t="n"/>
      <c r="CX26" s="277" t="n"/>
      <c r="CY26" s="280">
        <f>$G26+CW26-CU26</f>
        <v/>
      </c>
      <c r="CZ26" s="277">
        <f>$G26+CX26-CV26</f>
        <v/>
      </c>
    </row>
    <row r="27" ht="17.25" customHeight="1" s="480">
      <c r="A27" s="28" t="inlineStr">
        <is>
          <t>ABC24</t>
        </is>
      </c>
      <c r="B27" s="379" t="n"/>
      <c r="C27" s="27" t="n"/>
      <c r="D27" s="28">
        <f>_xlfn.XLOOKUP(A27,'ABC-XYZ분석 (2)'!C:C,'ABC-XYZ분석 (2)'!I:I)</f>
        <v/>
      </c>
      <c r="E27" s="28">
        <f>_xlfn.XLOOKUP(A27,'ABC-XYZ분석 (2)'!C:C,'ABC-XYZ분석 (2)'!AC:AC)</f>
        <v/>
      </c>
      <c r="F27" s="3">
        <f>_xlfn.XLOOKUP(A27,'ABC-XYZ분석 (2)'!C:C,'ABC-XYZ분석 (2)'!AG:AG)</f>
        <v/>
      </c>
      <c r="G27" s="14">
        <f>SUMIF(재고!C:C,PSI_메인!A27,재고!I:I)</f>
        <v/>
      </c>
      <c r="H27" s="277" t="n">
        <v>426</v>
      </c>
      <c r="I27" s="278" t="n">
        <v>0</v>
      </c>
      <c r="J27" s="278" t="n">
        <v>0</v>
      </c>
      <c r="K27" s="279" t="n">
        <v>200</v>
      </c>
      <c r="L27" s="11" t="n">
        <v>0</v>
      </c>
      <c r="M27" s="9">
        <f>SUMIFS(입항스케줄!J:J,입항스케줄!C:C,PSI_메인!A27,입항스케줄!U:U,"2601")</f>
        <v/>
      </c>
      <c r="N27" s="11">
        <f>SUMIFS(입항스케줄!J:J,입항스케줄!C:C,PSI_메인!A27,입항스케줄!V:V,"2601")</f>
        <v/>
      </c>
      <c r="O27" s="280">
        <f>$G27+M27-K27</f>
        <v/>
      </c>
      <c r="P27" s="277">
        <f>$G27+N27-L27</f>
        <v/>
      </c>
      <c r="Q27" s="278" t="n">
        <v>0</v>
      </c>
      <c r="R27" s="278" t="n">
        <v>0</v>
      </c>
      <c r="S27" s="10" t="n">
        <v>0</v>
      </c>
      <c r="T27" s="11" t="n">
        <v>0</v>
      </c>
      <c r="U27" s="9">
        <f>SUMIFS(입항스케줄!J:J,입항스케줄!C:C,PSI_메인!A27,입항스케줄!U:U,"2602")</f>
        <v/>
      </c>
      <c r="V27" s="11">
        <f>SUMIFS(입항스케줄!J:J,입항스케줄!C:C,PSI_메인!A27,입항스케줄!V:V,"2602")</f>
        <v/>
      </c>
      <c r="W27" s="280">
        <f>$G27+U27-S27</f>
        <v/>
      </c>
      <c r="X27" s="277">
        <f>$G27+V27-T27</f>
        <v/>
      </c>
      <c r="Y27" s="278" t="n">
        <v>0</v>
      </c>
      <c r="Z27" s="278" t="n">
        <v>0</v>
      </c>
      <c r="AA27" s="279">
        <f>ROUND((Y27+Z27)/2,0)</f>
        <v/>
      </c>
      <c r="AB27" s="11" t="n">
        <v>0</v>
      </c>
      <c r="AC27" s="9">
        <f>SUMIFS(입항스케줄!J:J,입항스케줄!C:C,PSI_메인!A27,입항스케줄!U:U,"2603")</f>
        <v/>
      </c>
      <c r="AD27" s="11">
        <f>SUMIFS(입항스케줄!J:J,입항스케줄!C:C,PSI_메인!A27,입항스케줄!V:V,"2603")</f>
        <v/>
      </c>
      <c r="AE27" s="280">
        <f>$G27+AC27-AA27</f>
        <v/>
      </c>
      <c r="AF27" s="277">
        <f>$G27+AD27-AB27</f>
        <v/>
      </c>
      <c r="AG27" s="278" t="n">
        <v>0</v>
      </c>
      <c r="AH27" s="278" t="n">
        <v>0</v>
      </c>
      <c r="AI27" s="279">
        <f>ROUND((AG27+AH27)/2,0)</f>
        <v/>
      </c>
      <c r="AJ27" s="11" t="n">
        <v>0</v>
      </c>
      <c r="AK27" s="9">
        <f>SUMIFS(입항스케줄!J:J,입항스케줄!C:C,PSI_메인!A27,입항스케줄!U:U,"2604")</f>
        <v/>
      </c>
      <c r="AL27" s="11">
        <f>SUMIFS(입항스케줄!J:J,입항스케줄!C:C,PSI_메인!A27,입항스케줄!V:V,"2604")</f>
        <v/>
      </c>
      <c r="AM27" s="280">
        <f>$G27+AK27-AI27</f>
        <v/>
      </c>
      <c r="AN27" s="277">
        <f>$G27+AL27-AJ27</f>
        <v/>
      </c>
      <c r="AO27" s="278" t="n">
        <v>0</v>
      </c>
      <c r="AP27" s="278" t="n">
        <v>0</v>
      </c>
      <c r="AQ27" s="279">
        <f>ROUND((AO27+AP27)/2,0)</f>
        <v/>
      </c>
      <c r="AR27" s="11" t="n">
        <v>0</v>
      </c>
      <c r="AS27" s="9" t="n"/>
      <c r="AT27" s="277" t="n"/>
      <c r="AU27" s="280">
        <f>$G27+AS27-AQ27</f>
        <v/>
      </c>
      <c r="AV27" s="277">
        <f>$G27+AT27-AR27</f>
        <v/>
      </c>
      <c r="AW27" s="278" t="n">
        <v>0</v>
      </c>
      <c r="AX27" s="278" t="n">
        <v>0</v>
      </c>
      <c r="AY27" s="279">
        <f>ROUND((AW27+AX27)/2,0)</f>
        <v/>
      </c>
      <c r="AZ27" s="11" t="n">
        <v>0</v>
      </c>
      <c r="BA27" s="9" t="n"/>
      <c r="BB27" s="11" t="n"/>
      <c r="BC27" s="280">
        <f>$G27+BA27-AY27</f>
        <v/>
      </c>
      <c r="BD27" s="277">
        <f>$G27+BB27-AZ27</f>
        <v/>
      </c>
      <c r="BE27" s="278" t="n">
        <v>0</v>
      </c>
      <c r="BF27" s="278" t="n">
        <v>0</v>
      </c>
      <c r="BG27" s="279">
        <f>ROUND((BE27+BF27)/2,0)</f>
        <v/>
      </c>
      <c r="BH27" s="11" t="n">
        <v>0</v>
      </c>
      <c r="BI27" s="278" t="n"/>
      <c r="BJ27" s="11" t="n"/>
      <c r="BK27" s="280">
        <f>$G27+BI27-BG27</f>
        <v/>
      </c>
      <c r="BL27" s="277">
        <f>$G27+BJ27-BH27</f>
        <v/>
      </c>
      <c r="BM27" s="278" t="n">
        <v>0</v>
      </c>
      <c r="BN27" s="278" t="n">
        <v>0</v>
      </c>
      <c r="BO27" s="279">
        <f>ROUND((BM27+BN27)/2,0)</f>
        <v/>
      </c>
      <c r="BP27" s="11" t="n">
        <v>0</v>
      </c>
      <c r="BQ27" s="278" t="n"/>
      <c r="BR27" s="11" t="n"/>
      <c r="BS27" s="280">
        <f>$G27+BQ27-BO27</f>
        <v/>
      </c>
      <c r="BT27" s="277">
        <f>$G27+BR27-BP27</f>
        <v/>
      </c>
      <c r="BU27" s="278" t="n">
        <v>0</v>
      </c>
      <c r="BV27" s="278" t="n">
        <v>0</v>
      </c>
      <c r="BW27" s="279">
        <f>ROUND((BU27+BV27)/2,0)</f>
        <v/>
      </c>
      <c r="BX27" s="11" t="n">
        <v>0</v>
      </c>
      <c r="BY27" s="278" t="n"/>
      <c r="BZ27" s="11" t="n"/>
      <c r="CA27" s="280">
        <f>$G27+BY27-BW27</f>
        <v/>
      </c>
      <c r="CB27" s="277">
        <f>$G27+BZ27-BX27</f>
        <v/>
      </c>
      <c r="CC27" s="278" t="n">
        <v>0</v>
      </c>
      <c r="CD27" s="278" t="n">
        <v>0</v>
      </c>
      <c r="CE27" s="279">
        <f>ROUND((CC27+CD27)/2,0)</f>
        <v/>
      </c>
      <c r="CF27" s="11" t="n">
        <v>0</v>
      </c>
      <c r="CG27" s="278" t="n"/>
      <c r="CH27" s="11" t="n"/>
      <c r="CI27" s="280">
        <f>$G27+CG27-CE27</f>
        <v/>
      </c>
      <c r="CJ27" s="277">
        <f>$G27+CH27-CF27</f>
        <v/>
      </c>
      <c r="CK27" s="278" t="n">
        <v>0</v>
      </c>
      <c r="CL27" s="278" t="n">
        <v>0</v>
      </c>
      <c r="CM27" s="279">
        <f>ROUND((CK27+CL27)/2,0)</f>
        <v/>
      </c>
      <c r="CN27" s="11" t="n">
        <v>0</v>
      </c>
      <c r="CO27" s="278" t="n"/>
      <c r="CP27" s="277" t="n"/>
      <c r="CQ27" s="280">
        <f>$G27+CO27-CM27</f>
        <v/>
      </c>
      <c r="CR27" s="277">
        <f>$G27+CP27-CN27</f>
        <v/>
      </c>
      <c r="CS27" s="278" t="n">
        <v>0</v>
      </c>
      <c r="CT27" s="278" t="n">
        <v>0</v>
      </c>
      <c r="CU27" s="279">
        <f>ROUND((CS27+CT27)/2,0)</f>
        <v/>
      </c>
      <c r="CV27" s="11" t="n">
        <v>0</v>
      </c>
      <c r="CW27" s="278" t="n"/>
      <c r="CX27" s="277" t="n"/>
      <c r="CY27" s="280">
        <f>$G27+CW27-CU27</f>
        <v/>
      </c>
      <c r="CZ27" s="277">
        <f>$G27+CX27-CV27</f>
        <v/>
      </c>
    </row>
    <row r="28" ht="17.25" customHeight="1" s="480">
      <c r="A28" s="28" t="inlineStr">
        <is>
          <t>ABC25</t>
        </is>
      </c>
      <c r="B28" s="379" t="n"/>
      <c r="C28" s="27" t="n"/>
      <c r="D28" s="28">
        <f>_xlfn.XLOOKUP(A28,'ABC-XYZ분석 (2)'!C:C,'ABC-XYZ분석 (2)'!I:I)</f>
        <v/>
      </c>
      <c r="E28" s="28">
        <f>_xlfn.XLOOKUP(A28,'ABC-XYZ분석 (2)'!C:C,'ABC-XYZ분석 (2)'!AC:AC)</f>
        <v/>
      </c>
      <c r="F28" s="3">
        <f>_xlfn.XLOOKUP(A28,'ABC-XYZ분석 (2)'!C:C,'ABC-XYZ분석 (2)'!AG:AG)</f>
        <v/>
      </c>
      <c r="G28" s="14">
        <f>SUMIF(재고!C:C,PSI_메인!A28,재고!I:I)</f>
        <v/>
      </c>
      <c r="H28" s="277" t="n">
        <v>1199</v>
      </c>
      <c r="I28" s="278" t="n">
        <v>0</v>
      </c>
      <c r="J28" s="278" t="n">
        <v>0</v>
      </c>
      <c r="K28" s="279" t="n">
        <v>250</v>
      </c>
      <c r="L28" s="11" t="n">
        <v>0</v>
      </c>
      <c r="M28" s="9">
        <f>SUMIFS(입항스케줄!J:J,입항스케줄!C:C,PSI_메인!A28,입항스케줄!U:U,"2601")</f>
        <v/>
      </c>
      <c r="N28" s="11">
        <f>SUMIFS(입항스케줄!J:J,입항스케줄!C:C,PSI_메인!A28,입항스케줄!V:V,"2601")</f>
        <v/>
      </c>
      <c r="O28" s="280">
        <f>$G28+M28-K28</f>
        <v/>
      </c>
      <c r="P28" s="277">
        <f>$G28+N28-L28</f>
        <v/>
      </c>
      <c r="Q28" s="278" t="n">
        <v>0</v>
      </c>
      <c r="R28" s="278" t="n">
        <v>0</v>
      </c>
      <c r="S28" s="10" t="n">
        <v>600</v>
      </c>
      <c r="T28" s="11" t="n">
        <v>0</v>
      </c>
      <c r="U28" s="9">
        <f>SUMIFS(입항스케줄!J:J,입항스케줄!C:C,PSI_메인!A28,입항스케줄!U:U,"2602")</f>
        <v/>
      </c>
      <c r="V28" s="11">
        <f>SUMIFS(입항스케줄!J:J,입항스케줄!C:C,PSI_메인!A28,입항스케줄!V:V,"2602")</f>
        <v/>
      </c>
      <c r="W28" s="280">
        <f>$G28+U28-S28</f>
        <v/>
      </c>
      <c r="X28" s="277">
        <f>$G28+V28-T28</f>
        <v/>
      </c>
      <c r="Y28" s="278" t="n">
        <v>0</v>
      </c>
      <c r="Z28" s="278" t="n">
        <v>0</v>
      </c>
      <c r="AA28" s="279">
        <f>ROUND((Y28+Z28)/2,0)</f>
        <v/>
      </c>
      <c r="AB28" s="11" t="n">
        <v>0</v>
      </c>
      <c r="AC28" s="9">
        <f>SUMIFS(입항스케줄!J:J,입항스케줄!C:C,PSI_메인!A28,입항스케줄!U:U,"2603")</f>
        <v/>
      </c>
      <c r="AD28" s="11">
        <f>SUMIFS(입항스케줄!J:J,입항스케줄!C:C,PSI_메인!A28,입항스케줄!V:V,"2603")</f>
        <v/>
      </c>
      <c r="AE28" s="280">
        <f>$G28+AC28-AA28</f>
        <v/>
      </c>
      <c r="AF28" s="277">
        <f>$G28+AD28-AB28</f>
        <v/>
      </c>
      <c r="AG28" s="278" t="n">
        <v>0</v>
      </c>
      <c r="AH28" s="278" t="n">
        <v>0</v>
      </c>
      <c r="AI28" s="279">
        <f>ROUND((AG28+AH28)/2,0)</f>
        <v/>
      </c>
      <c r="AJ28" s="11" t="n">
        <v>0</v>
      </c>
      <c r="AK28" s="9">
        <f>SUMIFS(입항스케줄!J:J,입항스케줄!C:C,PSI_메인!A28,입항스케줄!U:U,"2604")</f>
        <v/>
      </c>
      <c r="AL28" s="11">
        <f>SUMIFS(입항스케줄!J:J,입항스케줄!C:C,PSI_메인!A28,입항스케줄!V:V,"2604")</f>
        <v/>
      </c>
      <c r="AM28" s="280">
        <f>$G28+AK28-AI28</f>
        <v/>
      </c>
      <c r="AN28" s="277">
        <f>$G28+AL28-AJ28</f>
        <v/>
      </c>
      <c r="AO28" s="278" t="n">
        <v>0</v>
      </c>
      <c r="AP28" s="278" t="n">
        <v>0</v>
      </c>
      <c r="AQ28" s="279">
        <f>ROUND((AO28+AP28)/2,0)</f>
        <v/>
      </c>
      <c r="AR28" s="11" t="n">
        <v>0</v>
      </c>
      <c r="AS28" s="9" t="n"/>
      <c r="AT28" s="277" t="n"/>
      <c r="AU28" s="280">
        <f>$G28+AS28-AQ28</f>
        <v/>
      </c>
      <c r="AV28" s="277">
        <f>$G28+AT28-AR28</f>
        <v/>
      </c>
      <c r="AW28" s="278" t="n">
        <v>0</v>
      </c>
      <c r="AX28" s="278" t="n">
        <v>0</v>
      </c>
      <c r="AY28" s="279">
        <f>ROUND((AW28+AX28)/2,0)</f>
        <v/>
      </c>
      <c r="AZ28" s="11" t="n">
        <v>0</v>
      </c>
      <c r="BA28" s="9" t="n"/>
      <c r="BB28" s="11" t="n"/>
      <c r="BC28" s="280">
        <f>$G28+BA28-AY28</f>
        <v/>
      </c>
      <c r="BD28" s="277">
        <f>$G28+BB28-AZ28</f>
        <v/>
      </c>
      <c r="BE28" s="278" t="n">
        <v>0</v>
      </c>
      <c r="BF28" s="278" t="n">
        <v>0</v>
      </c>
      <c r="BG28" s="279">
        <f>ROUND((BE28+BF28)/2,0)</f>
        <v/>
      </c>
      <c r="BH28" s="11" t="n">
        <v>0</v>
      </c>
      <c r="BI28" s="278" t="n"/>
      <c r="BJ28" s="11" t="n"/>
      <c r="BK28" s="280">
        <f>$G28+BI28-BG28</f>
        <v/>
      </c>
      <c r="BL28" s="277">
        <f>$G28+BJ28-BH28</f>
        <v/>
      </c>
      <c r="BM28" s="278" t="n">
        <v>0</v>
      </c>
      <c r="BN28" s="278" t="n">
        <v>0</v>
      </c>
      <c r="BO28" s="279">
        <f>ROUND((BM28+BN28)/2,0)</f>
        <v/>
      </c>
      <c r="BP28" s="11" t="n">
        <v>0</v>
      </c>
      <c r="BQ28" s="278" t="n"/>
      <c r="BR28" s="11" t="n"/>
      <c r="BS28" s="280">
        <f>$G28+BQ28-BO28</f>
        <v/>
      </c>
      <c r="BT28" s="277">
        <f>$G28+BR28-BP28</f>
        <v/>
      </c>
      <c r="BU28" s="278" t="n">
        <v>0</v>
      </c>
      <c r="BV28" s="278" t="n">
        <v>0</v>
      </c>
      <c r="BW28" s="279">
        <f>ROUND((BU28+BV28)/2,0)</f>
        <v/>
      </c>
      <c r="BX28" s="11" t="n">
        <v>0</v>
      </c>
      <c r="BY28" s="278" t="n"/>
      <c r="BZ28" s="11" t="n"/>
      <c r="CA28" s="280">
        <f>$G28+BY28-BW28</f>
        <v/>
      </c>
      <c r="CB28" s="277">
        <f>$G28+BZ28-BX28</f>
        <v/>
      </c>
      <c r="CC28" s="278" t="n">
        <v>0</v>
      </c>
      <c r="CD28" s="278" t="n">
        <v>0</v>
      </c>
      <c r="CE28" s="279">
        <f>ROUND((CC28+CD28)/2,0)</f>
        <v/>
      </c>
      <c r="CF28" s="11" t="n">
        <v>0</v>
      </c>
      <c r="CG28" s="278" t="n"/>
      <c r="CH28" s="11" t="n"/>
      <c r="CI28" s="280">
        <f>$G28+CG28-CE28</f>
        <v/>
      </c>
      <c r="CJ28" s="277">
        <f>$G28+CH28-CF28</f>
        <v/>
      </c>
      <c r="CK28" s="278" t="n">
        <v>0</v>
      </c>
      <c r="CL28" s="278" t="n">
        <v>0</v>
      </c>
      <c r="CM28" s="279">
        <f>ROUND((CK28+CL28)/2,0)</f>
        <v/>
      </c>
      <c r="CN28" s="11" t="n">
        <v>0</v>
      </c>
      <c r="CO28" s="278" t="n"/>
      <c r="CP28" s="277" t="n"/>
      <c r="CQ28" s="280">
        <f>$G28+CO28-CM28</f>
        <v/>
      </c>
      <c r="CR28" s="277">
        <f>$G28+CP28-CN28</f>
        <v/>
      </c>
      <c r="CS28" s="278" t="n">
        <v>0</v>
      </c>
      <c r="CT28" s="278" t="n">
        <v>0</v>
      </c>
      <c r="CU28" s="279">
        <f>ROUND((CS28+CT28)/2,0)</f>
        <v/>
      </c>
      <c r="CV28" s="11" t="n">
        <v>0</v>
      </c>
      <c r="CW28" s="278" t="n"/>
      <c r="CX28" s="277" t="n"/>
      <c r="CY28" s="280">
        <f>$G28+CW28-CU28</f>
        <v/>
      </c>
      <c r="CZ28" s="277">
        <f>$G28+CX28-CV28</f>
        <v/>
      </c>
    </row>
    <row r="29" ht="17.25" customHeight="1" s="480">
      <c r="A29" s="28" t="inlineStr">
        <is>
          <t>ABC26</t>
        </is>
      </c>
      <c r="B29" s="379" t="n"/>
      <c r="C29" s="27" t="n"/>
      <c r="D29" s="28">
        <f>_xlfn.XLOOKUP(A29,'ABC-XYZ분석 (2)'!C:C,'ABC-XYZ분석 (2)'!I:I)</f>
        <v/>
      </c>
      <c r="E29" s="28">
        <f>_xlfn.XLOOKUP(A29,'ABC-XYZ분석 (2)'!C:C,'ABC-XYZ분석 (2)'!AC:AC)</f>
        <v/>
      </c>
      <c r="F29" s="3">
        <f>_xlfn.XLOOKUP(A29,'ABC-XYZ분석 (2)'!C:C,'ABC-XYZ분석 (2)'!AG:AG)</f>
        <v/>
      </c>
      <c r="G29" s="14">
        <f>SUMIF(재고!C:C,PSI_메인!A29,재고!I:I)</f>
        <v/>
      </c>
      <c r="H29" s="277" t="n">
        <v>544</v>
      </c>
      <c r="I29" s="278" t="n">
        <v>0</v>
      </c>
      <c r="J29" s="278" t="n">
        <v>0</v>
      </c>
      <c r="K29" s="279" t="n">
        <v>412.5</v>
      </c>
      <c r="L29" s="11" t="n">
        <v>0</v>
      </c>
      <c r="M29" s="9">
        <f>SUMIFS(입항스케줄!J:J,입항스케줄!C:C,PSI_메인!A29,입항스케줄!U:U,"2601")</f>
        <v/>
      </c>
      <c r="N29" s="11">
        <f>SUMIFS(입항스케줄!J:J,입항스케줄!C:C,PSI_메인!A29,입항스케줄!V:V,"2601")</f>
        <v/>
      </c>
      <c r="O29" s="280">
        <f>$G29+M29-K29</f>
        <v/>
      </c>
      <c r="P29" s="277">
        <f>$G29+N29-L29</f>
        <v/>
      </c>
      <c r="Q29" s="278" t="n">
        <v>0</v>
      </c>
      <c r="R29" s="278" t="n">
        <v>0</v>
      </c>
      <c r="S29" s="10" t="n">
        <v>300</v>
      </c>
      <c r="T29" s="11" t="n">
        <v>0</v>
      </c>
      <c r="U29" s="9">
        <f>SUMIFS(입항스케줄!J:J,입항스케줄!C:C,PSI_메인!A29,입항스케줄!U:U,"2602")</f>
        <v/>
      </c>
      <c r="V29" s="11">
        <f>SUMIFS(입항스케줄!J:J,입항스케줄!C:C,PSI_메인!A29,입항스케줄!V:V,"2602")</f>
        <v/>
      </c>
      <c r="W29" s="280">
        <f>$G29+U29-S29</f>
        <v/>
      </c>
      <c r="X29" s="277">
        <f>$G29+V29-T29</f>
        <v/>
      </c>
      <c r="Y29" s="278" t="n">
        <v>0</v>
      </c>
      <c r="Z29" s="278" t="n">
        <v>0</v>
      </c>
      <c r="AA29" s="279">
        <f>ROUND((Y29+Z29)/2,0)</f>
        <v/>
      </c>
      <c r="AB29" s="11" t="n">
        <v>0</v>
      </c>
      <c r="AC29" s="9">
        <f>SUMIFS(입항스케줄!J:J,입항스케줄!C:C,PSI_메인!A29,입항스케줄!U:U,"2603")</f>
        <v/>
      </c>
      <c r="AD29" s="11">
        <f>SUMIFS(입항스케줄!J:J,입항스케줄!C:C,PSI_메인!A29,입항스케줄!V:V,"2603")</f>
        <v/>
      </c>
      <c r="AE29" s="280">
        <f>$G29+AC29-AA29</f>
        <v/>
      </c>
      <c r="AF29" s="277">
        <f>$G29+AD29-AB29</f>
        <v/>
      </c>
      <c r="AG29" s="278" t="n">
        <v>0</v>
      </c>
      <c r="AH29" s="278" t="n">
        <v>0</v>
      </c>
      <c r="AI29" s="279">
        <f>ROUND((AG29+AH29)/2,0)</f>
        <v/>
      </c>
      <c r="AJ29" s="11" t="n">
        <v>0</v>
      </c>
      <c r="AK29" s="9">
        <f>SUMIFS(입항스케줄!J:J,입항스케줄!C:C,PSI_메인!A29,입항스케줄!U:U,"2604")</f>
        <v/>
      </c>
      <c r="AL29" s="11">
        <f>SUMIFS(입항스케줄!J:J,입항스케줄!C:C,PSI_메인!A29,입항스케줄!V:V,"2604")</f>
        <v/>
      </c>
      <c r="AM29" s="280">
        <f>$G29+AK29-AI29</f>
        <v/>
      </c>
      <c r="AN29" s="277">
        <f>$G29+AL29-AJ29</f>
        <v/>
      </c>
      <c r="AO29" s="278" t="n">
        <v>0</v>
      </c>
      <c r="AP29" s="278" t="n">
        <v>0</v>
      </c>
      <c r="AQ29" s="279">
        <f>ROUND((AO29+AP29)/2,0)</f>
        <v/>
      </c>
      <c r="AR29" s="11" t="n">
        <v>0</v>
      </c>
      <c r="AS29" s="9" t="n"/>
      <c r="AT29" s="277" t="n"/>
      <c r="AU29" s="280">
        <f>$G29+AS29-AQ29</f>
        <v/>
      </c>
      <c r="AV29" s="277">
        <f>$G29+AT29-AR29</f>
        <v/>
      </c>
      <c r="AW29" s="278" t="n">
        <v>0</v>
      </c>
      <c r="AX29" s="278" t="n">
        <v>0</v>
      </c>
      <c r="AY29" s="279">
        <f>ROUND((AW29+AX29)/2,0)</f>
        <v/>
      </c>
      <c r="AZ29" s="11" t="n">
        <v>0</v>
      </c>
      <c r="BA29" s="9" t="n"/>
      <c r="BB29" s="11" t="n"/>
      <c r="BC29" s="280">
        <f>$G29+BA29-AY29</f>
        <v/>
      </c>
      <c r="BD29" s="277">
        <f>$G29+BB29-AZ29</f>
        <v/>
      </c>
      <c r="BE29" s="278" t="n">
        <v>0</v>
      </c>
      <c r="BF29" s="278" t="n">
        <v>0</v>
      </c>
      <c r="BG29" s="279">
        <f>ROUND((BE29+BF29)/2,0)</f>
        <v/>
      </c>
      <c r="BH29" s="11" t="n">
        <v>0</v>
      </c>
      <c r="BI29" s="278" t="n"/>
      <c r="BJ29" s="11" t="n"/>
      <c r="BK29" s="280">
        <f>$G29+BI29-BG29</f>
        <v/>
      </c>
      <c r="BL29" s="277">
        <f>$G29+BJ29-BH29</f>
        <v/>
      </c>
      <c r="BM29" s="278" t="n">
        <v>0</v>
      </c>
      <c r="BN29" s="278" t="n">
        <v>0</v>
      </c>
      <c r="BO29" s="279">
        <f>ROUND((BM29+BN29)/2,0)</f>
        <v/>
      </c>
      <c r="BP29" s="11" t="n">
        <v>0</v>
      </c>
      <c r="BQ29" s="278" t="n"/>
      <c r="BR29" s="11" t="n"/>
      <c r="BS29" s="280">
        <f>$G29+BQ29-BO29</f>
        <v/>
      </c>
      <c r="BT29" s="277">
        <f>$G29+BR29-BP29</f>
        <v/>
      </c>
      <c r="BU29" s="278" t="n">
        <v>0</v>
      </c>
      <c r="BV29" s="278" t="n">
        <v>0</v>
      </c>
      <c r="BW29" s="279">
        <f>ROUND((BU29+BV29)/2,0)</f>
        <v/>
      </c>
      <c r="BX29" s="11" t="n">
        <v>0</v>
      </c>
      <c r="BY29" s="278" t="n"/>
      <c r="BZ29" s="11" t="n"/>
      <c r="CA29" s="280">
        <f>$G29+BY29-BW29</f>
        <v/>
      </c>
      <c r="CB29" s="277">
        <f>$G29+BZ29-BX29</f>
        <v/>
      </c>
      <c r="CC29" s="278" t="n">
        <v>0</v>
      </c>
      <c r="CD29" s="278" t="n">
        <v>0</v>
      </c>
      <c r="CE29" s="279">
        <f>ROUND((CC29+CD29)/2,0)</f>
        <v/>
      </c>
      <c r="CF29" s="11" t="n">
        <v>0</v>
      </c>
      <c r="CG29" s="278" t="n"/>
      <c r="CH29" s="11" t="n"/>
      <c r="CI29" s="280">
        <f>$G29+CG29-CE29</f>
        <v/>
      </c>
      <c r="CJ29" s="277">
        <f>$G29+CH29-CF29</f>
        <v/>
      </c>
      <c r="CK29" s="278" t="n">
        <v>0</v>
      </c>
      <c r="CL29" s="278" t="n">
        <v>0</v>
      </c>
      <c r="CM29" s="279">
        <f>ROUND((CK29+CL29)/2,0)</f>
        <v/>
      </c>
      <c r="CN29" s="11" t="n">
        <v>0</v>
      </c>
      <c r="CO29" s="278" t="n"/>
      <c r="CP29" s="277" t="n"/>
      <c r="CQ29" s="280">
        <f>$G29+CO29-CM29</f>
        <v/>
      </c>
      <c r="CR29" s="277">
        <f>$G29+CP29-CN29</f>
        <v/>
      </c>
      <c r="CS29" s="278" t="n">
        <v>0</v>
      </c>
      <c r="CT29" s="278" t="n">
        <v>0</v>
      </c>
      <c r="CU29" s="279">
        <f>ROUND((CS29+CT29)/2,0)</f>
        <v/>
      </c>
      <c r="CV29" s="11" t="n">
        <v>0</v>
      </c>
      <c r="CW29" s="278" t="n"/>
      <c r="CX29" s="277" t="n"/>
      <c r="CY29" s="280">
        <f>$G29+CW29-CU29</f>
        <v/>
      </c>
      <c r="CZ29" s="277">
        <f>$G29+CX29-CV29</f>
        <v/>
      </c>
    </row>
    <row r="30" ht="17.25" customHeight="1" s="480">
      <c r="A30" s="28" t="inlineStr">
        <is>
          <t>ABC27</t>
        </is>
      </c>
      <c r="B30" s="379" t="n"/>
      <c r="C30" s="27" t="n"/>
      <c r="D30" s="28">
        <f>_xlfn.XLOOKUP(A30,'ABC-XYZ분석 (2)'!C:C,'ABC-XYZ분석 (2)'!I:I)</f>
        <v/>
      </c>
      <c r="E30" s="28">
        <f>_xlfn.XLOOKUP(A30,'ABC-XYZ분석 (2)'!C:C,'ABC-XYZ분석 (2)'!AC:AC)</f>
        <v/>
      </c>
      <c r="F30" s="3">
        <f>_xlfn.XLOOKUP(A30,'ABC-XYZ분석 (2)'!C:C,'ABC-XYZ분석 (2)'!AG:AG)</f>
        <v/>
      </c>
      <c r="G30" s="14">
        <f>SUMIF(재고!C:C,PSI_메인!A30,재고!I:I)</f>
        <v/>
      </c>
      <c r="H30" s="277" t="n">
        <v>436</v>
      </c>
      <c r="I30" s="278" t="n">
        <v>0</v>
      </c>
      <c r="J30" s="278" t="n">
        <v>0</v>
      </c>
      <c r="K30" s="279" t="n">
        <v>150</v>
      </c>
      <c r="L30" s="11" t="n">
        <v>0</v>
      </c>
      <c r="M30" s="9">
        <f>SUMIFS(입항스케줄!J:J,입항스케줄!C:C,PSI_메인!A30,입항스케줄!U:U,"2601")</f>
        <v/>
      </c>
      <c r="N30" s="11">
        <f>SUMIFS(입항스케줄!J:J,입항스케줄!C:C,PSI_메인!A30,입항스케줄!V:V,"2601")</f>
        <v/>
      </c>
      <c r="O30" s="280">
        <f>$G30+M30-K30</f>
        <v/>
      </c>
      <c r="P30" s="277">
        <f>$G30+N30-L30</f>
        <v/>
      </c>
      <c r="Q30" s="278" t="n">
        <v>0</v>
      </c>
      <c r="R30" s="278" t="n">
        <v>0</v>
      </c>
      <c r="S30" s="10" t="n">
        <v>150</v>
      </c>
      <c r="T30" s="11" t="n">
        <v>0</v>
      </c>
      <c r="U30" s="9">
        <f>SUMIFS(입항스케줄!J:J,입항스케줄!C:C,PSI_메인!A30,입항스케줄!U:U,"2602")</f>
        <v/>
      </c>
      <c r="V30" s="11">
        <f>SUMIFS(입항스케줄!J:J,입항스케줄!C:C,PSI_메인!A30,입항스케줄!V:V,"2602")</f>
        <v/>
      </c>
      <c r="W30" s="280">
        <f>$G30+U30-S30</f>
        <v/>
      </c>
      <c r="X30" s="277">
        <f>$G30+V30-T30</f>
        <v/>
      </c>
      <c r="Y30" s="278" t="n">
        <v>0</v>
      </c>
      <c r="Z30" s="278" t="n">
        <v>0</v>
      </c>
      <c r="AA30" s="279">
        <f>ROUND((Y30+Z30)/2,0)</f>
        <v/>
      </c>
      <c r="AB30" s="11" t="n">
        <v>0</v>
      </c>
      <c r="AC30" s="9">
        <f>SUMIFS(입항스케줄!J:J,입항스케줄!C:C,PSI_메인!A30,입항스케줄!U:U,"2603")</f>
        <v/>
      </c>
      <c r="AD30" s="11">
        <f>SUMIFS(입항스케줄!J:J,입항스케줄!C:C,PSI_메인!A30,입항스케줄!V:V,"2603")</f>
        <v/>
      </c>
      <c r="AE30" s="280">
        <f>$G30+AC30-AA30</f>
        <v/>
      </c>
      <c r="AF30" s="277">
        <f>$G30+AD30-AB30</f>
        <v/>
      </c>
      <c r="AG30" s="278" t="n">
        <v>0</v>
      </c>
      <c r="AH30" s="278" t="n">
        <v>0</v>
      </c>
      <c r="AI30" s="279">
        <f>ROUND((AG30+AH30)/2,0)</f>
        <v/>
      </c>
      <c r="AJ30" s="11" t="n">
        <v>0</v>
      </c>
      <c r="AK30" s="9">
        <f>SUMIFS(입항스케줄!J:J,입항스케줄!C:C,PSI_메인!A30,입항스케줄!U:U,"2604")</f>
        <v/>
      </c>
      <c r="AL30" s="11">
        <f>SUMIFS(입항스케줄!J:J,입항스케줄!C:C,PSI_메인!A30,입항스케줄!V:V,"2604")</f>
        <v/>
      </c>
      <c r="AM30" s="280">
        <f>$G30+AK30-AI30</f>
        <v/>
      </c>
      <c r="AN30" s="277">
        <f>$G30+AL30-AJ30</f>
        <v/>
      </c>
      <c r="AO30" s="278" t="n">
        <v>0</v>
      </c>
      <c r="AP30" s="278" t="n">
        <v>0</v>
      </c>
      <c r="AQ30" s="279">
        <f>ROUND((AO30+AP30)/2,0)</f>
        <v/>
      </c>
      <c r="AR30" s="11" t="n">
        <v>0</v>
      </c>
      <c r="AS30" s="9" t="n"/>
      <c r="AT30" s="277" t="n"/>
      <c r="AU30" s="280">
        <f>$G30+AS30-AQ30</f>
        <v/>
      </c>
      <c r="AV30" s="277">
        <f>$G30+AT30-AR30</f>
        <v/>
      </c>
      <c r="AW30" s="278" t="n">
        <v>0</v>
      </c>
      <c r="AX30" s="278" t="n">
        <v>0</v>
      </c>
      <c r="AY30" s="279">
        <f>ROUND((AW30+AX30)/2,0)</f>
        <v/>
      </c>
      <c r="AZ30" s="11" t="n">
        <v>0</v>
      </c>
      <c r="BA30" s="9" t="n"/>
      <c r="BB30" s="11" t="n"/>
      <c r="BC30" s="280">
        <f>$G30+BA30-AY30</f>
        <v/>
      </c>
      <c r="BD30" s="277">
        <f>$G30+BB30-AZ30</f>
        <v/>
      </c>
      <c r="BE30" s="278" t="n">
        <v>0</v>
      </c>
      <c r="BF30" s="278" t="n">
        <v>0</v>
      </c>
      <c r="BG30" s="279">
        <f>ROUND((BE30+BF30)/2,0)</f>
        <v/>
      </c>
      <c r="BH30" s="11" t="n">
        <v>0</v>
      </c>
      <c r="BI30" s="278" t="n"/>
      <c r="BJ30" s="11" t="n"/>
      <c r="BK30" s="280">
        <f>$G30+BI30-BG30</f>
        <v/>
      </c>
      <c r="BL30" s="277">
        <f>$G30+BJ30-BH30</f>
        <v/>
      </c>
      <c r="BM30" s="278" t="n">
        <v>0</v>
      </c>
      <c r="BN30" s="278" t="n">
        <v>0</v>
      </c>
      <c r="BO30" s="279">
        <f>ROUND((BM30+BN30)/2,0)</f>
        <v/>
      </c>
      <c r="BP30" s="11" t="n">
        <v>0</v>
      </c>
      <c r="BQ30" s="278" t="n"/>
      <c r="BR30" s="11" t="n"/>
      <c r="BS30" s="280">
        <f>$G30+BQ30-BO30</f>
        <v/>
      </c>
      <c r="BT30" s="277">
        <f>$G30+BR30-BP30</f>
        <v/>
      </c>
      <c r="BU30" s="278" t="n">
        <v>0</v>
      </c>
      <c r="BV30" s="278" t="n">
        <v>0</v>
      </c>
      <c r="BW30" s="279">
        <f>ROUND((BU30+BV30)/2,0)</f>
        <v/>
      </c>
      <c r="BX30" s="11" t="n">
        <v>0</v>
      </c>
      <c r="BY30" s="278" t="n"/>
      <c r="BZ30" s="11" t="n"/>
      <c r="CA30" s="280">
        <f>$G30+BY30-BW30</f>
        <v/>
      </c>
      <c r="CB30" s="277">
        <f>$G30+BZ30-BX30</f>
        <v/>
      </c>
      <c r="CC30" s="278" t="n">
        <v>0</v>
      </c>
      <c r="CD30" s="278" t="n">
        <v>0</v>
      </c>
      <c r="CE30" s="279">
        <f>ROUND((CC30+CD30)/2,0)</f>
        <v/>
      </c>
      <c r="CF30" s="11" t="n">
        <v>0</v>
      </c>
      <c r="CG30" s="278" t="n"/>
      <c r="CH30" s="11" t="n"/>
      <c r="CI30" s="280">
        <f>$G30+CG30-CE30</f>
        <v/>
      </c>
      <c r="CJ30" s="277">
        <f>$G30+CH30-CF30</f>
        <v/>
      </c>
      <c r="CK30" s="278" t="n">
        <v>0</v>
      </c>
      <c r="CL30" s="278" t="n">
        <v>0</v>
      </c>
      <c r="CM30" s="279">
        <f>ROUND((CK30+CL30)/2,0)</f>
        <v/>
      </c>
      <c r="CN30" s="11" t="n">
        <v>0</v>
      </c>
      <c r="CO30" s="278" t="n"/>
      <c r="CP30" s="277" t="n"/>
      <c r="CQ30" s="280">
        <f>$G30+CO30-CM30</f>
        <v/>
      </c>
      <c r="CR30" s="277">
        <f>$G30+CP30-CN30</f>
        <v/>
      </c>
      <c r="CS30" s="278" t="n">
        <v>0</v>
      </c>
      <c r="CT30" s="278" t="n">
        <v>0</v>
      </c>
      <c r="CU30" s="279">
        <f>ROUND((CS30+CT30)/2,0)</f>
        <v/>
      </c>
      <c r="CV30" s="11" t="n">
        <v>0</v>
      </c>
      <c r="CW30" s="278" t="n"/>
      <c r="CX30" s="277" t="n"/>
      <c r="CY30" s="280">
        <f>$G30+CW30-CU30</f>
        <v/>
      </c>
      <c r="CZ30" s="277">
        <f>$G30+CX30-CV30</f>
        <v/>
      </c>
    </row>
    <row r="31" ht="17.25" customHeight="1" s="480">
      <c r="A31" s="28" t="inlineStr">
        <is>
          <t>ABC28</t>
        </is>
      </c>
      <c r="B31" s="379" t="n"/>
      <c r="C31" s="27" t="n"/>
      <c r="D31" s="28">
        <f>_xlfn.XLOOKUP(A31,'ABC-XYZ분석 (2)'!C:C,'ABC-XYZ분석 (2)'!I:I)</f>
        <v/>
      </c>
      <c r="E31" s="28">
        <f>_xlfn.XLOOKUP(A31,'ABC-XYZ분석 (2)'!C:C,'ABC-XYZ분석 (2)'!AC:AC)</f>
        <v/>
      </c>
      <c r="F31" s="3">
        <f>_xlfn.XLOOKUP(A31,'ABC-XYZ분석 (2)'!C:C,'ABC-XYZ분석 (2)'!AG:AG)</f>
        <v/>
      </c>
      <c r="G31" s="14">
        <f>SUMIF(재고!C:C,PSI_메인!A31,재고!I:I)</f>
        <v/>
      </c>
      <c r="H31" s="277" t="n">
        <v>1351</v>
      </c>
      <c r="I31" s="278" t="n">
        <v>0</v>
      </c>
      <c r="J31" s="278" t="n">
        <v>0</v>
      </c>
      <c r="K31" s="279" t="n">
        <v>0</v>
      </c>
      <c r="L31" s="11" t="n">
        <v>0</v>
      </c>
      <c r="M31" s="9">
        <f>SUMIFS(입항스케줄!J:J,입항스케줄!C:C,PSI_메인!A31,입항스케줄!U:U,"2601")</f>
        <v/>
      </c>
      <c r="N31" s="11">
        <f>SUMIFS(입항스케줄!J:J,입항스케줄!C:C,PSI_메인!A31,입항스케줄!V:V,"2601")</f>
        <v/>
      </c>
      <c r="O31" s="280">
        <f>$G31+M31-K31</f>
        <v/>
      </c>
      <c r="P31" s="277">
        <f>$G31+N31-L31</f>
        <v/>
      </c>
      <c r="Q31" s="278" t="n">
        <v>0</v>
      </c>
      <c r="R31" s="278" t="n">
        <v>0</v>
      </c>
      <c r="S31" s="10" t="n">
        <v>0</v>
      </c>
      <c r="T31" s="11" t="n">
        <v>0</v>
      </c>
      <c r="U31" s="9">
        <f>SUMIFS(입항스케줄!J:J,입항스케줄!C:C,PSI_메인!A31,입항스케줄!U:U,"2602")</f>
        <v/>
      </c>
      <c r="V31" s="11">
        <f>SUMIFS(입항스케줄!J:J,입항스케줄!C:C,PSI_메인!A31,입항스케줄!V:V,"2602")</f>
        <v/>
      </c>
      <c r="W31" s="280">
        <f>$G31+U31-S31</f>
        <v/>
      </c>
      <c r="X31" s="277">
        <f>$G31+V31-T31</f>
        <v/>
      </c>
      <c r="Y31" s="278" t="n">
        <v>0</v>
      </c>
      <c r="Z31" s="278" t="n">
        <v>0</v>
      </c>
      <c r="AA31" s="279">
        <f>ROUND((Y31+Z31)/2,0)</f>
        <v/>
      </c>
      <c r="AB31" s="11" t="n">
        <v>0</v>
      </c>
      <c r="AC31" s="9">
        <f>SUMIFS(입항스케줄!J:J,입항스케줄!C:C,PSI_메인!A31,입항스케줄!U:U,"2603")</f>
        <v/>
      </c>
      <c r="AD31" s="11">
        <f>SUMIFS(입항스케줄!J:J,입항스케줄!C:C,PSI_메인!A31,입항스케줄!V:V,"2603")</f>
        <v/>
      </c>
      <c r="AE31" s="280">
        <f>$G31+AC31-AA31</f>
        <v/>
      </c>
      <c r="AF31" s="277">
        <f>$G31+AD31-AB31</f>
        <v/>
      </c>
      <c r="AG31" s="278" t="n">
        <v>0</v>
      </c>
      <c r="AH31" s="278" t="n">
        <v>0</v>
      </c>
      <c r="AI31" s="279">
        <f>ROUND((AG31+AH31)/2,0)</f>
        <v/>
      </c>
      <c r="AJ31" s="11" t="n">
        <v>0</v>
      </c>
      <c r="AK31" s="9">
        <f>SUMIFS(입항스케줄!J:J,입항스케줄!C:C,PSI_메인!A31,입항스케줄!U:U,"2604")</f>
        <v/>
      </c>
      <c r="AL31" s="11">
        <f>SUMIFS(입항스케줄!J:J,입항스케줄!C:C,PSI_메인!A31,입항스케줄!V:V,"2604")</f>
        <v/>
      </c>
      <c r="AM31" s="280">
        <f>$G31+AK31-AI31</f>
        <v/>
      </c>
      <c r="AN31" s="277">
        <f>$G31+AL31-AJ31</f>
        <v/>
      </c>
      <c r="AO31" s="278" t="n">
        <v>0</v>
      </c>
      <c r="AP31" s="278" t="n">
        <v>0</v>
      </c>
      <c r="AQ31" s="279">
        <f>ROUND((AO31+AP31)/2,0)</f>
        <v/>
      </c>
      <c r="AR31" s="11" t="n">
        <v>0</v>
      </c>
      <c r="AS31" s="9" t="n"/>
      <c r="AT31" s="277" t="n"/>
      <c r="AU31" s="280">
        <f>$G31+AS31-AQ31</f>
        <v/>
      </c>
      <c r="AV31" s="277">
        <f>$G31+AT31-AR31</f>
        <v/>
      </c>
      <c r="AW31" s="278" t="n">
        <v>0</v>
      </c>
      <c r="AX31" s="278" t="n">
        <v>0</v>
      </c>
      <c r="AY31" s="279">
        <f>ROUND((AW31+AX31)/2,0)</f>
        <v/>
      </c>
      <c r="AZ31" s="11" t="n">
        <v>0</v>
      </c>
      <c r="BA31" s="9" t="n"/>
      <c r="BB31" s="11" t="n"/>
      <c r="BC31" s="280">
        <f>$G31+BA31-AY31</f>
        <v/>
      </c>
      <c r="BD31" s="277">
        <f>$G31+BB31-AZ31</f>
        <v/>
      </c>
      <c r="BE31" s="278" t="n">
        <v>0</v>
      </c>
      <c r="BF31" s="278" t="n">
        <v>0</v>
      </c>
      <c r="BG31" s="279">
        <f>ROUND((BE31+BF31)/2,0)</f>
        <v/>
      </c>
      <c r="BH31" s="11" t="n">
        <v>0</v>
      </c>
      <c r="BI31" s="278" t="n"/>
      <c r="BJ31" s="11" t="n"/>
      <c r="BK31" s="280">
        <f>$G31+BI31-BG31</f>
        <v/>
      </c>
      <c r="BL31" s="277">
        <f>$G31+BJ31-BH31</f>
        <v/>
      </c>
      <c r="BM31" s="278" t="n">
        <v>0</v>
      </c>
      <c r="BN31" s="278" t="n">
        <v>0</v>
      </c>
      <c r="BO31" s="279">
        <f>ROUND((BM31+BN31)/2,0)</f>
        <v/>
      </c>
      <c r="BP31" s="11" t="n">
        <v>0</v>
      </c>
      <c r="BQ31" s="278" t="n"/>
      <c r="BR31" s="11" t="n"/>
      <c r="BS31" s="280">
        <f>$G31+BQ31-BO31</f>
        <v/>
      </c>
      <c r="BT31" s="277">
        <f>$G31+BR31-BP31</f>
        <v/>
      </c>
      <c r="BU31" s="278" t="n">
        <v>0</v>
      </c>
      <c r="BV31" s="278" t="n">
        <v>0</v>
      </c>
      <c r="BW31" s="279">
        <f>ROUND((BU31+BV31)/2,0)</f>
        <v/>
      </c>
      <c r="BX31" s="11" t="n">
        <v>0</v>
      </c>
      <c r="BY31" s="278" t="n"/>
      <c r="BZ31" s="11" t="n"/>
      <c r="CA31" s="280">
        <f>$G31+BY31-BW31</f>
        <v/>
      </c>
      <c r="CB31" s="277">
        <f>$G31+BZ31-BX31</f>
        <v/>
      </c>
      <c r="CC31" s="278" t="n">
        <v>0</v>
      </c>
      <c r="CD31" s="278" t="n">
        <v>0</v>
      </c>
      <c r="CE31" s="279">
        <f>ROUND((CC31+CD31)/2,0)</f>
        <v/>
      </c>
      <c r="CF31" s="11" t="n">
        <v>0</v>
      </c>
      <c r="CG31" s="278" t="n"/>
      <c r="CH31" s="11" t="n"/>
      <c r="CI31" s="280">
        <f>$G31+CG31-CE31</f>
        <v/>
      </c>
      <c r="CJ31" s="277">
        <f>$G31+CH31-CF31</f>
        <v/>
      </c>
      <c r="CK31" s="278" t="n">
        <v>0</v>
      </c>
      <c r="CL31" s="278" t="n">
        <v>0</v>
      </c>
      <c r="CM31" s="279">
        <f>ROUND((CK31+CL31)/2,0)</f>
        <v/>
      </c>
      <c r="CN31" s="11" t="n">
        <v>0</v>
      </c>
      <c r="CO31" s="278" t="n"/>
      <c r="CP31" s="277" t="n"/>
      <c r="CQ31" s="280">
        <f>$G31+CO31-CM31</f>
        <v/>
      </c>
      <c r="CR31" s="277">
        <f>$G31+CP31-CN31</f>
        <v/>
      </c>
      <c r="CS31" s="278" t="n">
        <v>0</v>
      </c>
      <c r="CT31" s="278" t="n">
        <v>0</v>
      </c>
      <c r="CU31" s="279">
        <f>ROUND((CS31+CT31)/2,0)</f>
        <v/>
      </c>
      <c r="CV31" s="11" t="n">
        <v>0</v>
      </c>
      <c r="CW31" s="278" t="n"/>
      <c r="CX31" s="277" t="n"/>
      <c r="CY31" s="280">
        <f>$G31+CW31-CU31</f>
        <v/>
      </c>
      <c r="CZ31" s="277">
        <f>$G31+CX31-CV31</f>
        <v/>
      </c>
    </row>
    <row r="32" ht="17.25" customHeight="1" s="480">
      <c r="A32" s="28" t="inlineStr">
        <is>
          <t>ABC29</t>
        </is>
      </c>
      <c r="B32" s="379" t="n"/>
      <c r="C32" s="27" t="n"/>
      <c r="D32" s="28">
        <f>_xlfn.XLOOKUP(A32,'ABC-XYZ분석 (2)'!C:C,'ABC-XYZ분석 (2)'!I:I)</f>
        <v/>
      </c>
      <c r="E32" s="28">
        <f>_xlfn.XLOOKUP(A32,'ABC-XYZ분석 (2)'!C:C,'ABC-XYZ분석 (2)'!AC:AC)</f>
        <v/>
      </c>
      <c r="F32" s="3">
        <f>_xlfn.XLOOKUP(A32,'ABC-XYZ분석 (2)'!C:C,'ABC-XYZ분석 (2)'!AG:AG)</f>
        <v/>
      </c>
      <c r="G32" s="14">
        <f>SUMIF(재고!C:C,PSI_메인!A32,재고!I:I)</f>
        <v/>
      </c>
      <c r="H32" s="277" t="n">
        <v>1021</v>
      </c>
      <c r="I32" s="278" t="n">
        <v>0</v>
      </c>
      <c r="J32" s="278" t="n">
        <v>0</v>
      </c>
      <c r="K32" s="279" t="n">
        <v>500</v>
      </c>
      <c r="L32" s="11" t="n">
        <v>0</v>
      </c>
      <c r="M32" s="9">
        <f>SUMIFS(입항스케줄!J:J,입항스케줄!C:C,PSI_메인!A32,입항스케줄!U:U,"2601")</f>
        <v/>
      </c>
      <c r="N32" s="11">
        <f>SUMIFS(입항스케줄!J:J,입항스케줄!C:C,PSI_메인!A32,입항스케줄!V:V,"2601")</f>
        <v/>
      </c>
      <c r="O32" s="280">
        <f>$G32+M32-K32</f>
        <v/>
      </c>
      <c r="P32" s="277">
        <f>$G32+N32-L32</f>
        <v/>
      </c>
      <c r="Q32" s="278" t="n">
        <v>0</v>
      </c>
      <c r="R32" s="278" t="n">
        <v>0</v>
      </c>
      <c r="S32" s="10" t="n">
        <v>2000</v>
      </c>
      <c r="T32" s="11" t="n">
        <v>0</v>
      </c>
      <c r="U32" s="9">
        <f>SUMIFS(입항스케줄!J:J,입항스케줄!C:C,PSI_메인!A32,입항스케줄!U:U,"2602")</f>
        <v/>
      </c>
      <c r="V32" s="11">
        <f>SUMIFS(입항스케줄!J:J,입항스케줄!C:C,PSI_메인!A32,입항스케줄!V:V,"2602")</f>
        <v/>
      </c>
      <c r="W32" s="280">
        <f>$G32+U32-S32</f>
        <v/>
      </c>
      <c r="X32" s="277">
        <f>$G32+V32-T32</f>
        <v/>
      </c>
      <c r="Y32" s="278" t="n">
        <v>0</v>
      </c>
      <c r="Z32" s="278" t="n">
        <v>0</v>
      </c>
      <c r="AA32" s="279">
        <f>ROUND((Y32+Z32)/2,0)</f>
        <v/>
      </c>
      <c r="AB32" s="11" t="n">
        <v>0</v>
      </c>
      <c r="AC32" s="9">
        <f>SUMIFS(입항스케줄!J:J,입항스케줄!C:C,PSI_메인!A32,입항스케줄!U:U,"2603")</f>
        <v/>
      </c>
      <c r="AD32" s="11">
        <f>SUMIFS(입항스케줄!J:J,입항스케줄!C:C,PSI_메인!A32,입항스케줄!V:V,"2603")</f>
        <v/>
      </c>
      <c r="AE32" s="280">
        <f>$G32+AC32-AA32</f>
        <v/>
      </c>
      <c r="AF32" s="277">
        <f>$G32+AD32-AB32</f>
        <v/>
      </c>
      <c r="AG32" s="278" t="n">
        <v>0</v>
      </c>
      <c r="AH32" s="278" t="n">
        <v>0</v>
      </c>
      <c r="AI32" s="279">
        <f>ROUND((AG32+AH32)/2,0)</f>
        <v/>
      </c>
      <c r="AJ32" s="11" t="n">
        <v>0</v>
      </c>
      <c r="AK32" s="9">
        <f>SUMIFS(입항스케줄!J:J,입항스케줄!C:C,PSI_메인!A32,입항스케줄!U:U,"2604")</f>
        <v/>
      </c>
      <c r="AL32" s="11">
        <f>SUMIFS(입항스케줄!J:J,입항스케줄!C:C,PSI_메인!A32,입항스케줄!V:V,"2604")</f>
        <v/>
      </c>
      <c r="AM32" s="280">
        <f>$G32+AK32-AI32</f>
        <v/>
      </c>
      <c r="AN32" s="277">
        <f>$G32+AL32-AJ32</f>
        <v/>
      </c>
      <c r="AO32" s="278" t="n">
        <v>0</v>
      </c>
      <c r="AP32" s="278" t="n">
        <v>0</v>
      </c>
      <c r="AQ32" s="279">
        <f>ROUND((AO32+AP32)/2,0)</f>
        <v/>
      </c>
      <c r="AR32" s="11" t="n">
        <v>0</v>
      </c>
      <c r="AS32" s="9" t="n"/>
      <c r="AT32" s="277" t="n"/>
      <c r="AU32" s="280">
        <f>$G32+AS32-AQ32</f>
        <v/>
      </c>
      <c r="AV32" s="277">
        <f>$G32+AT32-AR32</f>
        <v/>
      </c>
      <c r="AW32" s="278" t="n">
        <v>0</v>
      </c>
      <c r="AX32" s="278" t="n">
        <v>0</v>
      </c>
      <c r="AY32" s="279">
        <f>ROUND((AW32+AX32)/2,0)</f>
        <v/>
      </c>
      <c r="AZ32" s="11" t="n">
        <v>0</v>
      </c>
      <c r="BA32" s="9" t="n"/>
      <c r="BB32" s="11" t="n"/>
      <c r="BC32" s="280">
        <f>$G32+BA32-AY32</f>
        <v/>
      </c>
      <c r="BD32" s="277">
        <f>$G32+BB32-AZ32</f>
        <v/>
      </c>
      <c r="BE32" s="278" t="n">
        <v>0</v>
      </c>
      <c r="BF32" s="278" t="n">
        <v>0</v>
      </c>
      <c r="BG32" s="279">
        <f>ROUND((BE32+BF32)/2,0)</f>
        <v/>
      </c>
      <c r="BH32" s="11" t="n">
        <v>0</v>
      </c>
      <c r="BI32" s="278" t="n"/>
      <c r="BJ32" s="11" t="n"/>
      <c r="BK32" s="280">
        <f>$G32+BI32-BG32</f>
        <v/>
      </c>
      <c r="BL32" s="277">
        <f>$G32+BJ32-BH32</f>
        <v/>
      </c>
      <c r="BM32" s="278" t="n">
        <v>0</v>
      </c>
      <c r="BN32" s="278" t="n">
        <v>0</v>
      </c>
      <c r="BO32" s="279">
        <f>ROUND((BM32+BN32)/2,0)</f>
        <v/>
      </c>
      <c r="BP32" s="11" t="n">
        <v>0</v>
      </c>
      <c r="BQ32" s="278" t="n"/>
      <c r="BR32" s="11" t="n"/>
      <c r="BS32" s="280">
        <f>$G32+BQ32-BO32</f>
        <v/>
      </c>
      <c r="BT32" s="277">
        <f>$G32+BR32-BP32</f>
        <v/>
      </c>
      <c r="BU32" s="278" t="n">
        <v>0</v>
      </c>
      <c r="BV32" s="278" t="n">
        <v>0</v>
      </c>
      <c r="BW32" s="279">
        <f>ROUND((BU32+BV32)/2,0)</f>
        <v/>
      </c>
      <c r="BX32" s="11" t="n">
        <v>0</v>
      </c>
      <c r="BY32" s="278" t="n"/>
      <c r="BZ32" s="11" t="n"/>
      <c r="CA32" s="280">
        <f>$G32+BY32-BW32</f>
        <v/>
      </c>
      <c r="CB32" s="277">
        <f>$G32+BZ32-BX32</f>
        <v/>
      </c>
      <c r="CC32" s="278" t="n">
        <v>0</v>
      </c>
      <c r="CD32" s="278" t="n">
        <v>0</v>
      </c>
      <c r="CE32" s="279">
        <f>ROUND((CC32+CD32)/2,0)</f>
        <v/>
      </c>
      <c r="CF32" s="11" t="n">
        <v>0</v>
      </c>
      <c r="CG32" s="278" t="n"/>
      <c r="CH32" s="11" t="n"/>
      <c r="CI32" s="280">
        <f>$G32+CG32-CE32</f>
        <v/>
      </c>
      <c r="CJ32" s="277">
        <f>$G32+CH32-CF32</f>
        <v/>
      </c>
      <c r="CK32" s="278" t="n">
        <v>0</v>
      </c>
      <c r="CL32" s="278" t="n">
        <v>0</v>
      </c>
      <c r="CM32" s="279">
        <f>ROUND((CK32+CL32)/2,0)</f>
        <v/>
      </c>
      <c r="CN32" s="11" t="n">
        <v>0</v>
      </c>
      <c r="CO32" s="278" t="n"/>
      <c r="CP32" s="277" t="n"/>
      <c r="CQ32" s="280">
        <f>$G32+CO32-CM32</f>
        <v/>
      </c>
      <c r="CR32" s="277">
        <f>$G32+CP32-CN32</f>
        <v/>
      </c>
      <c r="CS32" s="278" t="n">
        <v>0</v>
      </c>
      <c r="CT32" s="278" t="n">
        <v>0</v>
      </c>
      <c r="CU32" s="279">
        <f>ROUND((CS32+CT32)/2,0)</f>
        <v/>
      </c>
      <c r="CV32" s="11" t="n">
        <v>0</v>
      </c>
      <c r="CW32" s="278" t="n"/>
      <c r="CX32" s="277" t="n"/>
      <c r="CY32" s="280">
        <f>$G32+CW32-CU32</f>
        <v/>
      </c>
      <c r="CZ32" s="277">
        <f>$G32+CX32-CV32</f>
        <v/>
      </c>
    </row>
    <row r="33" ht="17.25" customHeight="1" s="480">
      <c r="A33" s="28" t="inlineStr">
        <is>
          <t>ABC30</t>
        </is>
      </c>
      <c r="B33" s="379" t="n"/>
      <c r="C33" s="27" t="n"/>
      <c r="D33" s="28">
        <f>_xlfn.XLOOKUP(A33,'ABC-XYZ분석 (2)'!C:C,'ABC-XYZ분석 (2)'!I:I)</f>
        <v/>
      </c>
      <c r="E33" s="28">
        <f>_xlfn.XLOOKUP(A33,'ABC-XYZ분석 (2)'!C:C,'ABC-XYZ분석 (2)'!AC:AC)</f>
        <v/>
      </c>
      <c r="F33" s="3">
        <f>_xlfn.XLOOKUP(A33,'ABC-XYZ분석 (2)'!C:C,'ABC-XYZ분석 (2)'!AG:AG)</f>
        <v/>
      </c>
      <c r="G33" s="14">
        <f>SUMIF(재고!C:C,PSI_메인!A33,재고!I:I)</f>
        <v/>
      </c>
      <c r="H33" s="277" t="n">
        <v>850</v>
      </c>
      <c r="I33" s="278" t="n">
        <v>0</v>
      </c>
      <c r="J33" s="278" t="n">
        <v>0</v>
      </c>
      <c r="K33" s="279" t="n">
        <v>275</v>
      </c>
      <c r="L33" s="11" t="n">
        <v>0</v>
      </c>
      <c r="M33" s="9">
        <f>SUMIFS(입항스케줄!J:J,입항스케줄!C:C,PSI_메인!A33,입항스케줄!U:U,"2601")</f>
        <v/>
      </c>
      <c r="N33" s="11">
        <f>SUMIFS(입항스케줄!J:J,입항스케줄!C:C,PSI_메인!A33,입항스케줄!V:V,"2601")</f>
        <v/>
      </c>
      <c r="O33" s="280">
        <f>$G33+M33-K33</f>
        <v/>
      </c>
      <c r="P33" s="277">
        <f>$G33+N33-L33</f>
        <v/>
      </c>
      <c r="Q33" s="278" t="n">
        <v>0</v>
      </c>
      <c r="R33" s="278" t="n">
        <v>0</v>
      </c>
      <c r="S33" s="10" t="n">
        <v>350</v>
      </c>
      <c r="T33" s="11" t="n">
        <v>0</v>
      </c>
      <c r="U33" s="9">
        <f>SUMIFS(입항스케줄!J:J,입항스케줄!C:C,PSI_메인!A33,입항스케줄!U:U,"2602")</f>
        <v/>
      </c>
      <c r="V33" s="11">
        <f>SUMIFS(입항스케줄!J:J,입항스케줄!C:C,PSI_메인!A33,입항스케줄!V:V,"2602")</f>
        <v/>
      </c>
      <c r="W33" s="280">
        <f>$G33+U33-S33</f>
        <v/>
      </c>
      <c r="X33" s="277">
        <f>$G33+V33-T33</f>
        <v/>
      </c>
      <c r="Y33" s="278" t="n">
        <v>0</v>
      </c>
      <c r="Z33" s="278" t="n">
        <v>0</v>
      </c>
      <c r="AA33" s="279">
        <f>ROUND((Y33+Z33)/2,0)</f>
        <v/>
      </c>
      <c r="AB33" s="11" t="n">
        <v>0</v>
      </c>
      <c r="AC33" s="9">
        <f>SUMIFS(입항스케줄!J:J,입항스케줄!C:C,PSI_메인!A33,입항스케줄!U:U,"2603")</f>
        <v/>
      </c>
      <c r="AD33" s="11">
        <f>SUMIFS(입항스케줄!J:J,입항스케줄!C:C,PSI_메인!A33,입항스케줄!V:V,"2603")</f>
        <v/>
      </c>
      <c r="AE33" s="280">
        <f>$G33+AC33-AA33</f>
        <v/>
      </c>
      <c r="AF33" s="277">
        <f>$G33+AD33-AB33</f>
        <v/>
      </c>
      <c r="AG33" s="278" t="n">
        <v>0</v>
      </c>
      <c r="AH33" s="278" t="n">
        <v>0</v>
      </c>
      <c r="AI33" s="279">
        <f>ROUND((AG33+AH33)/2,0)</f>
        <v/>
      </c>
      <c r="AJ33" s="11" t="n">
        <v>0</v>
      </c>
      <c r="AK33" s="9">
        <f>SUMIFS(입항스케줄!J:J,입항스케줄!C:C,PSI_메인!A33,입항스케줄!U:U,"2604")</f>
        <v/>
      </c>
      <c r="AL33" s="11">
        <f>SUMIFS(입항스케줄!J:J,입항스케줄!C:C,PSI_메인!A33,입항스케줄!V:V,"2604")</f>
        <v/>
      </c>
      <c r="AM33" s="280">
        <f>$G33+AK33-AI33</f>
        <v/>
      </c>
      <c r="AN33" s="277">
        <f>$G33+AL33-AJ33</f>
        <v/>
      </c>
      <c r="AO33" s="278" t="n">
        <v>0</v>
      </c>
      <c r="AP33" s="278" t="n">
        <v>0</v>
      </c>
      <c r="AQ33" s="279">
        <f>ROUND((AO33+AP33)/2,0)</f>
        <v/>
      </c>
      <c r="AR33" s="11" t="n">
        <v>0</v>
      </c>
      <c r="AS33" s="9" t="n"/>
      <c r="AT33" s="277" t="n"/>
      <c r="AU33" s="280">
        <f>$G33+AS33-AQ33</f>
        <v/>
      </c>
      <c r="AV33" s="277">
        <f>$G33+AT33-AR33</f>
        <v/>
      </c>
      <c r="AW33" s="278" t="n">
        <v>0</v>
      </c>
      <c r="AX33" s="278" t="n">
        <v>0</v>
      </c>
      <c r="AY33" s="279">
        <f>ROUND((AW33+AX33)/2,0)</f>
        <v/>
      </c>
      <c r="AZ33" s="11" t="n">
        <v>0</v>
      </c>
      <c r="BA33" s="9" t="n"/>
      <c r="BB33" s="11" t="n"/>
      <c r="BC33" s="280">
        <f>$G33+BA33-AY33</f>
        <v/>
      </c>
      <c r="BD33" s="277">
        <f>$G33+BB33-AZ33</f>
        <v/>
      </c>
      <c r="BE33" s="278" t="n">
        <v>0</v>
      </c>
      <c r="BF33" s="278" t="n">
        <v>0</v>
      </c>
      <c r="BG33" s="279">
        <f>ROUND((BE33+BF33)/2,0)</f>
        <v/>
      </c>
      <c r="BH33" s="11" t="n">
        <v>0</v>
      </c>
      <c r="BI33" s="278" t="n"/>
      <c r="BJ33" s="11" t="n"/>
      <c r="BK33" s="280">
        <f>$G33+BI33-BG33</f>
        <v/>
      </c>
      <c r="BL33" s="277">
        <f>$G33+BJ33-BH33</f>
        <v/>
      </c>
      <c r="BM33" s="278" t="n">
        <v>0</v>
      </c>
      <c r="BN33" s="278" t="n">
        <v>0</v>
      </c>
      <c r="BO33" s="279">
        <f>ROUND((BM33+BN33)/2,0)</f>
        <v/>
      </c>
      <c r="BP33" s="11" t="n">
        <v>0</v>
      </c>
      <c r="BQ33" s="278" t="n"/>
      <c r="BR33" s="11" t="n"/>
      <c r="BS33" s="280">
        <f>$G33+BQ33-BO33</f>
        <v/>
      </c>
      <c r="BT33" s="277">
        <f>$G33+BR33-BP33</f>
        <v/>
      </c>
      <c r="BU33" s="278" t="n">
        <v>0</v>
      </c>
      <c r="BV33" s="278" t="n">
        <v>0</v>
      </c>
      <c r="BW33" s="279">
        <f>ROUND((BU33+BV33)/2,0)</f>
        <v/>
      </c>
      <c r="BX33" s="11" t="n">
        <v>0</v>
      </c>
      <c r="BY33" s="278" t="n"/>
      <c r="BZ33" s="11" t="n"/>
      <c r="CA33" s="280">
        <f>$G33+BY33-BW33</f>
        <v/>
      </c>
      <c r="CB33" s="277">
        <f>$G33+BZ33-BX33</f>
        <v/>
      </c>
      <c r="CC33" s="278" t="n">
        <v>0</v>
      </c>
      <c r="CD33" s="278" t="n">
        <v>0</v>
      </c>
      <c r="CE33" s="279">
        <f>ROUND((CC33+CD33)/2,0)</f>
        <v/>
      </c>
      <c r="CF33" s="11" t="n">
        <v>0</v>
      </c>
      <c r="CG33" s="278" t="n"/>
      <c r="CH33" s="11" t="n"/>
      <c r="CI33" s="280">
        <f>$G33+CG33-CE33</f>
        <v/>
      </c>
      <c r="CJ33" s="277">
        <f>$G33+CH33-CF33</f>
        <v/>
      </c>
      <c r="CK33" s="278" t="n">
        <v>0</v>
      </c>
      <c r="CL33" s="278" t="n">
        <v>0</v>
      </c>
      <c r="CM33" s="279">
        <f>ROUND((CK33+CL33)/2,0)</f>
        <v/>
      </c>
      <c r="CN33" s="11" t="n">
        <v>0</v>
      </c>
      <c r="CO33" s="278" t="n"/>
      <c r="CP33" s="277" t="n"/>
      <c r="CQ33" s="280">
        <f>$G33+CO33-CM33</f>
        <v/>
      </c>
      <c r="CR33" s="277">
        <f>$G33+CP33-CN33</f>
        <v/>
      </c>
      <c r="CS33" s="278" t="n">
        <v>0</v>
      </c>
      <c r="CT33" s="278" t="n">
        <v>0</v>
      </c>
      <c r="CU33" s="279">
        <f>ROUND((CS33+CT33)/2,0)</f>
        <v/>
      </c>
      <c r="CV33" s="11" t="n">
        <v>0</v>
      </c>
      <c r="CW33" s="278" t="n"/>
      <c r="CX33" s="277" t="n"/>
      <c r="CY33" s="280">
        <f>$G33+CW33-CU33</f>
        <v/>
      </c>
      <c r="CZ33" s="277">
        <f>$G33+CX33-CV33</f>
        <v/>
      </c>
    </row>
    <row r="34" ht="17.25" customHeight="1" s="480">
      <c r="A34" s="28" t="inlineStr">
        <is>
          <t>ABC31</t>
        </is>
      </c>
      <c r="B34" s="379" t="n"/>
      <c r="C34" s="27" t="n"/>
      <c r="D34" s="28">
        <f>_xlfn.XLOOKUP(A34,'ABC-XYZ분석 (2)'!C:C,'ABC-XYZ분석 (2)'!I:I)</f>
        <v/>
      </c>
      <c r="E34" s="28">
        <f>_xlfn.XLOOKUP(A34,'ABC-XYZ분석 (2)'!C:C,'ABC-XYZ분석 (2)'!AC:AC)</f>
        <v/>
      </c>
      <c r="F34" s="3">
        <f>_xlfn.XLOOKUP(A34,'ABC-XYZ분석 (2)'!C:C,'ABC-XYZ분석 (2)'!AG:AG)</f>
        <v/>
      </c>
      <c r="G34" s="14">
        <f>SUMIF(재고!C:C,PSI_메인!A34,재고!I:I)</f>
        <v/>
      </c>
      <c r="H34" s="277" t="n">
        <v>790</v>
      </c>
      <c r="I34" s="278" t="n">
        <v>0</v>
      </c>
      <c r="J34" s="278" t="n">
        <v>0</v>
      </c>
      <c r="K34" s="279" t="n">
        <v>375</v>
      </c>
      <c r="L34" s="11" t="n">
        <v>0</v>
      </c>
      <c r="M34" s="9">
        <f>SUMIFS(입항스케줄!J:J,입항스케줄!C:C,PSI_메인!A34,입항스케줄!U:U,"2601")</f>
        <v/>
      </c>
      <c r="N34" s="11">
        <f>SUMIFS(입항스케줄!J:J,입항스케줄!C:C,PSI_메인!A34,입항스케줄!V:V,"2601")</f>
        <v/>
      </c>
      <c r="O34" s="280">
        <f>$G34+M34-K34</f>
        <v/>
      </c>
      <c r="P34" s="277">
        <f>$G34+N34-L34</f>
        <v/>
      </c>
      <c r="Q34" s="278" t="n">
        <v>0</v>
      </c>
      <c r="R34" s="278" t="n">
        <v>0</v>
      </c>
      <c r="S34" s="10" t="n">
        <v>300</v>
      </c>
      <c r="T34" s="11" t="n">
        <v>0</v>
      </c>
      <c r="U34" s="9">
        <f>SUMIFS(입항스케줄!J:J,입항스케줄!C:C,PSI_메인!A34,입항스케줄!U:U,"2602")</f>
        <v/>
      </c>
      <c r="V34" s="11">
        <f>SUMIFS(입항스케줄!J:J,입항스케줄!C:C,PSI_메인!A34,입항스케줄!V:V,"2602")</f>
        <v/>
      </c>
      <c r="W34" s="280">
        <f>$G34+U34-S34</f>
        <v/>
      </c>
      <c r="X34" s="277">
        <f>$G34+V34-T34</f>
        <v/>
      </c>
      <c r="Y34" s="278" t="n">
        <v>0</v>
      </c>
      <c r="Z34" s="278" t="n">
        <v>0</v>
      </c>
      <c r="AA34" s="279">
        <f>ROUND((Y34+Z34)/2,0)</f>
        <v/>
      </c>
      <c r="AB34" s="11" t="n">
        <v>0</v>
      </c>
      <c r="AC34" s="9">
        <f>SUMIFS(입항스케줄!J:J,입항스케줄!C:C,PSI_메인!A34,입항스케줄!U:U,"2603")</f>
        <v/>
      </c>
      <c r="AD34" s="11">
        <f>SUMIFS(입항스케줄!J:J,입항스케줄!C:C,PSI_메인!A34,입항스케줄!V:V,"2603")</f>
        <v/>
      </c>
      <c r="AE34" s="280">
        <f>$G34+AC34-AA34</f>
        <v/>
      </c>
      <c r="AF34" s="277">
        <f>$G34+AD34-AB34</f>
        <v/>
      </c>
      <c r="AG34" s="278" t="n">
        <v>0</v>
      </c>
      <c r="AH34" s="278" t="n">
        <v>0</v>
      </c>
      <c r="AI34" s="279">
        <f>ROUND((AG34+AH34)/2,0)</f>
        <v/>
      </c>
      <c r="AJ34" s="11" t="n">
        <v>0</v>
      </c>
      <c r="AK34" s="9">
        <f>SUMIFS(입항스케줄!J:J,입항스케줄!C:C,PSI_메인!A34,입항스케줄!U:U,"2604")</f>
        <v/>
      </c>
      <c r="AL34" s="11">
        <f>SUMIFS(입항스케줄!J:J,입항스케줄!C:C,PSI_메인!A34,입항스케줄!V:V,"2604")</f>
        <v/>
      </c>
      <c r="AM34" s="280">
        <f>$G34+AK34-AI34</f>
        <v/>
      </c>
      <c r="AN34" s="277">
        <f>$G34+AL34-AJ34</f>
        <v/>
      </c>
      <c r="AO34" s="278" t="n">
        <v>0</v>
      </c>
      <c r="AP34" s="278" t="n">
        <v>0</v>
      </c>
      <c r="AQ34" s="279">
        <f>ROUND((AO34+AP34)/2,0)</f>
        <v/>
      </c>
      <c r="AR34" s="11" t="n">
        <v>0</v>
      </c>
      <c r="AS34" s="9" t="n"/>
      <c r="AT34" s="277" t="n"/>
      <c r="AU34" s="280">
        <f>$G34+AS34-AQ34</f>
        <v/>
      </c>
      <c r="AV34" s="277">
        <f>$G34+AT34-AR34</f>
        <v/>
      </c>
      <c r="AW34" s="278" t="n">
        <v>0</v>
      </c>
      <c r="AX34" s="278" t="n">
        <v>0</v>
      </c>
      <c r="AY34" s="279">
        <f>ROUND((AW34+AX34)/2,0)</f>
        <v/>
      </c>
      <c r="AZ34" s="11" t="n">
        <v>0</v>
      </c>
      <c r="BA34" s="9" t="n"/>
      <c r="BB34" s="11" t="n"/>
      <c r="BC34" s="280">
        <f>$G34+BA34-AY34</f>
        <v/>
      </c>
      <c r="BD34" s="277">
        <f>$G34+BB34-AZ34</f>
        <v/>
      </c>
      <c r="BE34" s="278" t="n">
        <v>0</v>
      </c>
      <c r="BF34" s="278" t="n">
        <v>0</v>
      </c>
      <c r="BG34" s="279">
        <f>ROUND((BE34+BF34)/2,0)</f>
        <v/>
      </c>
      <c r="BH34" s="11" t="n">
        <v>0</v>
      </c>
      <c r="BI34" s="278" t="n"/>
      <c r="BJ34" s="11" t="n"/>
      <c r="BK34" s="280">
        <f>$G34+BI34-BG34</f>
        <v/>
      </c>
      <c r="BL34" s="277">
        <f>$G34+BJ34-BH34</f>
        <v/>
      </c>
      <c r="BM34" s="278" t="n">
        <v>0</v>
      </c>
      <c r="BN34" s="278" t="n">
        <v>0</v>
      </c>
      <c r="BO34" s="279">
        <f>ROUND((BM34+BN34)/2,0)</f>
        <v/>
      </c>
      <c r="BP34" s="11" t="n">
        <v>0</v>
      </c>
      <c r="BQ34" s="278" t="n"/>
      <c r="BR34" s="11" t="n"/>
      <c r="BS34" s="280">
        <f>$G34+BQ34-BO34</f>
        <v/>
      </c>
      <c r="BT34" s="277">
        <f>$G34+BR34-BP34</f>
        <v/>
      </c>
      <c r="BU34" s="278" t="n">
        <v>0</v>
      </c>
      <c r="BV34" s="278" t="n">
        <v>0</v>
      </c>
      <c r="BW34" s="279">
        <f>ROUND((BU34+BV34)/2,0)</f>
        <v/>
      </c>
      <c r="BX34" s="11" t="n">
        <v>0</v>
      </c>
      <c r="BY34" s="278" t="n"/>
      <c r="BZ34" s="11" t="n"/>
      <c r="CA34" s="280">
        <f>$G34+BY34-BW34</f>
        <v/>
      </c>
      <c r="CB34" s="277">
        <f>$G34+BZ34-BX34</f>
        <v/>
      </c>
      <c r="CC34" s="278" t="n">
        <v>0</v>
      </c>
      <c r="CD34" s="278" t="n">
        <v>0</v>
      </c>
      <c r="CE34" s="279">
        <f>ROUND((CC34+CD34)/2,0)</f>
        <v/>
      </c>
      <c r="CF34" s="11" t="n">
        <v>0</v>
      </c>
      <c r="CG34" s="278" t="n"/>
      <c r="CH34" s="11" t="n"/>
      <c r="CI34" s="280">
        <f>$G34+CG34-CE34</f>
        <v/>
      </c>
      <c r="CJ34" s="277">
        <f>$G34+CH34-CF34</f>
        <v/>
      </c>
      <c r="CK34" s="278" t="n">
        <v>0</v>
      </c>
      <c r="CL34" s="278" t="n">
        <v>0</v>
      </c>
      <c r="CM34" s="279">
        <f>ROUND((CK34+CL34)/2,0)</f>
        <v/>
      </c>
      <c r="CN34" s="11" t="n">
        <v>0</v>
      </c>
      <c r="CO34" s="278" t="n"/>
      <c r="CP34" s="277" t="n"/>
      <c r="CQ34" s="280">
        <f>$G34+CO34-CM34</f>
        <v/>
      </c>
      <c r="CR34" s="277">
        <f>$G34+CP34-CN34</f>
        <v/>
      </c>
      <c r="CS34" s="278" t="n">
        <v>0</v>
      </c>
      <c r="CT34" s="278" t="n">
        <v>0</v>
      </c>
      <c r="CU34" s="279">
        <f>ROUND((CS34+CT34)/2,0)</f>
        <v/>
      </c>
      <c r="CV34" s="11" t="n">
        <v>0</v>
      </c>
      <c r="CW34" s="278" t="n"/>
      <c r="CX34" s="277" t="n"/>
      <c r="CY34" s="280">
        <f>$G34+CW34-CU34</f>
        <v/>
      </c>
      <c r="CZ34" s="277">
        <f>$G34+CX34-CV34</f>
        <v/>
      </c>
    </row>
    <row r="35" ht="17.25" customHeight="1" s="480">
      <c r="A35" s="28" t="inlineStr">
        <is>
          <t>ABC32</t>
        </is>
      </c>
      <c r="B35" s="379" t="n"/>
      <c r="C35" s="27" t="n"/>
      <c r="D35" s="28">
        <f>_xlfn.XLOOKUP(A35,'ABC-XYZ분석 (2)'!C:C,'ABC-XYZ분석 (2)'!I:I)</f>
        <v/>
      </c>
      <c r="E35" s="28">
        <f>_xlfn.XLOOKUP(A35,'ABC-XYZ분석 (2)'!C:C,'ABC-XYZ분석 (2)'!AC:AC)</f>
        <v/>
      </c>
      <c r="F35" s="3">
        <f>_xlfn.XLOOKUP(A35,'ABC-XYZ분석 (2)'!C:C,'ABC-XYZ분석 (2)'!AG:AG)</f>
        <v/>
      </c>
      <c r="G35" s="14">
        <f>SUMIF(재고!C:C,PSI_메인!A35,재고!I:I)</f>
        <v/>
      </c>
      <c r="H35" s="277" t="n">
        <v>412</v>
      </c>
      <c r="I35" s="278" t="n">
        <v>0</v>
      </c>
      <c r="J35" s="278" t="n">
        <v>0</v>
      </c>
      <c r="K35" s="279" t="n">
        <v>150</v>
      </c>
      <c r="L35" s="11" t="n">
        <v>0</v>
      </c>
      <c r="M35" s="9">
        <f>SUMIFS(입항스케줄!J:J,입항스케줄!C:C,PSI_메인!A35,입항스케줄!U:U,"2601")</f>
        <v/>
      </c>
      <c r="N35" s="11">
        <f>SUMIFS(입항스케줄!J:J,입항스케줄!C:C,PSI_메인!A35,입항스케줄!V:V,"2601")</f>
        <v/>
      </c>
      <c r="O35" s="280">
        <f>$G35+M35-K35</f>
        <v/>
      </c>
      <c r="P35" s="277">
        <f>$G35+N35-L35</f>
        <v/>
      </c>
      <c r="Q35" s="278" t="n">
        <v>0</v>
      </c>
      <c r="R35" s="278" t="n">
        <v>0</v>
      </c>
      <c r="S35" s="10" t="n">
        <v>150</v>
      </c>
      <c r="T35" s="11" t="n">
        <v>0</v>
      </c>
      <c r="U35" s="9">
        <f>SUMIFS(입항스케줄!J:J,입항스케줄!C:C,PSI_메인!A35,입항스케줄!U:U,"2602")</f>
        <v/>
      </c>
      <c r="V35" s="11">
        <f>SUMIFS(입항스케줄!J:J,입항스케줄!C:C,PSI_메인!A35,입항스케줄!V:V,"2602")</f>
        <v/>
      </c>
      <c r="W35" s="280">
        <f>$G35+U35-S35</f>
        <v/>
      </c>
      <c r="X35" s="277">
        <f>$G35+V35-T35</f>
        <v/>
      </c>
      <c r="Y35" s="278" t="n">
        <v>0</v>
      </c>
      <c r="Z35" s="278" t="n">
        <v>0</v>
      </c>
      <c r="AA35" s="279">
        <f>ROUND((Y35+Z35)/2,0)</f>
        <v/>
      </c>
      <c r="AB35" s="11" t="n">
        <v>0</v>
      </c>
      <c r="AC35" s="9">
        <f>SUMIFS(입항스케줄!J:J,입항스케줄!C:C,PSI_메인!A35,입항스케줄!U:U,"2603")</f>
        <v/>
      </c>
      <c r="AD35" s="11">
        <f>SUMIFS(입항스케줄!J:J,입항스케줄!C:C,PSI_메인!A35,입항스케줄!V:V,"2603")</f>
        <v/>
      </c>
      <c r="AE35" s="280">
        <f>$G35+AC35-AA35</f>
        <v/>
      </c>
      <c r="AF35" s="277">
        <f>$G35+AD35-AB35</f>
        <v/>
      </c>
      <c r="AG35" s="278" t="n">
        <v>0</v>
      </c>
      <c r="AH35" s="278" t="n">
        <v>0</v>
      </c>
      <c r="AI35" s="279">
        <f>ROUND((AG35+AH35)/2,0)</f>
        <v/>
      </c>
      <c r="AJ35" s="11" t="n">
        <v>0</v>
      </c>
      <c r="AK35" s="9">
        <f>SUMIFS(입항스케줄!J:J,입항스케줄!C:C,PSI_메인!A35,입항스케줄!U:U,"2604")</f>
        <v/>
      </c>
      <c r="AL35" s="11">
        <f>SUMIFS(입항스케줄!J:J,입항스케줄!C:C,PSI_메인!A35,입항스케줄!V:V,"2604")</f>
        <v/>
      </c>
      <c r="AM35" s="280">
        <f>$G35+AK35-AI35</f>
        <v/>
      </c>
      <c r="AN35" s="277">
        <f>$G35+AL35-AJ35</f>
        <v/>
      </c>
      <c r="AO35" s="278" t="n">
        <v>0</v>
      </c>
      <c r="AP35" s="278" t="n">
        <v>0</v>
      </c>
      <c r="AQ35" s="279">
        <f>ROUND((AO35+AP35)/2,0)</f>
        <v/>
      </c>
      <c r="AR35" s="11" t="n">
        <v>0</v>
      </c>
      <c r="AS35" s="9" t="n"/>
      <c r="AT35" s="277" t="n"/>
      <c r="AU35" s="280">
        <f>$G35+AS35-AQ35</f>
        <v/>
      </c>
      <c r="AV35" s="277">
        <f>$G35+AT35-AR35</f>
        <v/>
      </c>
      <c r="AW35" s="278" t="n">
        <v>0</v>
      </c>
      <c r="AX35" s="278" t="n">
        <v>0</v>
      </c>
      <c r="AY35" s="279">
        <f>ROUND((AW35+AX35)/2,0)</f>
        <v/>
      </c>
      <c r="AZ35" s="11" t="n">
        <v>0</v>
      </c>
      <c r="BA35" s="9" t="n"/>
      <c r="BB35" s="11" t="n"/>
      <c r="BC35" s="280">
        <f>$G35+BA35-AY35</f>
        <v/>
      </c>
      <c r="BD35" s="277">
        <f>$G35+BB35-AZ35</f>
        <v/>
      </c>
      <c r="BE35" s="278" t="n">
        <v>0</v>
      </c>
      <c r="BF35" s="278" t="n">
        <v>0</v>
      </c>
      <c r="BG35" s="279">
        <f>ROUND((BE35+BF35)/2,0)</f>
        <v/>
      </c>
      <c r="BH35" s="11" t="n">
        <v>0</v>
      </c>
      <c r="BI35" s="278" t="n"/>
      <c r="BJ35" s="11" t="n"/>
      <c r="BK35" s="280">
        <f>$G35+BI35-BG35</f>
        <v/>
      </c>
      <c r="BL35" s="277">
        <f>$G35+BJ35-BH35</f>
        <v/>
      </c>
      <c r="BM35" s="278" t="n">
        <v>0</v>
      </c>
      <c r="BN35" s="278" t="n">
        <v>0</v>
      </c>
      <c r="BO35" s="279">
        <f>ROUND((BM35+BN35)/2,0)</f>
        <v/>
      </c>
      <c r="BP35" s="11" t="n">
        <v>0</v>
      </c>
      <c r="BQ35" s="278" t="n"/>
      <c r="BR35" s="11" t="n"/>
      <c r="BS35" s="280">
        <f>$G35+BQ35-BO35</f>
        <v/>
      </c>
      <c r="BT35" s="277">
        <f>$G35+BR35-BP35</f>
        <v/>
      </c>
      <c r="BU35" s="278" t="n">
        <v>0</v>
      </c>
      <c r="BV35" s="278" t="n">
        <v>0</v>
      </c>
      <c r="BW35" s="279">
        <f>ROUND((BU35+BV35)/2,0)</f>
        <v/>
      </c>
      <c r="BX35" s="11" t="n">
        <v>0</v>
      </c>
      <c r="BY35" s="278" t="n"/>
      <c r="BZ35" s="11" t="n"/>
      <c r="CA35" s="280">
        <f>$G35+BY35-BW35</f>
        <v/>
      </c>
      <c r="CB35" s="277">
        <f>$G35+BZ35-BX35</f>
        <v/>
      </c>
      <c r="CC35" s="278" t="n">
        <v>0</v>
      </c>
      <c r="CD35" s="278" t="n">
        <v>0</v>
      </c>
      <c r="CE35" s="279">
        <f>ROUND((CC35+CD35)/2,0)</f>
        <v/>
      </c>
      <c r="CF35" s="11" t="n">
        <v>0</v>
      </c>
      <c r="CG35" s="278" t="n"/>
      <c r="CH35" s="11" t="n"/>
      <c r="CI35" s="280">
        <f>$G35+CG35-CE35</f>
        <v/>
      </c>
      <c r="CJ35" s="277">
        <f>$G35+CH35-CF35</f>
        <v/>
      </c>
      <c r="CK35" s="278" t="n">
        <v>0</v>
      </c>
      <c r="CL35" s="278" t="n">
        <v>0</v>
      </c>
      <c r="CM35" s="279">
        <f>ROUND((CK35+CL35)/2,0)</f>
        <v/>
      </c>
      <c r="CN35" s="11" t="n">
        <v>0</v>
      </c>
      <c r="CO35" s="278" t="n"/>
      <c r="CP35" s="277" t="n"/>
      <c r="CQ35" s="280">
        <f>$G35+CO35-CM35</f>
        <v/>
      </c>
      <c r="CR35" s="277">
        <f>$G35+CP35-CN35</f>
        <v/>
      </c>
      <c r="CS35" s="278" t="n">
        <v>0</v>
      </c>
      <c r="CT35" s="278" t="n">
        <v>0</v>
      </c>
      <c r="CU35" s="279">
        <f>ROUND((CS35+CT35)/2,0)</f>
        <v/>
      </c>
      <c r="CV35" s="11" t="n">
        <v>0</v>
      </c>
      <c r="CW35" s="278" t="n"/>
      <c r="CX35" s="277" t="n"/>
      <c r="CY35" s="280">
        <f>$G35+CW35-CU35</f>
        <v/>
      </c>
      <c r="CZ35" s="277">
        <f>$G35+CX35-CV35</f>
        <v/>
      </c>
    </row>
    <row r="36" ht="17.25" customHeight="1" s="480">
      <c r="A36" s="28" t="inlineStr">
        <is>
          <t>ABC33</t>
        </is>
      </c>
      <c r="B36" s="379" t="n"/>
      <c r="C36" s="27" t="n"/>
      <c r="D36" s="28">
        <f>_xlfn.XLOOKUP(A36,'ABC-XYZ분석 (2)'!C:C,'ABC-XYZ분석 (2)'!I:I)</f>
        <v/>
      </c>
      <c r="E36" s="28">
        <f>_xlfn.XLOOKUP(A36,'ABC-XYZ분석 (2)'!C:C,'ABC-XYZ분석 (2)'!AC:AC)</f>
        <v/>
      </c>
      <c r="F36" s="3">
        <f>_xlfn.XLOOKUP(A36,'ABC-XYZ분석 (2)'!C:C,'ABC-XYZ분석 (2)'!AG:AG)</f>
        <v/>
      </c>
      <c r="G36" s="14">
        <f>SUMIF(재고!C:C,PSI_메인!A36,재고!I:I)</f>
        <v/>
      </c>
      <c r="H36" s="277" t="n">
        <v>443</v>
      </c>
      <c r="I36" s="278" t="n">
        <v>0</v>
      </c>
      <c r="J36" s="278" t="n">
        <v>0</v>
      </c>
      <c r="K36" s="279" t="n">
        <v>450</v>
      </c>
      <c r="L36" s="11" t="n">
        <v>0</v>
      </c>
      <c r="M36" s="9">
        <f>SUMIFS(입항스케줄!J:J,입항스케줄!C:C,PSI_메인!A36,입항스케줄!U:U,"2601")</f>
        <v/>
      </c>
      <c r="N36" s="11">
        <f>SUMIFS(입항스케줄!J:J,입항스케줄!C:C,PSI_메인!A36,입항스케줄!V:V,"2601")</f>
        <v/>
      </c>
      <c r="O36" s="280">
        <f>$G36+M36-K36</f>
        <v/>
      </c>
      <c r="P36" s="277">
        <f>$G36+N36-L36</f>
        <v/>
      </c>
      <c r="Q36" s="278" t="n">
        <v>0</v>
      </c>
      <c r="R36" s="278" t="n">
        <v>0</v>
      </c>
      <c r="S36" s="10" t="n">
        <v>300</v>
      </c>
      <c r="T36" s="11" t="n">
        <v>0</v>
      </c>
      <c r="U36" s="9">
        <f>SUMIFS(입항스케줄!J:J,입항스케줄!C:C,PSI_메인!A36,입항스케줄!U:U,"2602")</f>
        <v/>
      </c>
      <c r="V36" s="11">
        <f>SUMIFS(입항스케줄!J:J,입항스케줄!C:C,PSI_메인!A36,입항스케줄!V:V,"2602")</f>
        <v/>
      </c>
      <c r="W36" s="280">
        <f>$G36+U36-S36</f>
        <v/>
      </c>
      <c r="X36" s="277">
        <f>$G36+V36-T36</f>
        <v/>
      </c>
      <c r="Y36" s="278" t="n">
        <v>0</v>
      </c>
      <c r="Z36" s="278" t="n">
        <v>0</v>
      </c>
      <c r="AA36" s="279">
        <f>ROUND((Y36+Z36)/2,0)</f>
        <v/>
      </c>
      <c r="AB36" s="11" t="n">
        <v>0</v>
      </c>
      <c r="AC36" s="9">
        <f>SUMIFS(입항스케줄!J:J,입항스케줄!C:C,PSI_메인!A36,입항스케줄!U:U,"2603")</f>
        <v/>
      </c>
      <c r="AD36" s="11">
        <f>SUMIFS(입항스케줄!J:J,입항스케줄!C:C,PSI_메인!A36,입항스케줄!V:V,"2603")</f>
        <v/>
      </c>
      <c r="AE36" s="280">
        <f>$G36+AC36-AA36</f>
        <v/>
      </c>
      <c r="AF36" s="277">
        <f>$G36+AD36-AB36</f>
        <v/>
      </c>
      <c r="AG36" s="278" t="n">
        <v>0</v>
      </c>
      <c r="AH36" s="278" t="n">
        <v>0</v>
      </c>
      <c r="AI36" s="279">
        <f>ROUND((AG36+AH36)/2,0)</f>
        <v/>
      </c>
      <c r="AJ36" s="11" t="n">
        <v>0</v>
      </c>
      <c r="AK36" s="9">
        <f>SUMIFS(입항스케줄!J:J,입항스케줄!C:C,PSI_메인!A36,입항스케줄!U:U,"2604")</f>
        <v/>
      </c>
      <c r="AL36" s="11">
        <f>SUMIFS(입항스케줄!J:J,입항스케줄!C:C,PSI_메인!A36,입항스케줄!V:V,"2604")</f>
        <v/>
      </c>
      <c r="AM36" s="280">
        <f>$G36+AK36-AI36</f>
        <v/>
      </c>
      <c r="AN36" s="277">
        <f>$G36+AL36-AJ36</f>
        <v/>
      </c>
      <c r="AO36" s="278" t="n">
        <v>0</v>
      </c>
      <c r="AP36" s="278" t="n">
        <v>0</v>
      </c>
      <c r="AQ36" s="279">
        <f>ROUND((AO36+AP36)/2,0)</f>
        <v/>
      </c>
      <c r="AR36" s="11" t="n">
        <v>0</v>
      </c>
      <c r="AS36" s="9" t="n"/>
      <c r="AT36" s="277" t="n"/>
      <c r="AU36" s="280">
        <f>$G36+AS36-AQ36</f>
        <v/>
      </c>
      <c r="AV36" s="277">
        <f>$G36+AT36-AR36</f>
        <v/>
      </c>
      <c r="AW36" s="278" t="n">
        <v>0</v>
      </c>
      <c r="AX36" s="278" t="n">
        <v>0</v>
      </c>
      <c r="AY36" s="279">
        <f>ROUND((AW36+AX36)/2,0)</f>
        <v/>
      </c>
      <c r="AZ36" s="11" t="n">
        <v>0</v>
      </c>
      <c r="BA36" s="9" t="n"/>
      <c r="BB36" s="11" t="n"/>
      <c r="BC36" s="280">
        <f>$G36+BA36-AY36</f>
        <v/>
      </c>
      <c r="BD36" s="277">
        <f>$G36+BB36-AZ36</f>
        <v/>
      </c>
      <c r="BE36" s="278" t="n">
        <v>0</v>
      </c>
      <c r="BF36" s="278" t="n">
        <v>0</v>
      </c>
      <c r="BG36" s="279">
        <f>ROUND((BE36+BF36)/2,0)</f>
        <v/>
      </c>
      <c r="BH36" s="11" t="n">
        <v>0</v>
      </c>
      <c r="BI36" s="278" t="n"/>
      <c r="BJ36" s="11" t="n"/>
      <c r="BK36" s="280">
        <f>$G36+BI36-BG36</f>
        <v/>
      </c>
      <c r="BL36" s="277">
        <f>$G36+BJ36-BH36</f>
        <v/>
      </c>
      <c r="BM36" s="278" t="n">
        <v>0</v>
      </c>
      <c r="BN36" s="278" t="n">
        <v>0</v>
      </c>
      <c r="BO36" s="279">
        <f>ROUND((BM36+BN36)/2,0)</f>
        <v/>
      </c>
      <c r="BP36" s="11" t="n">
        <v>0</v>
      </c>
      <c r="BQ36" s="278" t="n"/>
      <c r="BR36" s="11" t="n"/>
      <c r="BS36" s="280">
        <f>$G36+BQ36-BO36</f>
        <v/>
      </c>
      <c r="BT36" s="277">
        <f>$G36+BR36-BP36</f>
        <v/>
      </c>
      <c r="BU36" s="278" t="n">
        <v>0</v>
      </c>
      <c r="BV36" s="278" t="n">
        <v>0</v>
      </c>
      <c r="BW36" s="279">
        <f>ROUND((BU36+BV36)/2,0)</f>
        <v/>
      </c>
      <c r="BX36" s="11" t="n">
        <v>0</v>
      </c>
      <c r="BY36" s="278" t="n"/>
      <c r="BZ36" s="11" t="n"/>
      <c r="CA36" s="280">
        <f>$G36+BY36-BW36</f>
        <v/>
      </c>
      <c r="CB36" s="277">
        <f>$G36+BZ36-BX36</f>
        <v/>
      </c>
      <c r="CC36" s="278" t="n">
        <v>0</v>
      </c>
      <c r="CD36" s="278" t="n">
        <v>0</v>
      </c>
      <c r="CE36" s="279">
        <f>ROUND((CC36+CD36)/2,0)</f>
        <v/>
      </c>
      <c r="CF36" s="11" t="n">
        <v>0</v>
      </c>
      <c r="CG36" s="278" t="n"/>
      <c r="CH36" s="11" t="n"/>
      <c r="CI36" s="280">
        <f>$G36+CG36-CE36</f>
        <v/>
      </c>
      <c r="CJ36" s="277">
        <f>$G36+CH36-CF36</f>
        <v/>
      </c>
      <c r="CK36" s="278" t="n">
        <v>0</v>
      </c>
      <c r="CL36" s="278" t="n">
        <v>0</v>
      </c>
      <c r="CM36" s="279">
        <f>ROUND((CK36+CL36)/2,0)</f>
        <v/>
      </c>
      <c r="CN36" s="11" t="n">
        <v>0</v>
      </c>
      <c r="CO36" s="278" t="n"/>
      <c r="CP36" s="277" t="n"/>
      <c r="CQ36" s="280">
        <f>$G36+CO36-CM36</f>
        <v/>
      </c>
      <c r="CR36" s="277">
        <f>$G36+CP36-CN36</f>
        <v/>
      </c>
      <c r="CS36" s="278" t="n">
        <v>0</v>
      </c>
      <c r="CT36" s="278" t="n">
        <v>0</v>
      </c>
      <c r="CU36" s="279">
        <f>ROUND((CS36+CT36)/2,0)</f>
        <v/>
      </c>
      <c r="CV36" s="11" t="n">
        <v>0</v>
      </c>
      <c r="CW36" s="278" t="n"/>
      <c r="CX36" s="277" t="n"/>
      <c r="CY36" s="280">
        <f>$G36+CW36-CU36</f>
        <v/>
      </c>
      <c r="CZ36" s="277">
        <f>$G36+CX36-CV36</f>
        <v/>
      </c>
    </row>
    <row r="37" ht="17.25" customHeight="1" s="480">
      <c r="A37" s="28" t="inlineStr">
        <is>
          <t>ABC34</t>
        </is>
      </c>
      <c r="B37" s="379" t="n"/>
      <c r="C37" s="27" t="n"/>
      <c r="D37" s="28">
        <f>_xlfn.XLOOKUP(A37,'ABC-XYZ분석 (2)'!C:C,'ABC-XYZ분석 (2)'!I:I)</f>
        <v/>
      </c>
      <c r="E37" s="28">
        <f>_xlfn.XLOOKUP(A37,'ABC-XYZ분석 (2)'!C:C,'ABC-XYZ분석 (2)'!AC:AC)</f>
        <v/>
      </c>
      <c r="F37" s="3">
        <f>_xlfn.XLOOKUP(A37,'ABC-XYZ분석 (2)'!C:C,'ABC-XYZ분석 (2)'!AG:AG)</f>
        <v/>
      </c>
      <c r="G37" s="14">
        <f>SUMIF(재고!C:C,PSI_메인!A37,재고!I:I)</f>
        <v/>
      </c>
      <c r="H37" s="277" t="n">
        <v>524</v>
      </c>
      <c r="I37" s="278" t="n">
        <v>0</v>
      </c>
      <c r="J37" s="278" t="n">
        <v>0</v>
      </c>
      <c r="K37" s="279" t="n">
        <v>100</v>
      </c>
      <c r="L37" s="11" t="n">
        <v>0</v>
      </c>
      <c r="M37" s="9">
        <f>SUMIFS(입항스케줄!J:J,입항스케줄!C:C,PSI_메인!A37,입항스케줄!U:U,"2601")</f>
        <v/>
      </c>
      <c r="N37" s="11">
        <f>SUMIFS(입항스케줄!J:J,입항스케줄!C:C,PSI_메인!A37,입항스케줄!V:V,"2601")</f>
        <v/>
      </c>
      <c r="O37" s="280">
        <f>$G37+M37-K37</f>
        <v/>
      </c>
      <c r="P37" s="277">
        <f>$G37+N37-L37</f>
        <v/>
      </c>
      <c r="Q37" s="278" t="n">
        <v>0</v>
      </c>
      <c r="R37" s="278" t="n">
        <v>0</v>
      </c>
      <c r="S37" s="10" t="n">
        <v>0</v>
      </c>
      <c r="T37" s="11" t="n">
        <v>0</v>
      </c>
      <c r="U37" s="9">
        <f>SUMIFS(입항스케줄!J:J,입항스케줄!C:C,PSI_메인!A37,입항스케줄!U:U,"2602")</f>
        <v/>
      </c>
      <c r="V37" s="11">
        <f>SUMIFS(입항스케줄!J:J,입항스케줄!C:C,PSI_메인!A37,입항스케줄!V:V,"2602")</f>
        <v/>
      </c>
      <c r="W37" s="280">
        <f>$G37+U37-S37</f>
        <v/>
      </c>
      <c r="X37" s="277">
        <f>$G37+V37-T37</f>
        <v/>
      </c>
      <c r="Y37" s="278" t="n">
        <v>0</v>
      </c>
      <c r="Z37" s="278" t="n">
        <v>0</v>
      </c>
      <c r="AA37" s="279">
        <f>ROUND((Y37+Z37)/2,0)</f>
        <v/>
      </c>
      <c r="AB37" s="11" t="n">
        <v>0</v>
      </c>
      <c r="AC37" s="9">
        <f>SUMIFS(입항스케줄!J:J,입항스케줄!C:C,PSI_메인!A37,입항스케줄!U:U,"2603")</f>
        <v/>
      </c>
      <c r="AD37" s="11">
        <f>SUMIFS(입항스케줄!J:J,입항스케줄!C:C,PSI_메인!A37,입항스케줄!V:V,"2603")</f>
        <v/>
      </c>
      <c r="AE37" s="280">
        <f>$G37+AC37-AA37</f>
        <v/>
      </c>
      <c r="AF37" s="277">
        <f>$G37+AD37-AB37</f>
        <v/>
      </c>
      <c r="AG37" s="278" t="n">
        <v>0</v>
      </c>
      <c r="AH37" s="278" t="n">
        <v>0</v>
      </c>
      <c r="AI37" s="279">
        <f>ROUND((AG37+AH37)/2,0)</f>
        <v/>
      </c>
      <c r="AJ37" s="11" t="n">
        <v>0</v>
      </c>
      <c r="AK37" s="9">
        <f>SUMIFS(입항스케줄!J:J,입항스케줄!C:C,PSI_메인!A37,입항스케줄!U:U,"2604")</f>
        <v/>
      </c>
      <c r="AL37" s="11">
        <f>SUMIFS(입항스케줄!J:J,입항스케줄!C:C,PSI_메인!A37,입항스케줄!V:V,"2604")</f>
        <v/>
      </c>
      <c r="AM37" s="280">
        <f>$G37+AK37-AI37</f>
        <v/>
      </c>
      <c r="AN37" s="277">
        <f>$G37+AL37-AJ37</f>
        <v/>
      </c>
      <c r="AO37" s="278" t="n">
        <v>0</v>
      </c>
      <c r="AP37" s="278" t="n">
        <v>0</v>
      </c>
      <c r="AQ37" s="279">
        <f>ROUND((AO37+AP37)/2,0)</f>
        <v/>
      </c>
      <c r="AR37" s="11" t="n">
        <v>0</v>
      </c>
      <c r="AS37" s="9" t="n"/>
      <c r="AT37" s="277" t="n"/>
      <c r="AU37" s="280">
        <f>$G37+AS37-AQ37</f>
        <v/>
      </c>
      <c r="AV37" s="277">
        <f>$G37+AT37-AR37</f>
        <v/>
      </c>
      <c r="AW37" s="278" t="n">
        <v>0</v>
      </c>
      <c r="AX37" s="278" t="n">
        <v>0</v>
      </c>
      <c r="AY37" s="279">
        <f>ROUND((AW37+AX37)/2,0)</f>
        <v/>
      </c>
      <c r="AZ37" s="11" t="n">
        <v>0</v>
      </c>
      <c r="BA37" s="9" t="n"/>
      <c r="BB37" s="11" t="n"/>
      <c r="BC37" s="280">
        <f>$G37+BA37-AY37</f>
        <v/>
      </c>
      <c r="BD37" s="277">
        <f>$G37+BB37-AZ37</f>
        <v/>
      </c>
      <c r="BE37" s="278" t="n">
        <v>0</v>
      </c>
      <c r="BF37" s="278" t="n">
        <v>0</v>
      </c>
      <c r="BG37" s="279">
        <f>ROUND((BE37+BF37)/2,0)</f>
        <v/>
      </c>
      <c r="BH37" s="11" t="n">
        <v>0</v>
      </c>
      <c r="BI37" s="278" t="n"/>
      <c r="BJ37" s="11" t="n"/>
      <c r="BK37" s="280">
        <f>$G37+BI37-BG37</f>
        <v/>
      </c>
      <c r="BL37" s="277">
        <f>$G37+BJ37-BH37</f>
        <v/>
      </c>
      <c r="BM37" s="278" t="n">
        <v>0</v>
      </c>
      <c r="BN37" s="278" t="n">
        <v>0</v>
      </c>
      <c r="BO37" s="279">
        <f>ROUND((BM37+BN37)/2,0)</f>
        <v/>
      </c>
      <c r="BP37" s="11" t="n">
        <v>0</v>
      </c>
      <c r="BQ37" s="278" t="n"/>
      <c r="BR37" s="11" t="n"/>
      <c r="BS37" s="280">
        <f>$G37+BQ37-BO37</f>
        <v/>
      </c>
      <c r="BT37" s="277">
        <f>$G37+BR37-BP37</f>
        <v/>
      </c>
      <c r="BU37" s="278" t="n">
        <v>0</v>
      </c>
      <c r="BV37" s="278" t="n">
        <v>0</v>
      </c>
      <c r="BW37" s="279">
        <f>ROUND((BU37+BV37)/2,0)</f>
        <v/>
      </c>
      <c r="BX37" s="11" t="n">
        <v>0</v>
      </c>
      <c r="BY37" s="278" t="n"/>
      <c r="BZ37" s="11" t="n"/>
      <c r="CA37" s="280">
        <f>$G37+BY37-BW37</f>
        <v/>
      </c>
      <c r="CB37" s="277">
        <f>$G37+BZ37-BX37</f>
        <v/>
      </c>
      <c r="CC37" s="278" t="n">
        <v>0</v>
      </c>
      <c r="CD37" s="278" t="n">
        <v>0</v>
      </c>
      <c r="CE37" s="279">
        <f>ROUND((CC37+CD37)/2,0)</f>
        <v/>
      </c>
      <c r="CF37" s="11" t="n">
        <v>0</v>
      </c>
      <c r="CG37" s="278" t="n"/>
      <c r="CH37" s="11" t="n"/>
      <c r="CI37" s="280">
        <f>$G37+CG37-CE37</f>
        <v/>
      </c>
      <c r="CJ37" s="277">
        <f>$G37+CH37-CF37</f>
        <v/>
      </c>
      <c r="CK37" s="278" t="n">
        <v>0</v>
      </c>
      <c r="CL37" s="278" t="n">
        <v>0</v>
      </c>
      <c r="CM37" s="279">
        <f>ROUND((CK37+CL37)/2,0)</f>
        <v/>
      </c>
      <c r="CN37" s="11" t="n">
        <v>0</v>
      </c>
      <c r="CO37" s="278" t="n"/>
      <c r="CP37" s="277" t="n"/>
      <c r="CQ37" s="280">
        <f>$G37+CO37-CM37</f>
        <v/>
      </c>
      <c r="CR37" s="277">
        <f>$G37+CP37-CN37</f>
        <v/>
      </c>
      <c r="CS37" s="278" t="n">
        <v>0</v>
      </c>
      <c r="CT37" s="278" t="n">
        <v>0</v>
      </c>
      <c r="CU37" s="279">
        <f>ROUND((CS37+CT37)/2,0)</f>
        <v/>
      </c>
      <c r="CV37" s="11" t="n">
        <v>0</v>
      </c>
      <c r="CW37" s="278" t="n"/>
      <c r="CX37" s="277" t="n"/>
      <c r="CY37" s="280">
        <f>$G37+CW37-CU37</f>
        <v/>
      </c>
      <c r="CZ37" s="277">
        <f>$G37+CX37-CV37</f>
        <v/>
      </c>
    </row>
    <row r="38" ht="17.25" customHeight="1" s="480">
      <c r="A38" s="28" t="inlineStr">
        <is>
          <t>ABC35</t>
        </is>
      </c>
      <c r="B38" s="379" t="n"/>
      <c r="C38" s="27" t="n"/>
      <c r="D38" s="28">
        <f>_xlfn.XLOOKUP(A38,'ABC-XYZ분석 (2)'!C:C,'ABC-XYZ분석 (2)'!I:I)</f>
        <v/>
      </c>
      <c r="E38" s="28">
        <f>_xlfn.XLOOKUP(A38,'ABC-XYZ분석 (2)'!C:C,'ABC-XYZ분석 (2)'!AC:AC)</f>
        <v/>
      </c>
      <c r="F38" s="3">
        <f>_xlfn.XLOOKUP(A38,'ABC-XYZ분석 (2)'!C:C,'ABC-XYZ분석 (2)'!AG:AG)</f>
        <v/>
      </c>
      <c r="G38" s="14">
        <f>SUMIF(재고!C:C,PSI_메인!A38,재고!I:I)</f>
        <v/>
      </c>
      <c r="H38" s="277" t="n">
        <v>928</v>
      </c>
      <c r="I38" s="278" t="n">
        <v>0</v>
      </c>
      <c r="J38" s="278" t="n">
        <v>0</v>
      </c>
      <c r="K38" s="279" t="n">
        <v>200</v>
      </c>
      <c r="L38" s="11" t="n">
        <v>0</v>
      </c>
      <c r="M38" s="9">
        <f>SUMIFS(입항스케줄!J:J,입항스케줄!C:C,PSI_메인!A38,입항스케줄!U:U,"2601")</f>
        <v/>
      </c>
      <c r="N38" s="11">
        <f>SUMIFS(입항스케줄!J:J,입항스케줄!C:C,PSI_메인!A38,입항스케줄!V:V,"2601")</f>
        <v/>
      </c>
      <c r="O38" s="280">
        <f>$G38+M38-K38</f>
        <v/>
      </c>
      <c r="P38" s="277">
        <f>$G38+N38-L38</f>
        <v/>
      </c>
      <c r="Q38" s="278" t="n">
        <v>0</v>
      </c>
      <c r="R38" s="278" t="n">
        <v>0</v>
      </c>
      <c r="S38" s="10" t="n">
        <v>200</v>
      </c>
      <c r="T38" s="11" t="n">
        <v>0</v>
      </c>
      <c r="U38" s="9">
        <f>SUMIFS(입항스케줄!J:J,입항스케줄!C:C,PSI_메인!A38,입항스케줄!U:U,"2602")</f>
        <v/>
      </c>
      <c r="V38" s="11">
        <f>SUMIFS(입항스케줄!J:J,입항스케줄!C:C,PSI_메인!A38,입항스케줄!V:V,"2602")</f>
        <v/>
      </c>
      <c r="W38" s="280">
        <f>$G38+U38-S38</f>
        <v/>
      </c>
      <c r="X38" s="277">
        <f>$G38+V38-T38</f>
        <v/>
      </c>
      <c r="Y38" s="278" t="n">
        <v>0</v>
      </c>
      <c r="Z38" s="278" t="n">
        <v>0</v>
      </c>
      <c r="AA38" s="279">
        <f>ROUND((Y38+Z38)/2,0)</f>
        <v/>
      </c>
      <c r="AB38" s="11" t="n">
        <v>0</v>
      </c>
      <c r="AC38" s="9">
        <f>SUMIFS(입항스케줄!J:J,입항스케줄!C:C,PSI_메인!A38,입항스케줄!U:U,"2603")</f>
        <v/>
      </c>
      <c r="AD38" s="11">
        <f>SUMIFS(입항스케줄!J:J,입항스케줄!C:C,PSI_메인!A38,입항스케줄!V:V,"2603")</f>
        <v/>
      </c>
      <c r="AE38" s="280">
        <f>$G38+AC38-AA38</f>
        <v/>
      </c>
      <c r="AF38" s="277">
        <f>$G38+AD38-AB38</f>
        <v/>
      </c>
      <c r="AG38" s="278" t="n">
        <v>0</v>
      </c>
      <c r="AH38" s="278" t="n">
        <v>0</v>
      </c>
      <c r="AI38" s="279">
        <f>ROUND((AG38+AH38)/2,0)</f>
        <v/>
      </c>
      <c r="AJ38" s="11" t="n">
        <v>0</v>
      </c>
      <c r="AK38" s="9">
        <f>SUMIFS(입항스케줄!J:J,입항스케줄!C:C,PSI_메인!A38,입항스케줄!U:U,"2604")</f>
        <v/>
      </c>
      <c r="AL38" s="11">
        <f>SUMIFS(입항스케줄!J:J,입항스케줄!C:C,PSI_메인!A38,입항스케줄!V:V,"2604")</f>
        <v/>
      </c>
      <c r="AM38" s="280">
        <f>$G38+AK38-AI38</f>
        <v/>
      </c>
      <c r="AN38" s="277">
        <f>$G38+AL38-AJ38</f>
        <v/>
      </c>
      <c r="AO38" s="278" t="n">
        <v>0</v>
      </c>
      <c r="AP38" s="278" t="n">
        <v>0</v>
      </c>
      <c r="AQ38" s="279">
        <f>ROUND((AO38+AP38)/2,0)</f>
        <v/>
      </c>
      <c r="AR38" s="11" t="n">
        <v>0</v>
      </c>
      <c r="AS38" s="9" t="n"/>
      <c r="AT38" s="277" t="n"/>
      <c r="AU38" s="280">
        <f>$G38+AS38-AQ38</f>
        <v/>
      </c>
      <c r="AV38" s="277">
        <f>$G38+AT38-AR38</f>
        <v/>
      </c>
      <c r="AW38" s="278" t="n">
        <v>0</v>
      </c>
      <c r="AX38" s="278" t="n">
        <v>0</v>
      </c>
      <c r="AY38" s="279">
        <f>ROUND((AW38+AX38)/2,0)</f>
        <v/>
      </c>
      <c r="AZ38" s="11" t="n">
        <v>0</v>
      </c>
      <c r="BA38" s="9" t="n"/>
      <c r="BB38" s="11" t="n"/>
      <c r="BC38" s="280">
        <f>$G38+BA38-AY38</f>
        <v/>
      </c>
      <c r="BD38" s="277">
        <f>$G38+BB38-AZ38</f>
        <v/>
      </c>
      <c r="BE38" s="278" t="n">
        <v>0</v>
      </c>
      <c r="BF38" s="278" t="n">
        <v>0</v>
      </c>
      <c r="BG38" s="279">
        <f>ROUND((BE38+BF38)/2,0)</f>
        <v/>
      </c>
      <c r="BH38" s="11" t="n">
        <v>0</v>
      </c>
      <c r="BI38" s="278" t="n"/>
      <c r="BJ38" s="11" t="n"/>
      <c r="BK38" s="280">
        <f>$G38+BI38-BG38</f>
        <v/>
      </c>
      <c r="BL38" s="277">
        <f>$G38+BJ38-BH38</f>
        <v/>
      </c>
      <c r="BM38" s="278" t="n">
        <v>0</v>
      </c>
      <c r="BN38" s="278" t="n">
        <v>0</v>
      </c>
      <c r="BO38" s="279">
        <f>ROUND((BM38+BN38)/2,0)</f>
        <v/>
      </c>
      <c r="BP38" s="11" t="n">
        <v>0</v>
      </c>
      <c r="BQ38" s="278" t="n"/>
      <c r="BR38" s="11" t="n"/>
      <c r="BS38" s="280">
        <f>$G38+BQ38-BO38</f>
        <v/>
      </c>
      <c r="BT38" s="277">
        <f>$G38+BR38-BP38</f>
        <v/>
      </c>
      <c r="BU38" s="278" t="n">
        <v>0</v>
      </c>
      <c r="BV38" s="278" t="n">
        <v>0</v>
      </c>
      <c r="BW38" s="279">
        <f>ROUND((BU38+BV38)/2,0)</f>
        <v/>
      </c>
      <c r="BX38" s="11" t="n">
        <v>0</v>
      </c>
      <c r="BY38" s="278" t="n"/>
      <c r="BZ38" s="11" t="n"/>
      <c r="CA38" s="280">
        <f>$G38+BY38-BW38</f>
        <v/>
      </c>
      <c r="CB38" s="277">
        <f>$G38+BZ38-BX38</f>
        <v/>
      </c>
      <c r="CC38" s="278" t="n">
        <v>0</v>
      </c>
      <c r="CD38" s="278" t="n">
        <v>0</v>
      </c>
      <c r="CE38" s="279">
        <f>ROUND((CC38+CD38)/2,0)</f>
        <v/>
      </c>
      <c r="CF38" s="11" t="n">
        <v>0</v>
      </c>
      <c r="CG38" s="278" t="n"/>
      <c r="CH38" s="11" t="n"/>
      <c r="CI38" s="280">
        <f>$G38+CG38-CE38</f>
        <v/>
      </c>
      <c r="CJ38" s="277">
        <f>$G38+CH38-CF38</f>
        <v/>
      </c>
      <c r="CK38" s="278" t="n">
        <v>0</v>
      </c>
      <c r="CL38" s="278" t="n">
        <v>0</v>
      </c>
      <c r="CM38" s="279">
        <f>ROUND((CK38+CL38)/2,0)</f>
        <v/>
      </c>
      <c r="CN38" s="11" t="n">
        <v>0</v>
      </c>
      <c r="CO38" s="278" t="n"/>
      <c r="CP38" s="277" t="n"/>
      <c r="CQ38" s="280">
        <f>$G38+CO38-CM38</f>
        <v/>
      </c>
      <c r="CR38" s="277">
        <f>$G38+CP38-CN38</f>
        <v/>
      </c>
      <c r="CS38" s="278" t="n">
        <v>0</v>
      </c>
      <c r="CT38" s="278" t="n">
        <v>0</v>
      </c>
      <c r="CU38" s="279">
        <f>ROUND((CS38+CT38)/2,0)</f>
        <v/>
      </c>
      <c r="CV38" s="11" t="n">
        <v>0</v>
      </c>
      <c r="CW38" s="278" t="n"/>
      <c r="CX38" s="277" t="n"/>
      <c r="CY38" s="280">
        <f>$G38+CW38-CU38</f>
        <v/>
      </c>
      <c r="CZ38" s="277">
        <f>$G38+CX38-CV38</f>
        <v/>
      </c>
    </row>
    <row r="39" ht="17.25" customHeight="1" s="480">
      <c r="A39" s="28" t="inlineStr">
        <is>
          <t>ABC36</t>
        </is>
      </c>
      <c r="B39" s="379" t="n"/>
      <c r="C39" s="27" t="n"/>
      <c r="D39" s="28">
        <f>_xlfn.XLOOKUP(A39,'ABC-XYZ분석 (2)'!C:C,'ABC-XYZ분석 (2)'!I:I)</f>
        <v/>
      </c>
      <c r="E39" s="28">
        <f>_xlfn.XLOOKUP(A39,'ABC-XYZ분석 (2)'!C:C,'ABC-XYZ분석 (2)'!AC:AC)</f>
        <v/>
      </c>
      <c r="F39" s="3">
        <f>_xlfn.XLOOKUP(A39,'ABC-XYZ분석 (2)'!C:C,'ABC-XYZ분석 (2)'!AG:AG)</f>
        <v/>
      </c>
      <c r="G39" s="14">
        <f>SUMIF(재고!C:C,PSI_메인!A39,재고!I:I)</f>
        <v/>
      </c>
      <c r="H39" s="277" t="n">
        <v>2585</v>
      </c>
      <c r="I39" s="278" t="n">
        <v>0</v>
      </c>
      <c r="J39" s="278" t="n">
        <v>0</v>
      </c>
      <c r="K39" s="279" t="n">
        <v>0</v>
      </c>
      <c r="L39" s="11" t="n">
        <v>0</v>
      </c>
      <c r="M39" s="9">
        <f>SUMIFS(입항스케줄!J:J,입항스케줄!C:C,PSI_메인!A39,입항스케줄!U:U,"2601")</f>
        <v/>
      </c>
      <c r="N39" s="11">
        <f>SUMIFS(입항스케줄!J:J,입항스케줄!C:C,PSI_메인!A39,입항스케줄!V:V,"2601")</f>
        <v/>
      </c>
      <c r="O39" s="280">
        <f>$G39+M39-K39</f>
        <v/>
      </c>
      <c r="P39" s="277">
        <f>$G39+N39-L39</f>
        <v/>
      </c>
      <c r="Q39" s="278" t="n">
        <v>0</v>
      </c>
      <c r="R39" s="278" t="n">
        <v>0</v>
      </c>
      <c r="S39" s="10" t="n">
        <v>0</v>
      </c>
      <c r="T39" s="11" t="n">
        <v>0</v>
      </c>
      <c r="U39" s="9">
        <f>SUMIFS(입항스케줄!J:J,입항스케줄!C:C,PSI_메인!A39,입항스케줄!U:U,"2602")</f>
        <v/>
      </c>
      <c r="V39" s="11">
        <f>SUMIFS(입항스케줄!J:J,입항스케줄!C:C,PSI_메인!A39,입항스케줄!V:V,"2602")</f>
        <v/>
      </c>
      <c r="W39" s="280">
        <f>$G39+U39-S39</f>
        <v/>
      </c>
      <c r="X39" s="277">
        <f>$G39+V39-T39</f>
        <v/>
      </c>
      <c r="Y39" s="278" t="n">
        <v>0</v>
      </c>
      <c r="Z39" s="278" t="n">
        <v>0</v>
      </c>
      <c r="AA39" s="279">
        <f>ROUND((Y39+Z39)/2,0)</f>
        <v/>
      </c>
      <c r="AB39" s="11" t="n">
        <v>0</v>
      </c>
      <c r="AC39" s="9">
        <f>SUMIFS(입항스케줄!J:J,입항스케줄!C:C,PSI_메인!A39,입항스케줄!U:U,"2603")</f>
        <v/>
      </c>
      <c r="AD39" s="11">
        <f>SUMIFS(입항스케줄!J:J,입항스케줄!C:C,PSI_메인!A39,입항스케줄!V:V,"2603")</f>
        <v/>
      </c>
      <c r="AE39" s="280">
        <f>$G39+AC39-AA39</f>
        <v/>
      </c>
      <c r="AF39" s="277">
        <f>$G39+AD39-AB39</f>
        <v/>
      </c>
      <c r="AG39" s="278" t="n">
        <v>0</v>
      </c>
      <c r="AH39" s="278" t="n">
        <v>0</v>
      </c>
      <c r="AI39" s="279">
        <f>ROUND((AG39+AH39)/2,0)</f>
        <v/>
      </c>
      <c r="AJ39" s="11" t="n">
        <v>0</v>
      </c>
      <c r="AK39" s="9">
        <f>SUMIFS(입항스케줄!J:J,입항스케줄!C:C,PSI_메인!A39,입항스케줄!U:U,"2604")</f>
        <v/>
      </c>
      <c r="AL39" s="11">
        <f>SUMIFS(입항스케줄!J:J,입항스케줄!C:C,PSI_메인!A39,입항스케줄!V:V,"2604")</f>
        <v/>
      </c>
      <c r="AM39" s="280">
        <f>$G39+AK39-AI39</f>
        <v/>
      </c>
      <c r="AN39" s="277">
        <f>$G39+AL39-AJ39</f>
        <v/>
      </c>
      <c r="AO39" s="278" t="n">
        <v>0</v>
      </c>
      <c r="AP39" s="278" t="n">
        <v>0</v>
      </c>
      <c r="AQ39" s="279">
        <f>ROUND((AO39+AP39)/2,0)</f>
        <v/>
      </c>
      <c r="AR39" s="11" t="n">
        <v>0</v>
      </c>
      <c r="AS39" s="9" t="n"/>
      <c r="AT39" s="277" t="n"/>
      <c r="AU39" s="280">
        <f>$G39+AS39-AQ39</f>
        <v/>
      </c>
      <c r="AV39" s="277">
        <f>$G39+AT39-AR39</f>
        <v/>
      </c>
      <c r="AW39" s="278" t="n">
        <v>0</v>
      </c>
      <c r="AX39" s="278" t="n">
        <v>0</v>
      </c>
      <c r="AY39" s="279">
        <f>ROUND((AW39+AX39)/2,0)</f>
        <v/>
      </c>
      <c r="AZ39" s="11" t="n">
        <v>0</v>
      </c>
      <c r="BA39" s="9" t="n"/>
      <c r="BB39" s="11" t="n"/>
      <c r="BC39" s="280">
        <f>$G39+BA39-AY39</f>
        <v/>
      </c>
      <c r="BD39" s="277">
        <f>$G39+BB39-AZ39</f>
        <v/>
      </c>
      <c r="BE39" s="278" t="n">
        <v>0</v>
      </c>
      <c r="BF39" s="278" t="n">
        <v>0</v>
      </c>
      <c r="BG39" s="279">
        <f>ROUND((BE39+BF39)/2,0)</f>
        <v/>
      </c>
      <c r="BH39" s="11" t="n">
        <v>0</v>
      </c>
      <c r="BI39" s="278" t="n"/>
      <c r="BJ39" s="11" t="n"/>
      <c r="BK39" s="280">
        <f>$G39+BI39-BG39</f>
        <v/>
      </c>
      <c r="BL39" s="277">
        <f>$G39+BJ39-BH39</f>
        <v/>
      </c>
      <c r="BM39" s="278" t="n">
        <v>0</v>
      </c>
      <c r="BN39" s="278" t="n">
        <v>0</v>
      </c>
      <c r="BO39" s="279">
        <f>ROUND((BM39+BN39)/2,0)</f>
        <v/>
      </c>
      <c r="BP39" s="11" t="n">
        <v>0</v>
      </c>
      <c r="BQ39" s="278" t="n"/>
      <c r="BR39" s="11" t="n"/>
      <c r="BS39" s="280">
        <f>$G39+BQ39-BO39</f>
        <v/>
      </c>
      <c r="BT39" s="277">
        <f>$G39+BR39-BP39</f>
        <v/>
      </c>
      <c r="BU39" s="278" t="n">
        <v>0</v>
      </c>
      <c r="BV39" s="278" t="n">
        <v>0</v>
      </c>
      <c r="BW39" s="279">
        <f>ROUND((BU39+BV39)/2,0)</f>
        <v/>
      </c>
      <c r="BX39" s="11" t="n">
        <v>0</v>
      </c>
      <c r="BY39" s="278" t="n"/>
      <c r="BZ39" s="11" t="n"/>
      <c r="CA39" s="280">
        <f>$G39+BY39-BW39</f>
        <v/>
      </c>
      <c r="CB39" s="277">
        <f>$G39+BZ39-BX39</f>
        <v/>
      </c>
      <c r="CC39" s="278" t="n">
        <v>0</v>
      </c>
      <c r="CD39" s="278" t="n">
        <v>0</v>
      </c>
      <c r="CE39" s="279">
        <f>ROUND((CC39+CD39)/2,0)</f>
        <v/>
      </c>
      <c r="CF39" s="11" t="n">
        <v>0</v>
      </c>
      <c r="CG39" s="278" t="n"/>
      <c r="CH39" s="11" t="n"/>
      <c r="CI39" s="280">
        <f>$G39+CG39-CE39</f>
        <v/>
      </c>
      <c r="CJ39" s="277">
        <f>$G39+CH39-CF39</f>
        <v/>
      </c>
      <c r="CK39" s="278" t="n">
        <v>0</v>
      </c>
      <c r="CL39" s="278" t="n">
        <v>0</v>
      </c>
      <c r="CM39" s="279">
        <f>ROUND((CK39+CL39)/2,0)</f>
        <v/>
      </c>
      <c r="CN39" s="11" t="n">
        <v>0</v>
      </c>
      <c r="CO39" s="278" t="n"/>
      <c r="CP39" s="277" t="n"/>
      <c r="CQ39" s="280">
        <f>$G39+CO39-CM39</f>
        <v/>
      </c>
      <c r="CR39" s="277">
        <f>$G39+CP39-CN39</f>
        <v/>
      </c>
      <c r="CS39" s="278" t="n">
        <v>0</v>
      </c>
      <c r="CT39" s="278" t="n">
        <v>0</v>
      </c>
      <c r="CU39" s="279">
        <f>ROUND((CS39+CT39)/2,0)</f>
        <v/>
      </c>
      <c r="CV39" s="11" t="n">
        <v>0</v>
      </c>
      <c r="CW39" s="278" t="n"/>
      <c r="CX39" s="277" t="n"/>
      <c r="CY39" s="280">
        <f>$G39+CW39-CU39</f>
        <v/>
      </c>
      <c r="CZ39" s="277">
        <f>$G39+CX39-CV39</f>
        <v/>
      </c>
    </row>
    <row r="40" ht="17.25" customHeight="1" s="480">
      <c r="A40" s="28" t="inlineStr">
        <is>
          <t>ABC37</t>
        </is>
      </c>
      <c r="B40" s="379" t="n"/>
      <c r="C40" s="27" t="n"/>
      <c r="D40" s="28">
        <f>_xlfn.XLOOKUP(A40,'ABC-XYZ분석 (2)'!C:C,'ABC-XYZ분석 (2)'!I:I)</f>
        <v/>
      </c>
      <c r="E40" s="28">
        <f>_xlfn.XLOOKUP(A40,'ABC-XYZ분석 (2)'!C:C,'ABC-XYZ분석 (2)'!AC:AC)</f>
        <v/>
      </c>
      <c r="F40" s="3">
        <f>_xlfn.XLOOKUP(A40,'ABC-XYZ분석 (2)'!C:C,'ABC-XYZ분석 (2)'!AG:AG)</f>
        <v/>
      </c>
      <c r="G40" s="14">
        <f>SUMIF(재고!C:C,PSI_메인!A40,재고!I:I)</f>
        <v/>
      </c>
      <c r="H40" s="277" t="n">
        <v>2049</v>
      </c>
      <c r="I40" s="278" t="n">
        <v>0</v>
      </c>
      <c r="J40" s="278" t="n">
        <v>0</v>
      </c>
      <c r="K40" s="279" t="n">
        <v>50</v>
      </c>
      <c r="L40" s="11" t="n">
        <v>0</v>
      </c>
      <c r="M40" s="9">
        <f>SUMIFS(입항스케줄!J:J,입항스케줄!C:C,PSI_메인!A40,입항스케줄!U:U,"2601")</f>
        <v/>
      </c>
      <c r="N40" s="11">
        <f>SUMIFS(입항스케줄!J:J,입항스케줄!C:C,PSI_메인!A40,입항스케줄!V:V,"2601")</f>
        <v/>
      </c>
      <c r="O40" s="280">
        <f>$G40+M40-K40</f>
        <v/>
      </c>
      <c r="P40" s="277">
        <f>$G40+N40-L40</f>
        <v/>
      </c>
      <c r="Q40" s="278" t="n">
        <v>0</v>
      </c>
      <c r="R40" s="278" t="n">
        <v>0</v>
      </c>
      <c r="S40" s="10" t="n">
        <v>150</v>
      </c>
      <c r="T40" s="11" t="n">
        <v>0</v>
      </c>
      <c r="U40" s="9">
        <f>SUMIFS(입항스케줄!J:J,입항스케줄!C:C,PSI_메인!A40,입항스케줄!U:U,"2602")</f>
        <v/>
      </c>
      <c r="V40" s="11">
        <f>SUMIFS(입항스케줄!J:J,입항스케줄!C:C,PSI_메인!A40,입항스케줄!V:V,"2602")</f>
        <v/>
      </c>
      <c r="W40" s="280">
        <f>$G40+U40-S40</f>
        <v/>
      </c>
      <c r="X40" s="277">
        <f>$G40+V40-T40</f>
        <v/>
      </c>
      <c r="Y40" s="278" t="n">
        <v>0</v>
      </c>
      <c r="Z40" s="278" t="n">
        <v>0</v>
      </c>
      <c r="AA40" s="279">
        <f>ROUND((Y40+Z40)/2,0)</f>
        <v/>
      </c>
      <c r="AB40" s="11" t="n">
        <v>0</v>
      </c>
      <c r="AC40" s="9">
        <f>SUMIFS(입항스케줄!J:J,입항스케줄!C:C,PSI_메인!A40,입항스케줄!U:U,"2603")</f>
        <v/>
      </c>
      <c r="AD40" s="11">
        <f>SUMIFS(입항스케줄!J:J,입항스케줄!C:C,PSI_메인!A40,입항스케줄!V:V,"2603")</f>
        <v/>
      </c>
      <c r="AE40" s="280">
        <f>$G40+AC40-AA40</f>
        <v/>
      </c>
      <c r="AF40" s="277">
        <f>$G40+AD40-AB40</f>
        <v/>
      </c>
      <c r="AG40" s="278" t="n">
        <v>0</v>
      </c>
      <c r="AH40" s="278" t="n">
        <v>0</v>
      </c>
      <c r="AI40" s="279">
        <f>ROUND((AG40+AH40)/2,0)</f>
        <v/>
      </c>
      <c r="AJ40" s="11" t="n">
        <v>0</v>
      </c>
      <c r="AK40" s="9">
        <f>SUMIFS(입항스케줄!J:J,입항스케줄!C:C,PSI_메인!A40,입항스케줄!U:U,"2604")</f>
        <v/>
      </c>
      <c r="AL40" s="11">
        <f>SUMIFS(입항스케줄!J:J,입항스케줄!C:C,PSI_메인!A40,입항스케줄!V:V,"2604")</f>
        <v/>
      </c>
      <c r="AM40" s="280">
        <f>$G40+AK40-AI40</f>
        <v/>
      </c>
      <c r="AN40" s="277">
        <f>$G40+AL40-AJ40</f>
        <v/>
      </c>
      <c r="AO40" s="278" t="n">
        <v>0</v>
      </c>
      <c r="AP40" s="278" t="n">
        <v>0</v>
      </c>
      <c r="AQ40" s="279">
        <f>ROUND((AO40+AP40)/2,0)</f>
        <v/>
      </c>
      <c r="AR40" s="11" t="n">
        <v>0</v>
      </c>
      <c r="AS40" s="9" t="n"/>
      <c r="AT40" s="277" t="n"/>
      <c r="AU40" s="280">
        <f>$G40+AS40-AQ40</f>
        <v/>
      </c>
      <c r="AV40" s="277">
        <f>$G40+AT40-AR40</f>
        <v/>
      </c>
      <c r="AW40" s="278" t="n">
        <v>0</v>
      </c>
      <c r="AX40" s="278" t="n">
        <v>0</v>
      </c>
      <c r="AY40" s="279">
        <f>ROUND((AW40+AX40)/2,0)</f>
        <v/>
      </c>
      <c r="AZ40" s="11" t="n">
        <v>0</v>
      </c>
      <c r="BA40" s="9" t="n"/>
      <c r="BB40" s="11" t="n"/>
      <c r="BC40" s="280">
        <f>$G40+BA40-AY40</f>
        <v/>
      </c>
      <c r="BD40" s="277">
        <f>$G40+BB40-AZ40</f>
        <v/>
      </c>
      <c r="BE40" s="278" t="n">
        <v>0</v>
      </c>
      <c r="BF40" s="278" t="n">
        <v>0</v>
      </c>
      <c r="BG40" s="279">
        <f>ROUND((BE40+BF40)/2,0)</f>
        <v/>
      </c>
      <c r="BH40" s="11" t="n">
        <v>0</v>
      </c>
      <c r="BI40" s="278" t="n"/>
      <c r="BJ40" s="11" t="n"/>
      <c r="BK40" s="280">
        <f>$G40+BI40-BG40</f>
        <v/>
      </c>
      <c r="BL40" s="277">
        <f>$G40+BJ40-BH40</f>
        <v/>
      </c>
      <c r="BM40" s="278" t="n">
        <v>0</v>
      </c>
      <c r="BN40" s="278" t="n">
        <v>0</v>
      </c>
      <c r="BO40" s="279">
        <f>ROUND((BM40+BN40)/2,0)</f>
        <v/>
      </c>
      <c r="BP40" s="11" t="n">
        <v>0</v>
      </c>
      <c r="BQ40" s="278" t="n"/>
      <c r="BR40" s="11" t="n"/>
      <c r="BS40" s="280">
        <f>$G40+BQ40-BO40</f>
        <v/>
      </c>
      <c r="BT40" s="277">
        <f>$G40+BR40-BP40</f>
        <v/>
      </c>
      <c r="BU40" s="278" t="n">
        <v>0</v>
      </c>
      <c r="BV40" s="278" t="n">
        <v>0</v>
      </c>
      <c r="BW40" s="279">
        <f>ROUND((BU40+BV40)/2,0)</f>
        <v/>
      </c>
      <c r="BX40" s="11" t="n">
        <v>0</v>
      </c>
      <c r="BY40" s="278" t="n"/>
      <c r="BZ40" s="11" t="n"/>
      <c r="CA40" s="280">
        <f>$G40+BY40-BW40</f>
        <v/>
      </c>
      <c r="CB40" s="277">
        <f>$G40+BZ40-BX40</f>
        <v/>
      </c>
      <c r="CC40" s="278" t="n">
        <v>0</v>
      </c>
      <c r="CD40" s="278" t="n">
        <v>0</v>
      </c>
      <c r="CE40" s="279">
        <f>ROUND((CC40+CD40)/2,0)</f>
        <v/>
      </c>
      <c r="CF40" s="11" t="n">
        <v>0</v>
      </c>
      <c r="CG40" s="278" t="n"/>
      <c r="CH40" s="11" t="n"/>
      <c r="CI40" s="280">
        <f>$G40+CG40-CE40</f>
        <v/>
      </c>
      <c r="CJ40" s="277">
        <f>$G40+CH40-CF40</f>
        <v/>
      </c>
      <c r="CK40" s="278" t="n">
        <v>0</v>
      </c>
      <c r="CL40" s="278" t="n">
        <v>0</v>
      </c>
      <c r="CM40" s="279">
        <f>ROUND((CK40+CL40)/2,0)</f>
        <v/>
      </c>
      <c r="CN40" s="11" t="n">
        <v>0</v>
      </c>
      <c r="CO40" s="278" t="n"/>
      <c r="CP40" s="277" t="n"/>
      <c r="CQ40" s="280">
        <f>$G40+CO40-CM40</f>
        <v/>
      </c>
      <c r="CR40" s="277">
        <f>$G40+CP40-CN40</f>
        <v/>
      </c>
      <c r="CS40" s="278" t="n">
        <v>0</v>
      </c>
      <c r="CT40" s="278" t="n">
        <v>0</v>
      </c>
      <c r="CU40" s="279">
        <f>ROUND((CS40+CT40)/2,0)</f>
        <v/>
      </c>
      <c r="CV40" s="11" t="n">
        <v>0</v>
      </c>
      <c r="CW40" s="278" t="n"/>
      <c r="CX40" s="277" t="n"/>
      <c r="CY40" s="280">
        <f>$G40+CW40-CU40</f>
        <v/>
      </c>
      <c r="CZ40" s="277">
        <f>$G40+CX40-CV40</f>
        <v/>
      </c>
    </row>
    <row r="41" ht="17.25" customHeight="1" s="480">
      <c r="A41" s="28" t="inlineStr">
        <is>
          <t>ABC38</t>
        </is>
      </c>
      <c r="B41" s="379" t="n"/>
      <c r="C41" s="27" t="n"/>
      <c r="D41" s="28">
        <f>_xlfn.XLOOKUP(A41,'ABC-XYZ분석 (2)'!C:C,'ABC-XYZ분석 (2)'!I:I)</f>
        <v/>
      </c>
      <c r="E41" s="28">
        <f>_xlfn.XLOOKUP(A41,'ABC-XYZ분석 (2)'!C:C,'ABC-XYZ분석 (2)'!AC:AC)</f>
        <v/>
      </c>
      <c r="F41" s="3">
        <f>_xlfn.XLOOKUP(A41,'ABC-XYZ분석 (2)'!C:C,'ABC-XYZ분석 (2)'!AG:AG)</f>
        <v/>
      </c>
      <c r="G41" s="14">
        <f>SUMIF(재고!C:C,PSI_메인!A41,재고!I:I)</f>
        <v/>
      </c>
      <c r="H41" s="277" t="n">
        <v>498</v>
      </c>
      <c r="I41" s="278" t="n">
        <v>0</v>
      </c>
      <c r="J41" s="278" t="n">
        <v>0</v>
      </c>
      <c r="K41" s="279" t="n">
        <v>200</v>
      </c>
      <c r="L41" s="11" t="n">
        <v>0</v>
      </c>
      <c r="M41" s="9">
        <f>SUMIFS(입항스케줄!J:J,입항스케줄!C:C,PSI_메인!A41,입항스케줄!U:U,"2601")</f>
        <v/>
      </c>
      <c r="N41" s="11">
        <f>SUMIFS(입항스케줄!J:J,입항스케줄!C:C,PSI_메인!A41,입항스케줄!V:V,"2601")</f>
        <v/>
      </c>
      <c r="O41" s="280">
        <f>$G41+M41-K41</f>
        <v/>
      </c>
      <c r="P41" s="277">
        <f>$G41+N41-L41</f>
        <v/>
      </c>
      <c r="Q41" s="278" t="n">
        <v>0</v>
      </c>
      <c r="R41" s="278" t="n">
        <v>0</v>
      </c>
      <c r="S41" s="10" t="n">
        <v>0</v>
      </c>
      <c r="T41" s="11" t="n">
        <v>0</v>
      </c>
      <c r="U41" s="9">
        <f>SUMIFS(입항스케줄!J:J,입항스케줄!C:C,PSI_메인!A41,입항스케줄!U:U,"2602")</f>
        <v/>
      </c>
      <c r="V41" s="11">
        <f>SUMIFS(입항스케줄!J:J,입항스케줄!C:C,PSI_메인!A41,입항스케줄!V:V,"2602")</f>
        <v/>
      </c>
      <c r="W41" s="280">
        <f>$G41+U41-S41</f>
        <v/>
      </c>
      <c r="X41" s="277">
        <f>$G41+V41-T41</f>
        <v/>
      </c>
      <c r="Y41" s="278" t="n">
        <v>0</v>
      </c>
      <c r="Z41" s="278" t="n">
        <v>0</v>
      </c>
      <c r="AA41" s="279">
        <f>ROUND((Y41+Z41)/2,0)</f>
        <v/>
      </c>
      <c r="AB41" s="11" t="n">
        <v>0</v>
      </c>
      <c r="AC41" s="9">
        <f>SUMIFS(입항스케줄!J:J,입항스케줄!C:C,PSI_메인!A41,입항스케줄!U:U,"2603")</f>
        <v/>
      </c>
      <c r="AD41" s="11">
        <f>SUMIFS(입항스케줄!J:J,입항스케줄!C:C,PSI_메인!A41,입항스케줄!V:V,"2603")</f>
        <v/>
      </c>
      <c r="AE41" s="280">
        <f>$G41+AC41-AA41</f>
        <v/>
      </c>
      <c r="AF41" s="277">
        <f>$G41+AD41-AB41</f>
        <v/>
      </c>
      <c r="AG41" s="278" t="n">
        <v>0</v>
      </c>
      <c r="AH41" s="278" t="n">
        <v>0</v>
      </c>
      <c r="AI41" s="279">
        <f>ROUND((AG41+AH41)/2,0)</f>
        <v/>
      </c>
      <c r="AJ41" s="11" t="n">
        <v>0</v>
      </c>
      <c r="AK41" s="9">
        <f>SUMIFS(입항스케줄!J:J,입항스케줄!C:C,PSI_메인!A41,입항스케줄!U:U,"2604")</f>
        <v/>
      </c>
      <c r="AL41" s="11">
        <f>SUMIFS(입항스케줄!J:J,입항스케줄!C:C,PSI_메인!A41,입항스케줄!V:V,"2604")</f>
        <v/>
      </c>
      <c r="AM41" s="280">
        <f>$G41+AK41-AI41</f>
        <v/>
      </c>
      <c r="AN41" s="277">
        <f>$G41+AL41-AJ41</f>
        <v/>
      </c>
      <c r="AO41" s="278" t="n">
        <v>0</v>
      </c>
      <c r="AP41" s="278" t="n">
        <v>0</v>
      </c>
      <c r="AQ41" s="279">
        <f>ROUND((AO41+AP41)/2,0)</f>
        <v/>
      </c>
      <c r="AR41" s="11" t="n">
        <v>0</v>
      </c>
      <c r="AS41" s="9" t="n"/>
      <c r="AT41" s="277" t="n"/>
      <c r="AU41" s="280">
        <f>$G41+AS41-AQ41</f>
        <v/>
      </c>
      <c r="AV41" s="277">
        <f>$G41+AT41-AR41</f>
        <v/>
      </c>
      <c r="AW41" s="278" t="n">
        <v>0</v>
      </c>
      <c r="AX41" s="278" t="n">
        <v>0</v>
      </c>
      <c r="AY41" s="279">
        <f>ROUND((AW41+AX41)/2,0)</f>
        <v/>
      </c>
      <c r="AZ41" s="11" t="n">
        <v>0</v>
      </c>
      <c r="BA41" s="9" t="n"/>
      <c r="BB41" s="11" t="n"/>
      <c r="BC41" s="280">
        <f>$G41+BA41-AY41</f>
        <v/>
      </c>
      <c r="BD41" s="277">
        <f>$G41+BB41-AZ41</f>
        <v/>
      </c>
      <c r="BE41" s="278" t="n">
        <v>0</v>
      </c>
      <c r="BF41" s="278" t="n">
        <v>0</v>
      </c>
      <c r="BG41" s="279">
        <f>ROUND((BE41+BF41)/2,0)</f>
        <v/>
      </c>
      <c r="BH41" s="11" t="n">
        <v>0</v>
      </c>
      <c r="BI41" s="278" t="n"/>
      <c r="BJ41" s="11" t="n"/>
      <c r="BK41" s="280">
        <f>$G41+BI41-BG41</f>
        <v/>
      </c>
      <c r="BL41" s="277">
        <f>$G41+BJ41-BH41</f>
        <v/>
      </c>
      <c r="BM41" s="278" t="n">
        <v>0</v>
      </c>
      <c r="BN41" s="278" t="n">
        <v>0</v>
      </c>
      <c r="BO41" s="279">
        <f>ROUND((BM41+BN41)/2,0)</f>
        <v/>
      </c>
      <c r="BP41" s="11" t="n">
        <v>0</v>
      </c>
      <c r="BQ41" s="278" t="n"/>
      <c r="BR41" s="11" t="n"/>
      <c r="BS41" s="280">
        <f>$G41+BQ41-BO41</f>
        <v/>
      </c>
      <c r="BT41" s="277">
        <f>$G41+BR41-BP41</f>
        <v/>
      </c>
      <c r="BU41" s="278" t="n">
        <v>0</v>
      </c>
      <c r="BV41" s="278" t="n">
        <v>0</v>
      </c>
      <c r="BW41" s="279">
        <f>ROUND((BU41+BV41)/2,0)</f>
        <v/>
      </c>
      <c r="BX41" s="11" t="n">
        <v>0</v>
      </c>
      <c r="BY41" s="278" t="n"/>
      <c r="BZ41" s="11" t="n"/>
      <c r="CA41" s="280">
        <f>$G41+BY41-BW41</f>
        <v/>
      </c>
      <c r="CB41" s="277">
        <f>$G41+BZ41-BX41</f>
        <v/>
      </c>
      <c r="CC41" s="278" t="n">
        <v>0</v>
      </c>
      <c r="CD41" s="278" t="n">
        <v>0</v>
      </c>
      <c r="CE41" s="279">
        <f>ROUND((CC41+CD41)/2,0)</f>
        <v/>
      </c>
      <c r="CF41" s="11" t="n">
        <v>0</v>
      </c>
      <c r="CG41" s="278" t="n"/>
      <c r="CH41" s="11" t="n"/>
      <c r="CI41" s="280">
        <f>$G41+CG41-CE41</f>
        <v/>
      </c>
      <c r="CJ41" s="277">
        <f>$G41+CH41-CF41</f>
        <v/>
      </c>
      <c r="CK41" s="278" t="n">
        <v>0</v>
      </c>
      <c r="CL41" s="278" t="n">
        <v>0</v>
      </c>
      <c r="CM41" s="279">
        <f>ROUND((CK41+CL41)/2,0)</f>
        <v/>
      </c>
      <c r="CN41" s="11" t="n">
        <v>0</v>
      </c>
      <c r="CO41" s="278" t="n"/>
      <c r="CP41" s="277" t="n"/>
      <c r="CQ41" s="280">
        <f>$G41+CO41-CM41</f>
        <v/>
      </c>
      <c r="CR41" s="277">
        <f>$G41+CP41-CN41</f>
        <v/>
      </c>
      <c r="CS41" s="278" t="n">
        <v>0</v>
      </c>
      <c r="CT41" s="278" t="n">
        <v>0</v>
      </c>
      <c r="CU41" s="279">
        <f>ROUND((CS41+CT41)/2,0)</f>
        <v/>
      </c>
      <c r="CV41" s="11" t="n">
        <v>0</v>
      </c>
      <c r="CW41" s="278" t="n"/>
      <c r="CX41" s="277" t="n"/>
      <c r="CY41" s="280">
        <f>$G41+CW41-CU41</f>
        <v/>
      </c>
      <c r="CZ41" s="277">
        <f>$G41+CX41-CV41</f>
        <v/>
      </c>
    </row>
    <row r="42" ht="17.25" customHeight="1" s="480">
      <c r="A42" s="28" t="inlineStr">
        <is>
          <t>ABC39</t>
        </is>
      </c>
      <c r="B42" s="379" t="n"/>
      <c r="C42" s="27" t="n"/>
      <c r="D42" s="28">
        <f>_xlfn.XLOOKUP(A42,'ABC-XYZ분석 (2)'!C:C,'ABC-XYZ분석 (2)'!I:I)</f>
        <v/>
      </c>
      <c r="E42" s="28">
        <f>_xlfn.XLOOKUP(A42,'ABC-XYZ분석 (2)'!C:C,'ABC-XYZ분석 (2)'!AC:AC)</f>
        <v/>
      </c>
      <c r="F42" s="3">
        <f>_xlfn.XLOOKUP(A42,'ABC-XYZ분석 (2)'!C:C,'ABC-XYZ분석 (2)'!AG:AG)</f>
        <v/>
      </c>
      <c r="G42" s="14">
        <f>SUMIF(재고!C:C,PSI_메인!A42,재고!I:I)</f>
        <v/>
      </c>
      <c r="H42" s="277" t="n">
        <v>1015</v>
      </c>
      <c r="I42" s="278" t="n">
        <v>0</v>
      </c>
      <c r="J42" s="278" t="n">
        <v>0</v>
      </c>
      <c r="K42" s="279" t="n">
        <v>250</v>
      </c>
      <c r="L42" s="11" t="n">
        <v>0</v>
      </c>
      <c r="M42" s="9">
        <f>SUMIFS(입항스케줄!J:J,입항스케줄!C:C,PSI_메인!A42,입항스케줄!U:U,"2601")</f>
        <v/>
      </c>
      <c r="N42" s="11">
        <f>SUMIFS(입항스케줄!J:J,입항스케줄!C:C,PSI_메인!A42,입항스케줄!V:V,"2601")</f>
        <v/>
      </c>
      <c r="O42" s="280">
        <f>$G42+M42-K42</f>
        <v/>
      </c>
      <c r="P42" s="277">
        <f>$G42+N42-L42</f>
        <v/>
      </c>
      <c r="Q42" s="278" t="n">
        <v>0</v>
      </c>
      <c r="R42" s="278" t="n">
        <v>0</v>
      </c>
      <c r="S42" s="10" t="n">
        <v>400</v>
      </c>
      <c r="T42" s="11" t="n">
        <v>0</v>
      </c>
      <c r="U42" s="9">
        <f>SUMIFS(입항스케줄!J:J,입항스케줄!C:C,PSI_메인!A42,입항스케줄!U:U,"2602")</f>
        <v/>
      </c>
      <c r="V42" s="11">
        <f>SUMIFS(입항스케줄!J:J,입항스케줄!C:C,PSI_메인!A42,입항스케줄!V:V,"2602")</f>
        <v/>
      </c>
      <c r="W42" s="280">
        <f>$G42+U42-S42</f>
        <v/>
      </c>
      <c r="X42" s="277">
        <f>$G42+V42-T42</f>
        <v/>
      </c>
      <c r="Y42" s="278" t="n">
        <v>0</v>
      </c>
      <c r="Z42" s="278" t="n">
        <v>0</v>
      </c>
      <c r="AA42" s="279">
        <f>ROUND((Y42+Z42)/2,0)</f>
        <v/>
      </c>
      <c r="AB42" s="11" t="n">
        <v>0</v>
      </c>
      <c r="AC42" s="9">
        <f>SUMIFS(입항스케줄!J:J,입항스케줄!C:C,PSI_메인!A42,입항스케줄!U:U,"2603")</f>
        <v/>
      </c>
      <c r="AD42" s="11">
        <f>SUMIFS(입항스케줄!J:J,입항스케줄!C:C,PSI_메인!A42,입항스케줄!V:V,"2603")</f>
        <v/>
      </c>
      <c r="AE42" s="280">
        <f>$G42+AC42-AA42</f>
        <v/>
      </c>
      <c r="AF42" s="277">
        <f>$G42+AD42-AB42</f>
        <v/>
      </c>
      <c r="AG42" s="278" t="n">
        <v>0</v>
      </c>
      <c r="AH42" s="278" t="n">
        <v>0</v>
      </c>
      <c r="AI42" s="279">
        <f>ROUND((AG42+AH42)/2,0)</f>
        <v/>
      </c>
      <c r="AJ42" s="11" t="n">
        <v>0</v>
      </c>
      <c r="AK42" s="9">
        <f>SUMIFS(입항스케줄!J:J,입항스케줄!C:C,PSI_메인!A42,입항스케줄!U:U,"2604")</f>
        <v/>
      </c>
      <c r="AL42" s="11">
        <f>SUMIFS(입항스케줄!J:J,입항스케줄!C:C,PSI_메인!A42,입항스케줄!V:V,"2604")</f>
        <v/>
      </c>
      <c r="AM42" s="280">
        <f>$G42+AK42-AI42</f>
        <v/>
      </c>
      <c r="AN42" s="277">
        <f>$G42+AL42-AJ42</f>
        <v/>
      </c>
      <c r="AO42" s="278" t="n">
        <v>0</v>
      </c>
      <c r="AP42" s="278" t="n">
        <v>0</v>
      </c>
      <c r="AQ42" s="279">
        <f>ROUND((AO42+AP42)/2,0)</f>
        <v/>
      </c>
      <c r="AR42" s="11" t="n">
        <v>0</v>
      </c>
      <c r="AS42" s="9" t="n"/>
      <c r="AT42" s="277" t="n"/>
      <c r="AU42" s="280">
        <f>$G42+AS42-AQ42</f>
        <v/>
      </c>
      <c r="AV42" s="277">
        <f>$G42+AT42-AR42</f>
        <v/>
      </c>
      <c r="AW42" s="278" t="n">
        <v>0</v>
      </c>
      <c r="AX42" s="278" t="n">
        <v>0</v>
      </c>
      <c r="AY42" s="279">
        <f>ROUND((AW42+AX42)/2,0)</f>
        <v/>
      </c>
      <c r="AZ42" s="11" t="n">
        <v>0</v>
      </c>
      <c r="BA42" s="9" t="n"/>
      <c r="BB42" s="11" t="n"/>
      <c r="BC42" s="280">
        <f>$G42+BA42-AY42</f>
        <v/>
      </c>
      <c r="BD42" s="277">
        <f>$G42+BB42-AZ42</f>
        <v/>
      </c>
      <c r="BE42" s="278" t="n">
        <v>0</v>
      </c>
      <c r="BF42" s="278" t="n">
        <v>0</v>
      </c>
      <c r="BG42" s="279">
        <f>ROUND((BE42+BF42)/2,0)</f>
        <v/>
      </c>
      <c r="BH42" s="11" t="n">
        <v>0</v>
      </c>
      <c r="BI42" s="278" t="n"/>
      <c r="BJ42" s="11" t="n"/>
      <c r="BK42" s="280">
        <f>$G42+BI42-BG42</f>
        <v/>
      </c>
      <c r="BL42" s="277">
        <f>$G42+BJ42-BH42</f>
        <v/>
      </c>
      <c r="BM42" s="278" t="n">
        <v>0</v>
      </c>
      <c r="BN42" s="278" t="n">
        <v>0</v>
      </c>
      <c r="BO42" s="279">
        <f>ROUND((BM42+BN42)/2,0)</f>
        <v/>
      </c>
      <c r="BP42" s="11" t="n">
        <v>0</v>
      </c>
      <c r="BQ42" s="278" t="n"/>
      <c r="BR42" s="11" t="n"/>
      <c r="BS42" s="280">
        <f>$G42+BQ42-BO42</f>
        <v/>
      </c>
      <c r="BT42" s="277">
        <f>$G42+BR42-BP42</f>
        <v/>
      </c>
      <c r="BU42" s="278" t="n">
        <v>0</v>
      </c>
      <c r="BV42" s="278" t="n">
        <v>0</v>
      </c>
      <c r="BW42" s="279">
        <f>ROUND((BU42+BV42)/2,0)</f>
        <v/>
      </c>
      <c r="BX42" s="11" t="n">
        <v>0</v>
      </c>
      <c r="BY42" s="278" t="n"/>
      <c r="BZ42" s="11" t="n"/>
      <c r="CA42" s="280">
        <f>$G42+BY42-BW42</f>
        <v/>
      </c>
      <c r="CB42" s="277">
        <f>$G42+BZ42-BX42</f>
        <v/>
      </c>
      <c r="CC42" s="278" t="n">
        <v>0</v>
      </c>
      <c r="CD42" s="278" t="n">
        <v>0</v>
      </c>
      <c r="CE42" s="279">
        <f>ROUND((CC42+CD42)/2,0)</f>
        <v/>
      </c>
      <c r="CF42" s="11" t="n">
        <v>0</v>
      </c>
      <c r="CG42" s="278" t="n"/>
      <c r="CH42" s="11" t="n"/>
      <c r="CI42" s="280">
        <f>$G42+CG42-CE42</f>
        <v/>
      </c>
      <c r="CJ42" s="277">
        <f>$G42+CH42-CF42</f>
        <v/>
      </c>
      <c r="CK42" s="278" t="n">
        <v>0</v>
      </c>
      <c r="CL42" s="278" t="n">
        <v>0</v>
      </c>
      <c r="CM42" s="279">
        <f>ROUND((CK42+CL42)/2,0)</f>
        <v/>
      </c>
      <c r="CN42" s="11" t="n">
        <v>0</v>
      </c>
      <c r="CO42" s="278" t="n"/>
      <c r="CP42" s="277" t="n"/>
      <c r="CQ42" s="280">
        <f>$G42+CO42-CM42</f>
        <v/>
      </c>
      <c r="CR42" s="277">
        <f>$G42+CP42-CN42</f>
        <v/>
      </c>
      <c r="CS42" s="278" t="n">
        <v>0</v>
      </c>
      <c r="CT42" s="278" t="n">
        <v>0</v>
      </c>
      <c r="CU42" s="279">
        <f>ROUND((CS42+CT42)/2,0)</f>
        <v/>
      </c>
      <c r="CV42" s="11" t="n">
        <v>0</v>
      </c>
      <c r="CW42" s="278" t="n"/>
      <c r="CX42" s="277" t="n"/>
      <c r="CY42" s="280">
        <f>$G42+CW42-CU42</f>
        <v/>
      </c>
      <c r="CZ42" s="277">
        <f>$G42+CX42-CV42</f>
        <v/>
      </c>
    </row>
    <row r="43" ht="17.25" customHeight="1" s="480">
      <c r="A43" s="28" t="inlineStr">
        <is>
          <t>ABC40</t>
        </is>
      </c>
      <c r="B43" s="379" t="n"/>
      <c r="C43" s="27" t="n"/>
      <c r="D43" s="28">
        <f>_xlfn.XLOOKUP(A43,'ABC-XYZ분석 (2)'!C:C,'ABC-XYZ분석 (2)'!I:I)</f>
        <v/>
      </c>
      <c r="E43" s="28">
        <f>_xlfn.XLOOKUP(A43,'ABC-XYZ분석 (2)'!C:C,'ABC-XYZ분석 (2)'!AC:AC)</f>
        <v/>
      </c>
      <c r="F43" s="3">
        <f>_xlfn.XLOOKUP(A43,'ABC-XYZ분석 (2)'!C:C,'ABC-XYZ분석 (2)'!AG:AG)</f>
        <v/>
      </c>
      <c r="G43" s="14">
        <f>SUMIF(재고!C:C,PSI_메인!A43,재고!I:I)</f>
        <v/>
      </c>
      <c r="H43" s="277" t="n">
        <v>596</v>
      </c>
      <c r="I43" s="278" t="n">
        <v>0</v>
      </c>
      <c r="J43" s="278" t="n">
        <v>0</v>
      </c>
      <c r="K43" s="279" t="n">
        <v>200</v>
      </c>
      <c r="L43" s="11" t="n">
        <v>0</v>
      </c>
      <c r="M43" s="9">
        <f>SUMIFS(입항스케줄!J:J,입항스케줄!C:C,PSI_메인!A43,입항스케줄!U:U,"2601")</f>
        <v/>
      </c>
      <c r="N43" s="11">
        <f>SUMIFS(입항스케줄!J:J,입항스케줄!C:C,PSI_메인!A43,입항스케줄!V:V,"2601")</f>
        <v/>
      </c>
      <c r="O43" s="280">
        <f>$G43+M43-K43</f>
        <v/>
      </c>
      <c r="P43" s="277">
        <f>$G43+N43-L43</f>
        <v/>
      </c>
      <c r="Q43" s="278" t="n">
        <v>0</v>
      </c>
      <c r="R43" s="278" t="n">
        <v>0</v>
      </c>
      <c r="S43" s="10" t="n">
        <v>100</v>
      </c>
      <c r="T43" s="11" t="n">
        <v>0</v>
      </c>
      <c r="U43" s="9">
        <f>SUMIFS(입항스케줄!J:J,입항스케줄!C:C,PSI_메인!A43,입항스케줄!U:U,"2602")</f>
        <v/>
      </c>
      <c r="V43" s="11">
        <f>SUMIFS(입항스케줄!J:J,입항스케줄!C:C,PSI_메인!A43,입항스케줄!V:V,"2602")</f>
        <v/>
      </c>
      <c r="W43" s="280">
        <f>$G43+U43-S43</f>
        <v/>
      </c>
      <c r="X43" s="277">
        <f>$G43+V43-T43</f>
        <v/>
      </c>
      <c r="Y43" s="278" t="n">
        <v>0</v>
      </c>
      <c r="Z43" s="278" t="n">
        <v>0</v>
      </c>
      <c r="AA43" s="279">
        <f>ROUND((Y43+Z43)/2,0)</f>
        <v/>
      </c>
      <c r="AB43" s="11" t="n">
        <v>0</v>
      </c>
      <c r="AC43" s="9">
        <f>SUMIFS(입항스케줄!J:J,입항스케줄!C:C,PSI_메인!A43,입항스케줄!U:U,"2603")</f>
        <v/>
      </c>
      <c r="AD43" s="11">
        <f>SUMIFS(입항스케줄!J:J,입항스케줄!C:C,PSI_메인!A43,입항스케줄!V:V,"2603")</f>
        <v/>
      </c>
      <c r="AE43" s="280">
        <f>$G43+AC43-AA43</f>
        <v/>
      </c>
      <c r="AF43" s="277">
        <f>$G43+AD43-AB43</f>
        <v/>
      </c>
      <c r="AG43" s="278" t="n">
        <v>0</v>
      </c>
      <c r="AH43" s="278" t="n">
        <v>0</v>
      </c>
      <c r="AI43" s="279">
        <f>ROUND((AG43+AH43)/2,0)</f>
        <v/>
      </c>
      <c r="AJ43" s="11" t="n">
        <v>0</v>
      </c>
      <c r="AK43" s="9">
        <f>SUMIFS(입항스케줄!J:J,입항스케줄!C:C,PSI_메인!A43,입항스케줄!U:U,"2604")</f>
        <v/>
      </c>
      <c r="AL43" s="11">
        <f>SUMIFS(입항스케줄!J:J,입항스케줄!C:C,PSI_메인!A43,입항스케줄!V:V,"2604")</f>
        <v/>
      </c>
      <c r="AM43" s="280">
        <f>$G43+AK43-AI43</f>
        <v/>
      </c>
      <c r="AN43" s="277">
        <f>$G43+AL43-AJ43</f>
        <v/>
      </c>
      <c r="AO43" s="278" t="n">
        <v>0</v>
      </c>
      <c r="AP43" s="278" t="n">
        <v>0</v>
      </c>
      <c r="AQ43" s="279">
        <f>ROUND((AO43+AP43)/2,0)</f>
        <v/>
      </c>
      <c r="AR43" s="11" t="n">
        <v>0</v>
      </c>
      <c r="AS43" s="9" t="n"/>
      <c r="AT43" s="277" t="n"/>
      <c r="AU43" s="280">
        <f>$G43+AS43-AQ43</f>
        <v/>
      </c>
      <c r="AV43" s="277">
        <f>$G43+AT43-AR43</f>
        <v/>
      </c>
      <c r="AW43" s="278" t="n">
        <v>0</v>
      </c>
      <c r="AX43" s="278" t="n">
        <v>0</v>
      </c>
      <c r="AY43" s="279">
        <f>ROUND((AW43+AX43)/2,0)</f>
        <v/>
      </c>
      <c r="AZ43" s="11" t="n">
        <v>0</v>
      </c>
      <c r="BA43" s="9" t="n"/>
      <c r="BB43" s="11" t="n"/>
      <c r="BC43" s="280">
        <f>$G43+BA43-AY43</f>
        <v/>
      </c>
      <c r="BD43" s="277">
        <f>$G43+BB43-AZ43</f>
        <v/>
      </c>
      <c r="BE43" s="278" t="n">
        <v>0</v>
      </c>
      <c r="BF43" s="278" t="n">
        <v>0</v>
      </c>
      <c r="BG43" s="279">
        <f>ROUND((BE43+BF43)/2,0)</f>
        <v/>
      </c>
      <c r="BH43" s="11" t="n">
        <v>0</v>
      </c>
      <c r="BI43" s="278" t="n"/>
      <c r="BJ43" s="11" t="n"/>
      <c r="BK43" s="280">
        <f>$G43+BI43-BG43</f>
        <v/>
      </c>
      <c r="BL43" s="277">
        <f>$G43+BJ43-BH43</f>
        <v/>
      </c>
      <c r="BM43" s="278" t="n">
        <v>0</v>
      </c>
      <c r="BN43" s="278" t="n">
        <v>0</v>
      </c>
      <c r="BO43" s="279">
        <f>ROUND((BM43+BN43)/2,0)</f>
        <v/>
      </c>
      <c r="BP43" s="11" t="n">
        <v>0</v>
      </c>
      <c r="BQ43" s="278" t="n"/>
      <c r="BR43" s="11" t="n"/>
      <c r="BS43" s="280">
        <f>$G43+BQ43-BO43</f>
        <v/>
      </c>
      <c r="BT43" s="277">
        <f>$G43+BR43-BP43</f>
        <v/>
      </c>
      <c r="BU43" s="278" t="n">
        <v>0</v>
      </c>
      <c r="BV43" s="278" t="n">
        <v>0</v>
      </c>
      <c r="BW43" s="279">
        <f>ROUND((BU43+BV43)/2,0)</f>
        <v/>
      </c>
      <c r="BX43" s="11" t="n">
        <v>0</v>
      </c>
      <c r="BY43" s="278" t="n"/>
      <c r="BZ43" s="11" t="n"/>
      <c r="CA43" s="280">
        <f>$G43+BY43-BW43</f>
        <v/>
      </c>
      <c r="CB43" s="277">
        <f>$G43+BZ43-BX43</f>
        <v/>
      </c>
      <c r="CC43" s="278" t="n">
        <v>0</v>
      </c>
      <c r="CD43" s="278" t="n">
        <v>0</v>
      </c>
      <c r="CE43" s="279">
        <f>ROUND((CC43+CD43)/2,0)</f>
        <v/>
      </c>
      <c r="CF43" s="11" t="n">
        <v>0</v>
      </c>
      <c r="CG43" s="278" t="n"/>
      <c r="CH43" s="11" t="n"/>
      <c r="CI43" s="280">
        <f>$G43+CG43-CE43</f>
        <v/>
      </c>
      <c r="CJ43" s="277">
        <f>$G43+CH43-CF43</f>
        <v/>
      </c>
      <c r="CK43" s="278" t="n">
        <v>0</v>
      </c>
      <c r="CL43" s="278" t="n">
        <v>0</v>
      </c>
      <c r="CM43" s="279">
        <f>ROUND((CK43+CL43)/2,0)</f>
        <v/>
      </c>
      <c r="CN43" s="11" t="n">
        <v>0</v>
      </c>
      <c r="CO43" s="278" t="n"/>
      <c r="CP43" s="277" t="n"/>
      <c r="CQ43" s="280">
        <f>$G43+CO43-CM43</f>
        <v/>
      </c>
      <c r="CR43" s="277">
        <f>$G43+CP43-CN43</f>
        <v/>
      </c>
      <c r="CS43" s="278" t="n">
        <v>0</v>
      </c>
      <c r="CT43" s="278" t="n">
        <v>0</v>
      </c>
      <c r="CU43" s="279">
        <f>ROUND((CS43+CT43)/2,0)</f>
        <v/>
      </c>
      <c r="CV43" s="11" t="n">
        <v>0</v>
      </c>
      <c r="CW43" s="278" t="n"/>
      <c r="CX43" s="277" t="n"/>
      <c r="CY43" s="280">
        <f>$G43+CW43-CU43</f>
        <v/>
      </c>
      <c r="CZ43" s="277">
        <f>$G43+CX43-CV43</f>
        <v/>
      </c>
    </row>
    <row r="44" ht="17.25" customHeight="1" s="480">
      <c r="A44" s="28" t="inlineStr">
        <is>
          <t>ABC41</t>
        </is>
      </c>
      <c r="B44" s="379" t="n"/>
      <c r="C44" s="27" t="n"/>
      <c r="D44" s="28">
        <f>_xlfn.XLOOKUP(A44,'ABC-XYZ분석 (2)'!C:C,'ABC-XYZ분석 (2)'!I:I)</f>
        <v/>
      </c>
      <c r="E44" s="28">
        <f>_xlfn.XLOOKUP(A44,'ABC-XYZ분석 (2)'!C:C,'ABC-XYZ분석 (2)'!AC:AC)</f>
        <v/>
      </c>
      <c r="F44" s="3">
        <f>_xlfn.XLOOKUP(A44,'ABC-XYZ분석 (2)'!C:C,'ABC-XYZ분석 (2)'!AG:AG)</f>
        <v/>
      </c>
      <c r="G44" s="14">
        <f>SUMIF(재고!C:C,PSI_메인!A44,재고!I:I)</f>
        <v/>
      </c>
      <c r="H44" s="277" t="n">
        <v>1210</v>
      </c>
      <c r="I44" s="278" t="n">
        <v>0</v>
      </c>
      <c r="J44" s="278" t="n">
        <v>0</v>
      </c>
      <c r="K44" s="279" t="n">
        <v>0</v>
      </c>
      <c r="L44" s="11" t="n">
        <v>0</v>
      </c>
      <c r="M44" s="9">
        <f>SUMIFS(입항스케줄!J:J,입항스케줄!C:C,PSI_메인!A44,입항스케줄!U:U,"2601")</f>
        <v/>
      </c>
      <c r="N44" s="11">
        <f>SUMIFS(입항스케줄!J:J,입항스케줄!C:C,PSI_메인!A44,입항스케줄!V:V,"2601")</f>
        <v/>
      </c>
      <c r="O44" s="280">
        <f>$G44+M44-K44</f>
        <v/>
      </c>
      <c r="P44" s="277">
        <f>$G44+N44-L44</f>
        <v/>
      </c>
      <c r="Q44" s="278" t="n">
        <v>0</v>
      </c>
      <c r="R44" s="278" t="n">
        <v>0</v>
      </c>
      <c r="S44" s="10" t="n">
        <v>0</v>
      </c>
      <c r="T44" s="11" t="n">
        <v>0</v>
      </c>
      <c r="U44" s="9">
        <f>SUMIFS(입항스케줄!J:J,입항스케줄!C:C,PSI_메인!A44,입항스케줄!U:U,"2602")</f>
        <v/>
      </c>
      <c r="V44" s="11">
        <f>SUMIFS(입항스케줄!J:J,입항스케줄!C:C,PSI_메인!A44,입항스케줄!V:V,"2602")</f>
        <v/>
      </c>
      <c r="W44" s="280">
        <f>$G44+U44-S44</f>
        <v/>
      </c>
      <c r="X44" s="277">
        <f>$G44+V44-T44</f>
        <v/>
      </c>
      <c r="Y44" s="278" t="n">
        <v>0</v>
      </c>
      <c r="Z44" s="278" t="n">
        <v>0</v>
      </c>
      <c r="AA44" s="279">
        <f>ROUND((Y44+Z44)/2,0)</f>
        <v/>
      </c>
      <c r="AB44" s="11" t="n">
        <v>0</v>
      </c>
      <c r="AC44" s="9">
        <f>SUMIFS(입항스케줄!J:J,입항스케줄!C:C,PSI_메인!A44,입항스케줄!U:U,"2603")</f>
        <v/>
      </c>
      <c r="AD44" s="11">
        <f>SUMIFS(입항스케줄!J:J,입항스케줄!C:C,PSI_메인!A44,입항스케줄!V:V,"2603")</f>
        <v/>
      </c>
      <c r="AE44" s="280">
        <f>$G44+AC44-AA44</f>
        <v/>
      </c>
      <c r="AF44" s="277">
        <f>$G44+AD44-AB44</f>
        <v/>
      </c>
      <c r="AG44" s="278" t="n">
        <v>0</v>
      </c>
      <c r="AH44" s="278" t="n">
        <v>0</v>
      </c>
      <c r="AI44" s="279">
        <f>ROUND((AG44+AH44)/2,0)</f>
        <v/>
      </c>
      <c r="AJ44" s="11" t="n">
        <v>0</v>
      </c>
      <c r="AK44" s="9">
        <f>SUMIFS(입항스케줄!J:J,입항스케줄!C:C,PSI_메인!A44,입항스케줄!U:U,"2604")</f>
        <v/>
      </c>
      <c r="AL44" s="11">
        <f>SUMIFS(입항스케줄!J:J,입항스케줄!C:C,PSI_메인!A44,입항스케줄!V:V,"2604")</f>
        <v/>
      </c>
      <c r="AM44" s="280">
        <f>$G44+AK44-AI44</f>
        <v/>
      </c>
      <c r="AN44" s="277">
        <f>$G44+AL44-AJ44</f>
        <v/>
      </c>
      <c r="AO44" s="278" t="n">
        <v>0</v>
      </c>
      <c r="AP44" s="278" t="n">
        <v>0</v>
      </c>
      <c r="AQ44" s="279">
        <f>ROUND((AO44+AP44)/2,0)</f>
        <v/>
      </c>
      <c r="AR44" s="11" t="n">
        <v>0</v>
      </c>
      <c r="AS44" s="9" t="n"/>
      <c r="AT44" s="277" t="n"/>
      <c r="AU44" s="280">
        <f>$G44+AS44-AQ44</f>
        <v/>
      </c>
      <c r="AV44" s="277">
        <f>$G44+AT44-AR44</f>
        <v/>
      </c>
      <c r="AW44" s="278" t="n">
        <v>0</v>
      </c>
      <c r="AX44" s="278" t="n">
        <v>0</v>
      </c>
      <c r="AY44" s="279">
        <f>ROUND((AW44+AX44)/2,0)</f>
        <v/>
      </c>
      <c r="AZ44" s="11" t="n">
        <v>0</v>
      </c>
      <c r="BA44" s="9" t="n"/>
      <c r="BB44" s="11" t="n"/>
      <c r="BC44" s="280">
        <f>$G44+BA44-AY44</f>
        <v/>
      </c>
      <c r="BD44" s="277">
        <f>$G44+BB44-AZ44</f>
        <v/>
      </c>
      <c r="BE44" s="278" t="n">
        <v>0</v>
      </c>
      <c r="BF44" s="278" t="n">
        <v>0</v>
      </c>
      <c r="BG44" s="279">
        <f>ROUND((BE44+BF44)/2,0)</f>
        <v/>
      </c>
      <c r="BH44" s="11" t="n">
        <v>0</v>
      </c>
      <c r="BI44" s="278" t="n"/>
      <c r="BJ44" s="11" t="n"/>
      <c r="BK44" s="280">
        <f>$G44+BI44-BG44</f>
        <v/>
      </c>
      <c r="BL44" s="277">
        <f>$G44+BJ44-BH44</f>
        <v/>
      </c>
      <c r="BM44" s="278" t="n">
        <v>0</v>
      </c>
      <c r="BN44" s="278" t="n">
        <v>0</v>
      </c>
      <c r="BO44" s="279">
        <f>ROUND((BM44+BN44)/2,0)</f>
        <v/>
      </c>
      <c r="BP44" s="11" t="n">
        <v>0</v>
      </c>
      <c r="BQ44" s="278" t="n"/>
      <c r="BR44" s="11" t="n"/>
      <c r="BS44" s="280">
        <f>$G44+BQ44-BO44</f>
        <v/>
      </c>
      <c r="BT44" s="277">
        <f>$G44+BR44-BP44</f>
        <v/>
      </c>
      <c r="BU44" s="278" t="n">
        <v>0</v>
      </c>
      <c r="BV44" s="278" t="n">
        <v>0</v>
      </c>
      <c r="BW44" s="279">
        <f>ROUND((BU44+BV44)/2,0)</f>
        <v/>
      </c>
      <c r="BX44" s="11" t="n">
        <v>0</v>
      </c>
      <c r="BY44" s="278" t="n"/>
      <c r="BZ44" s="11" t="n"/>
      <c r="CA44" s="280">
        <f>$G44+BY44-BW44</f>
        <v/>
      </c>
      <c r="CB44" s="277">
        <f>$G44+BZ44-BX44</f>
        <v/>
      </c>
      <c r="CC44" s="278" t="n">
        <v>0</v>
      </c>
      <c r="CD44" s="278" t="n">
        <v>0</v>
      </c>
      <c r="CE44" s="279">
        <f>ROUND((CC44+CD44)/2,0)</f>
        <v/>
      </c>
      <c r="CF44" s="11" t="n">
        <v>0</v>
      </c>
      <c r="CG44" s="278" t="n"/>
      <c r="CH44" s="11" t="n"/>
      <c r="CI44" s="280">
        <f>$G44+CG44-CE44</f>
        <v/>
      </c>
      <c r="CJ44" s="277">
        <f>$G44+CH44-CF44</f>
        <v/>
      </c>
      <c r="CK44" s="278" t="n">
        <v>0</v>
      </c>
      <c r="CL44" s="278" t="n">
        <v>0</v>
      </c>
      <c r="CM44" s="279">
        <f>ROUND((CK44+CL44)/2,0)</f>
        <v/>
      </c>
      <c r="CN44" s="11" t="n">
        <v>0</v>
      </c>
      <c r="CO44" s="278" t="n"/>
      <c r="CP44" s="277" t="n"/>
      <c r="CQ44" s="280">
        <f>$G44+CO44-CM44</f>
        <v/>
      </c>
      <c r="CR44" s="277">
        <f>$G44+CP44-CN44</f>
        <v/>
      </c>
      <c r="CS44" s="278" t="n">
        <v>0</v>
      </c>
      <c r="CT44" s="278" t="n">
        <v>0</v>
      </c>
      <c r="CU44" s="279">
        <f>ROUND((CS44+CT44)/2,0)</f>
        <v/>
      </c>
      <c r="CV44" s="11" t="n">
        <v>0</v>
      </c>
      <c r="CW44" s="278" t="n"/>
      <c r="CX44" s="277" t="n"/>
      <c r="CY44" s="280">
        <f>$G44+CW44-CU44</f>
        <v/>
      </c>
      <c r="CZ44" s="277">
        <f>$G44+CX44-CV44</f>
        <v/>
      </c>
    </row>
    <row r="45" ht="17.25" customHeight="1" s="480">
      <c r="A45" s="28" t="inlineStr">
        <is>
          <t>ABC42</t>
        </is>
      </c>
      <c r="B45" s="379" t="n"/>
      <c r="C45" s="27" t="n"/>
      <c r="D45" s="28">
        <f>_xlfn.XLOOKUP(A45,'ABC-XYZ분석 (2)'!C:C,'ABC-XYZ분석 (2)'!I:I)</f>
        <v/>
      </c>
      <c r="E45" s="28">
        <f>_xlfn.XLOOKUP(A45,'ABC-XYZ분석 (2)'!C:C,'ABC-XYZ분석 (2)'!AC:AC)</f>
        <v/>
      </c>
      <c r="F45" s="3">
        <f>_xlfn.XLOOKUP(A45,'ABC-XYZ분석 (2)'!C:C,'ABC-XYZ분석 (2)'!AG:AG)</f>
        <v/>
      </c>
      <c r="G45" s="14">
        <f>SUMIF(재고!C:C,PSI_메인!A45,재고!I:I)</f>
        <v/>
      </c>
      <c r="H45" s="277" t="n">
        <v>7435</v>
      </c>
      <c r="I45" s="278" t="n">
        <v>0</v>
      </c>
      <c r="J45" s="278" t="n">
        <v>0</v>
      </c>
      <c r="K45" s="279" t="n">
        <v>3052.5</v>
      </c>
      <c r="L45" s="11" t="n">
        <v>0</v>
      </c>
      <c r="M45" s="9">
        <f>SUMIFS(입항스케줄!J:J,입항스케줄!C:C,PSI_메인!A45,입항스케줄!U:U,"2601")</f>
        <v/>
      </c>
      <c r="N45" s="11">
        <f>SUMIFS(입항스케줄!J:J,입항스케줄!C:C,PSI_메인!A45,입항스케줄!V:V,"2601")</f>
        <v/>
      </c>
      <c r="O45" s="280">
        <f>$G45+M45-K45</f>
        <v/>
      </c>
      <c r="P45" s="277">
        <f>$G45+N45-L45</f>
        <v/>
      </c>
      <c r="Q45" s="278" t="n">
        <v>0</v>
      </c>
      <c r="R45" s="278" t="n">
        <v>0</v>
      </c>
      <c r="S45" s="10" t="n">
        <v>900</v>
      </c>
      <c r="T45" s="11" t="n">
        <v>0</v>
      </c>
      <c r="U45" s="9">
        <f>SUMIFS(입항스케줄!J:J,입항스케줄!C:C,PSI_메인!A45,입항스케줄!U:U,"2602")</f>
        <v/>
      </c>
      <c r="V45" s="11">
        <f>SUMIFS(입항스케줄!J:J,입항스케줄!C:C,PSI_메인!A45,입항스케줄!V:V,"2602")</f>
        <v/>
      </c>
      <c r="W45" s="280">
        <f>$G45+U45-S45</f>
        <v/>
      </c>
      <c r="X45" s="277">
        <f>$G45+V45-T45</f>
        <v/>
      </c>
      <c r="Y45" s="278" t="n">
        <v>0</v>
      </c>
      <c r="Z45" s="278" t="n">
        <v>0</v>
      </c>
      <c r="AA45" s="279">
        <f>ROUND((Y45+Z45)/2,0)</f>
        <v/>
      </c>
      <c r="AB45" s="11" t="n">
        <v>0</v>
      </c>
      <c r="AC45" s="9">
        <f>SUMIFS(입항스케줄!J:J,입항스케줄!C:C,PSI_메인!A45,입항스케줄!U:U,"2603")</f>
        <v/>
      </c>
      <c r="AD45" s="11">
        <f>SUMIFS(입항스케줄!J:J,입항스케줄!C:C,PSI_메인!A45,입항스케줄!V:V,"2603")</f>
        <v/>
      </c>
      <c r="AE45" s="280">
        <f>$G45+AC45-AA45</f>
        <v/>
      </c>
      <c r="AF45" s="277">
        <f>$G45+AD45-AB45</f>
        <v/>
      </c>
      <c r="AG45" s="278" t="n">
        <v>0</v>
      </c>
      <c r="AH45" s="278" t="n">
        <v>0</v>
      </c>
      <c r="AI45" s="279">
        <f>ROUND((AG45+AH45)/2,0)</f>
        <v/>
      </c>
      <c r="AJ45" s="11" t="n">
        <v>0</v>
      </c>
      <c r="AK45" s="9">
        <f>SUMIFS(입항스케줄!J:J,입항스케줄!C:C,PSI_메인!A45,입항스케줄!U:U,"2604")</f>
        <v/>
      </c>
      <c r="AL45" s="11">
        <f>SUMIFS(입항스케줄!J:J,입항스케줄!C:C,PSI_메인!A45,입항스케줄!V:V,"2604")</f>
        <v/>
      </c>
      <c r="AM45" s="280">
        <f>$G45+AK45-AI45</f>
        <v/>
      </c>
      <c r="AN45" s="277">
        <f>$G45+AL45-AJ45</f>
        <v/>
      </c>
      <c r="AO45" s="278" t="n">
        <v>0</v>
      </c>
      <c r="AP45" s="278" t="n">
        <v>0</v>
      </c>
      <c r="AQ45" s="279">
        <f>ROUND((AO45+AP45)/2,0)</f>
        <v/>
      </c>
      <c r="AR45" s="11" t="n">
        <v>0</v>
      </c>
      <c r="AS45" s="9" t="n"/>
      <c r="AT45" s="277" t="n"/>
      <c r="AU45" s="280">
        <f>$G45+AS45-AQ45</f>
        <v/>
      </c>
      <c r="AV45" s="277">
        <f>$G45+AT45-AR45</f>
        <v/>
      </c>
      <c r="AW45" s="278" t="n">
        <v>0</v>
      </c>
      <c r="AX45" s="278" t="n">
        <v>0</v>
      </c>
      <c r="AY45" s="279">
        <f>ROUND((AW45+AX45)/2,0)</f>
        <v/>
      </c>
      <c r="AZ45" s="11" t="n">
        <v>0</v>
      </c>
      <c r="BA45" s="9" t="n"/>
      <c r="BB45" s="11" t="n"/>
      <c r="BC45" s="280">
        <f>$G45+BA45-AY45</f>
        <v/>
      </c>
      <c r="BD45" s="277">
        <f>$G45+BB45-AZ45</f>
        <v/>
      </c>
      <c r="BE45" s="278" t="n">
        <v>0</v>
      </c>
      <c r="BF45" s="278" t="n">
        <v>0</v>
      </c>
      <c r="BG45" s="279">
        <f>ROUND((BE45+BF45)/2,0)</f>
        <v/>
      </c>
      <c r="BH45" s="11" t="n">
        <v>0</v>
      </c>
      <c r="BI45" s="278" t="n"/>
      <c r="BJ45" s="11" t="n"/>
      <c r="BK45" s="280">
        <f>$G45+BI45-BG45</f>
        <v/>
      </c>
      <c r="BL45" s="277">
        <f>$G45+BJ45-BH45</f>
        <v/>
      </c>
      <c r="BM45" s="278" t="n">
        <v>0</v>
      </c>
      <c r="BN45" s="278" t="n">
        <v>0</v>
      </c>
      <c r="BO45" s="279">
        <f>ROUND((BM45+BN45)/2,0)</f>
        <v/>
      </c>
      <c r="BP45" s="11" t="n">
        <v>0</v>
      </c>
      <c r="BQ45" s="278" t="n"/>
      <c r="BR45" s="11" t="n"/>
      <c r="BS45" s="280">
        <f>$G45+BQ45-BO45</f>
        <v/>
      </c>
      <c r="BT45" s="277">
        <f>$G45+BR45-BP45</f>
        <v/>
      </c>
      <c r="BU45" s="278" t="n">
        <v>0</v>
      </c>
      <c r="BV45" s="278" t="n">
        <v>0</v>
      </c>
      <c r="BW45" s="279">
        <f>ROUND((BU45+BV45)/2,0)</f>
        <v/>
      </c>
      <c r="BX45" s="11" t="n">
        <v>0</v>
      </c>
      <c r="BY45" s="278" t="n"/>
      <c r="BZ45" s="11" t="n"/>
      <c r="CA45" s="280">
        <f>$G45+BY45-BW45</f>
        <v/>
      </c>
      <c r="CB45" s="277">
        <f>$G45+BZ45-BX45</f>
        <v/>
      </c>
      <c r="CC45" s="278" t="n">
        <v>0</v>
      </c>
      <c r="CD45" s="278" t="n">
        <v>0</v>
      </c>
      <c r="CE45" s="279">
        <f>ROUND((CC45+CD45)/2,0)</f>
        <v/>
      </c>
      <c r="CF45" s="11" t="n">
        <v>0</v>
      </c>
      <c r="CG45" s="278" t="n"/>
      <c r="CH45" s="11" t="n"/>
      <c r="CI45" s="280">
        <f>$G45+CG45-CE45</f>
        <v/>
      </c>
      <c r="CJ45" s="277">
        <f>$G45+CH45-CF45</f>
        <v/>
      </c>
      <c r="CK45" s="278" t="n">
        <v>0</v>
      </c>
      <c r="CL45" s="278" t="n">
        <v>0</v>
      </c>
      <c r="CM45" s="279">
        <f>ROUND((CK45+CL45)/2,0)</f>
        <v/>
      </c>
      <c r="CN45" s="11" t="n">
        <v>0</v>
      </c>
      <c r="CO45" s="278" t="n"/>
      <c r="CP45" s="277" t="n"/>
      <c r="CQ45" s="280">
        <f>$G45+CO45-CM45</f>
        <v/>
      </c>
      <c r="CR45" s="277">
        <f>$G45+CP45-CN45</f>
        <v/>
      </c>
      <c r="CS45" s="278" t="n">
        <v>0</v>
      </c>
      <c r="CT45" s="278" t="n">
        <v>0</v>
      </c>
      <c r="CU45" s="279">
        <f>ROUND((CS45+CT45)/2,0)</f>
        <v/>
      </c>
      <c r="CV45" s="11" t="n">
        <v>0</v>
      </c>
      <c r="CW45" s="278" t="n"/>
      <c r="CX45" s="277" t="n"/>
      <c r="CY45" s="280">
        <f>$G45+CW45-CU45</f>
        <v/>
      </c>
      <c r="CZ45" s="277">
        <f>$G45+CX45-CV45</f>
        <v/>
      </c>
    </row>
    <row r="46" ht="17.25" customHeight="1" s="480">
      <c r="A46" s="28" t="inlineStr">
        <is>
          <t>ABC43</t>
        </is>
      </c>
      <c r="B46" s="379" t="n"/>
      <c r="C46" s="27" t="n"/>
      <c r="D46" s="28">
        <f>_xlfn.XLOOKUP(A46,'ABC-XYZ분석 (2)'!C:C,'ABC-XYZ분석 (2)'!I:I)</f>
        <v/>
      </c>
      <c r="E46" s="28">
        <f>_xlfn.XLOOKUP(A46,'ABC-XYZ분석 (2)'!C:C,'ABC-XYZ분석 (2)'!AC:AC)</f>
        <v/>
      </c>
      <c r="F46" s="3">
        <f>_xlfn.XLOOKUP(A46,'ABC-XYZ분석 (2)'!C:C,'ABC-XYZ분석 (2)'!AG:AG)</f>
        <v/>
      </c>
      <c r="G46" s="14">
        <f>SUMIF(재고!C:C,PSI_메인!A46,재고!I:I)</f>
        <v/>
      </c>
      <c r="H46" s="277" t="n">
        <v>896</v>
      </c>
      <c r="I46" s="278" t="n">
        <v>0</v>
      </c>
      <c r="J46" s="278" t="n">
        <v>0</v>
      </c>
      <c r="K46" s="279" t="n">
        <v>600</v>
      </c>
      <c r="L46" s="11" t="n">
        <v>0</v>
      </c>
      <c r="M46" s="9">
        <f>SUMIFS(입항스케줄!J:J,입항스케줄!C:C,PSI_메인!A46,입항스케줄!U:U,"2601")</f>
        <v/>
      </c>
      <c r="N46" s="11">
        <f>SUMIFS(입항스케줄!J:J,입항스케줄!C:C,PSI_메인!A46,입항스케줄!V:V,"2601")</f>
        <v/>
      </c>
      <c r="O46" s="280">
        <f>$G46+M46-K46</f>
        <v/>
      </c>
      <c r="P46" s="277">
        <f>$G46+N46-L46</f>
        <v/>
      </c>
      <c r="Q46" s="278" t="n">
        <v>0</v>
      </c>
      <c r="R46" s="278" t="n">
        <v>0</v>
      </c>
      <c r="S46" s="10" t="n">
        <v>0</v>
      </c>
      <c r="T46" s="11" t="n">
        <v>0</v>
      </c>
      <c r="U46" s="9">
        <f>SUMIFS(입항스케줄!J:J,입항스케줄!C:C,PSI_메인!A46,입항스케줄!U:U,"2602")</f>
        <v/>
      </c>
      <c r="V46" s="11">
        <f>SUMIFS(입항스케줄!J:J,입항스케줄!C:C,PSI_메인!A46,입항스케줄!V:V,"2602")</f>
        <v/>
      </c>
      <c r="W46" s="280">
        <f>$G46+U46-S46</f>
        <v/>
      </c>
      <c r="X46" s="277">
        <f>$G46+V46-T46</f>
        <v/>
      </c>
      <c r="Y46" s="278" t="n">
        <v>0</v>
      </c>
      <c r="Z46" s="278" t="n">
        <v>0</v>
      </c>
      <c r="AA46" s="279">
        <f>ROUND((Y46+Z46)/2,0)</f>
        <v/>
      </c>
      <c r="AB46" s="11" t="n">
        <v>0</v>
      </c>
      <c r="AC46" s="9">
        <f>SUMIFS(입항스케줄!J:J,입항스케줄!C:C,PSI_메인!A46,입항스케줄!U:U,"2603")</f>
        <v/>
      </c>
      <c r="AD46" s="11">
        <f>SUMIFS(입항스케줄!J:J,입항스케줄!C:C,PSI_메인!A46,입항스케줄!V:V,"2603")</f>
        <v/>
      </c>
      <c r="AE46" s="280">
        <f>$G46+AC46-AA46</f>
        <v/>
      </c>
      <c r="AF46" s="277">
        <f>$G46+AD46-AB46</f>
        <v/>
      </c>
      <c r="AG46" s="278" t="n">
        <v>0</v>
      </c>
      <c r="AH46" s="278" t="n">
        <v>0</v>
      </c>
      <c r="AI46" s="279">
        <f>ROUND((AG46+AH46)/2,0)</f>
        <v/>
      </c>
      <c r="AJ46" s="11" t="n">
        <v>0</v>
      </c>
      <c r="AK46" s="9">
        <f>SUMIFS(입항스케줄!J:J,입항스케줄!C:C,PSI_메인!A46,입항스케줄!U:U,"2604")</f>
        <v/>
      </c>
      <c r="AL46" s="11">
        <f>SUMIFS(입항스케줄!J:J,입항스케줄!C:C,PSI_메인!A46,입항스케줄!V:V,"2604")</f>
        <v/>
      </c>
      <c r="AM46" s="280">
        <f>$G46+AK46-AI46</f>
        <v/>
      </c>
      <c r="AN46" s="277">
        <f>$G46+AL46-AJ46</f>
        <v/>
      </c>
      <c r="AO46" s="278" t="n">
        <v>0</v>
      </c>
      <c r="AP46" s="278" t="n">
        <v>0</v>
      </c>
      <c r="AQ46" s="279">
        <f>ROUND((AO46+AP46)/2,0)</f>
        <v/>
      </c>
      <c r="AR46" s="11" t="n">
        <v>0</v>
      </c>
      <c r="AS46" s="9" t="n"/>
      <c r="AT46" s="277" t="n"/>
      <c r="AU46" s="280">
        <f>$G46+AS46-AQ46</f>
        <v/>
      </c>
      <c r="AV46" s="277">
        <f>$G46+AT46-AR46</f>
        <v/>
      </c>
      <c r="AW46" s="278" t="n">
        <v>0</v>
      </c>
      <c r="AX46" s="278" t="n">
        <v>0</v>
      </c>
      <c r="AY46" s="279">
        <f>ROUND((AW46+AX46)/2,0)</f>
        <v/>
      </c>
      <c r="AZ46" s="11" t="n">
        <v>0</v>
      </c>
      <c r="BA46" s="9" t="n"/>
      <c r="BB46" s="11" t="n"/>
      <c r="BC46" s="280">
        <f>$G46+BA46-AY46</f>
        <v/>
      </c>
      <c r="BD46" s="277">
        <f>$G46+BB46-AZ46</f>
        <v/>
      </c>
      <c r="BE46" s="278" t="n">
        <v>0</v>
      </c>
      <c r="BF46" s="278" t="n">
        <v>0</v>
      </c>
      <c r="BG46" s="279">
        <f>ROUND((BE46+BF46)/2,0)</f>
        <v/>
      </c>
      <c r="BH46" s="11" t="n">
        <v>0</v>
      </c>
      <c r="BI46" s="278" t="n"/>
      <c r="BJ46" s="11" t="n"/>
      <c r="BK46" s="280">
        <f>$G46+BI46-BG46</f>
        <v/>
      </c>
      <c r="BL46" s="277">
        <f>$G46+BJ46-BH46</f>
        <v/>
      </c>
      <c r="BM46" s="278" t="n">
        <v>0</v>
      </c>
      <c r="BN46" s="278" t="n">
        <v>0</v>
      </c>
      <c r="BO46" s="279">
        <f>ROUND((BM46+BN46)/2,0)</f>
        <v/>
      </c>
      <c r="BP46" s="11" t="n">
        <v>0</v>
      </c>
      <c r="BQ46" s="278" t="n"/>
      <c r="BR46" s="11" t="n"/>
      <c r="BS46" s="280">
        <f>$G46+BQ46-BO46</f>
        <v/>
      </c>
      <c r="BT46" s="277">
        <f>$G46+BR46-BP46</f>
        <v/>
      </c>
      <c r="BU46" s="278" t="n">
        <v>0</v>
      </c>
      <c r="BV46" s="278" t="n">
        <v>0</v>
      </c>
      <c r="BW46" s="279">
        <f>ROUND((BU46+BV46)/2,0)</f>
        <v/>
      </c>
      <c r="BX46" s="11" t="n">
        <v>0</v>
      </c>
      <c r="BY46" s="278" t="n"/>
      <c r="BZ46" s="11" t="n"/>
      <c r="CA46" s="280">
        <f>$G46+BY46-BW46</f>
        <v/>
      </c>
      <c r="CB46" s="277">
        <f>$G46+BZ46-BX46</f>
        <v/>
      </c>
      <c r="CC46" s="278" t="n">
        <v>0</v>
      </c>
      <c r="CD46" s="278" t="n">
        <v>0</v>
      </c>
      <c r="CE46" s="279">
        <f>ROUND((CC46+CD46)/2,0)</f>
        <v/>
      </c>
      <c r="CF46" s="11" t="n">
        <v>0</v>
      </c>
      <c r="CG46" s="278" t="n"/>
      <c r="CH46" s="11" t="n"/>
      <c r="CI46" s="280">
        <f>$G46+CG46-CE46</f>
        <v/>
      </c>
      <c r="CJ46" s="277">
        <f>$G46+CH46-CF46</f>
        <v/>
      </c>
      <c r="CK46" s="278" t="n">
        <v>0</v>
      </c>
      <c r="CL46" s="278" t="n">
        <v>0</v>
      </c>
      <c r="CM46" s="279">
        <f>ROUND((CK46+CL46)/2,0)</f>
        <v/>
      </c>
      <c r="CN46" s="11" t="n">
        <v>0</v>
      </c>
      <c r="CO46" s="278" t="n"/>
      <c r="CP46" s="277" t="n"/>
      <c r="CQ46" s="280">
        <f>$G46+CO46-CM46</f>
        <v/>
      </c>
      <c r="CR46" s="277">
        <f>$G46+CP46-CN46</f>
        <v/>
      </c>
      <c r="CS46" s="278" t="n">
        <v>0</v>
      </c>
      <c r="CT46" s="278" t="n">
        <v>0</v>
      </c>
      <c r="CU46" s="279">
        <f>ROUND((CS46+CT46)/2,0)</f>
        <v/>
      </c>
      <c r="CV46" s="11" t="n">
        <v>0</v>
      </c>
      <c r="CW46" s="278" t="n"/>
      <c r="CX46" s="277" t="n"/>
      <c r="CY46" s="280">
        <f>$G46+CW46-CU46</f>
        <v/>
      </c>
      <c r="CZ46" s="277">
        <f>$G46+CX46-CV46</f>
        <v/>
      </c>
    </row>
    <row r="47" ht="17.25" customHeight="1" s="480">
      <c r="A47" s="28" t="inlineStr">
        <is>
          <t>ABC44</t>
        </is>
      </c>
      <c r="B47" s="379" t="n"/>
      <c r="C47" s="27" t="n"/>
      <c r="D47" s="28">
        <f>_xlfn.XLOOKUP(A47,'ABC-XYZ분석 (2)'!C:C,'ABC-XYZ분석 (2)'!I:I)</f>
        <v/>
      </c>
      <c r="E47" s="28">
        <f>_xlfn.XLOOKUP(A47,'ABC-XYZ분석 (2)'!C:C,'ABC-XYZ분석 (2)'!AC:AC)</f>
        <v/>
      </c>
      <c r="F47" s="3">
        <f>_xlfn.XLOOKUP(A47,'ABC-XYZ분석 (2)'!C:C,'ABC-XYZ분석 (2)'!AG:AG)</f>
        <v/>
      </c>
      <c r="G47" s="14">
        <f>SUMIF(재고!C:C,PSI_메인!A47,재고!I:I)</f>
        <v/>
      </c>
      <c r="H47" s="277" t="n">
        <v>208</v>
      </c>
      <c r="I47" s="278" t="n">
        <v>0</v>
      </c>
      <c r="J47" s="278" t="n">
        <v>0</v>
      </c>
      <c r="K47" s="279" t="n">
        <v>187.5</v>
      </c>
      <c r="L47" s="11" t="n">
        <v>0</v>
      </c>
      <c r="M47" s="9">
        <f>SUMIFS(입항스케줄!J:J,입항스케줄!C:C,PSI_메인!A47,입항스케줄!U:U,"2601")</f>
        <v/>
      </c>
      <c r="N47" s="11">
        <f>SUMIFS(입항스케줄!J:J,입항스케줄!C:C,PSI_메인!A47,입항스케줄!V:V,"2601")</f>
        <v/>
      </c>
      <c r="O47" s="280">
        <f>$G47+M47-K47</f>
        <v/>
      </c>
      <c r="P47" s="277">
        <f>$G47+N47-L47</f>
        <v/>
      </c>
      <c r="Q47" s="278" t="n">
        <v>0</v>
      </c>
      <c r="R47" s="278" t="n">
        <v>0</v>
      </c>
      <c r="S47" s="10" t="n">
        <v>300</v>
      </c>
      <c r="T47" s="11" t="n">
        <v>0</v>
      </c>
      <c r="U47" s="9">
        <f>SUMIFS(입항스케줄!J:J,입항스케줄!C:C,PSI_메인!A47,입항스케줄!U:U,"2602")</f>
        <v/>
      </c>
      <c r="V47" s="11">
        <f>SUMIFS(입항스케줄!J:J,입항스케줄!C:C,PSI_메인!A47,입항스케줄!V:V,"2602")</f>
        <v/>
      </c>
      <c r="W47" s="280">
        <f>$G47+U47-S47</f>
        <v/>
      </c>
      <c r="X47" s="277">
        <f>$G47+V47-T47</f>
        <v/>
      </c>
      <c r="Y47" s="278" t="n">
        <v>0</v>
      </c>
      <c r="Z47" s="278" t="n">
        <v>0</v>
      </c>
      <c r="AA47" s="279">
        <f>ROUND((Y47+Z47)/2,0)</f>
        <v/>
      </c>
      <c r="AB47" s="11" t="n">
        <v>0</v>
      </c>
      <c r="AC47" s="9">
        <f>SUMIFS(입항스케줄!J:J,입항스케줄!C:C,PSI_메인!A47,입항스케줄!U:U,"2603")</f>
        <v/>
      </c>
      <c r="AD47" s="11">
        <f>SUMIFS(입항스케줄!J:J,입항스케줄!C:C,PSI_메인!A47,입항스케줄!V:V,"2603")</f>
        <v/>
      </c>
      <c r="AE47" s="280">
        <f>$G47+AC47-AA47</f>
        <v/>
      </c>
      <c r="AF47" s="277">
        <f>$G47+AD47-AB47</f>
        <v/>
      </c>
      <c r="AG47" s="278" t="n">
        <v>0</v>
      </c>
      <c r="AH47" s="278" t="n">
        <v>0</v>
      </c>
      <c r="AI47" s="279">
        <f>ROUND((AG47+AH47)/2,0)</f>
        <v/>
      </c>
      <c r="AJ47" s="11" t="n">
        <v>0</v>
      </c>
      <c r="AK47" s="9">
        <f>SUMIFS(입항스케줄!J:J,입항스케줄!C:C,PSI_메인!A47,입항스케줄!U:U,"2604")</f>
        <v/>
      </c>
      <c r="AL47" s="11">
        <f>SUMIFS(입항스케줄!J:J,입항스케줄!C:C,PSI_메인!A47,입항스케줄!V:V,"2604")</f>
        <v/>
      </c>
      <c r="AM47" s="280">
        <f>$G47+AK47-AI47</f>
        <v/>
      </c>
      <c r="AN47" s="277">
        <f>$G47+AL47-AJ47</f>
        <v/>
      </c>
      <c r="AO47" s="278" t="n">
        <v>0</v>
      </c>
      <c r="AP47" s="278" t="n">
        <v>0</v>
      </c>
      <c r="AQ47" s="279">
        <f>ROUND((AO47+AP47)/2,0)</f>
        <v/>
      </c>
      <c r="AR47" s="11" t="n">
        <v>0</v>
      </c>
      <c r="AS47" s="9" t="n"/>
      <c r="AT47" s="277" t="n"/>
      <c r="AU47" s="280">
        <f>$G47+AS47-AQ47</f>
        <v/>
      </c>
      <c r="AV47" s="277">
        <f>$G47+AT47-AR47</f>
        <v/>
      </c>
      <c r="AW47" s="278" t="n">
        <v>0</v>
      </c>
      <c r="AX47" s="278" t="n">
        <v>0</v>
      </c>
      <c r="AY47" s="279">
        <f>ROUND((AW47+AX47)/2,0)</f>
        <v/>
      </c>
      <c r="AZ47" s="11" t="n">
        <v>0</v>
      </c>
      <c r="BA47" s="9" t="n"/>
      <c r="BB47" s="11" t="n"/>
      <c r="BC47" s="280">
        <f>$G47+BA47-AY47</f>
        <v/>
      </c>
      <c r="BD47" s="277">
        <f>$G47+BB47-AZ47</f>
        <v/>
      </c>
      <c r="BE47" s="278" t="n">
        <v>0</v>
      </c>
      <c r="BF47" s="278" t="n">
        <v>0</v>
      </c>
      <c r="BG47" s="279">
        <f>ROUND((BE47+BF47)/2,0)</f>
        <v/>
      </c>
      <c r="BH47" s="11" t="n">
        <v>0</v>
      </c>
      <c r="BI47" s="278" t="n"/>
      <c r="BJ47" s="11" t="n"/>
      <c r="BK47" s="280">
        <f>$G47+BI47-BG47</f>
        <v/>
      </c>
      <c r="BL47" s="277">
        <f>$G47+BJ47-BH47</f>
        <v/>
      </c>
      <c r="BM47" s="278" t="n">
        <v>0</v>
      </c>
      <c r="BN47" s="278" t="n">
        <v>0</v>
      </c>
      <c r="BO47" s="279">
        <f>ROUND((BM47+BN47)/2,0)</f>
        <v/>
      </c>
      <c r="BP47" s="11" t="n">
        <v>0</v>
      </c>
      <c r="BQ47" s="278" t="n"/>
      <c r="BR47" s="11" t="n"/>
      <c r="BS47" s="280">
        <f>$G47+BQ47-BO47</f>
        <v/>
      </c>
      <c r="BT47" s="277">
        <f>$G47+BR47-BP47</f>
        <v/>
      </c>
      <c r="BU47" s="278" t="n">
        <v>0</v>
      </c>
      <c r="BV47" s="278" t="n">
        <v>0</v>
      </c>
      <c r="BW47" s="279">
        <f>ROUND((BU47+BV47)/2,0)</f>
        <v/>
      </c>
      <c r="BX47" s="11" t="n">
        <v>0</v>
      </c>
      <c r="BY47" s="278" t="n"/>
      <c r="BZ47" s="11" t="n"/>
      <c r="CA47" s="280">
        <f>$G47+BY47-BW47</f>
        <v/>
      </c>
      <c r="CB47" s="277">
        <f>$G47+BZ47-BX47</f>
        <v/>
      </c>
      <c r="CC47" s="278" t="n">
        <v>0</v>
      </c>
      <c r="CD47" s="278" t="n">
        <v>0</v>
      </c>
      <c r="CE47" s="279">
        <f>ROUND((CC47+CD47)/2,0)</f>
        <v/>
      </c>
      <c r="CF47" s="11" t="n">
        <v>0</v>
      </c>
      <c r="CG47" s="278" t="n"/>
      <c r="CH47" s="11" t="n"/>
      <c r="CI47" s="280">
        <f>$G47+CG47-CE47</f>
        <v/>
      </c>
      <c r="CJ47" s="277">
        <f>$G47+CH47-CF47</f>
        <v/>
      </c>
      <c r="CK47" s="278" t="n">
        <v>0</v>
      </c>
      <c r="CL47" s="278" t="n">
        <v>0</v>
      </c>
      <c r="CM47" s="279">
        <f>ROUND((CK47+CL47)/2,0)</f>
        <v/>
      </c>
      <c r="CN47" s="11" t="n">
        <v>0</v>
      </c>
      <c r="CO47" s="278" t="n"/>
      <c r="CP47" s="277" t="n"/>
      <c r="CQ47" s="280">
        <f>$G47+CO47-CM47</f>
        <v/>
      </c>
      <c r="CR47" s="277">
        <f>$G47+CP47-CN47</f>
        <v/>
      </c>
      <c r="CS47" s="278" t="n">
        <v>0</v>
      </c>
      <c r="CT47" s="278" t="n">
        <v>0</v>
      </c>
      <c r="CU47" s="279">
        <f>ROUND((CS47+CT47)/2,0)</f>
        <v/>
      </c>
      <c r="CV47" s="11" t="n">
        <v>0</v>
      </c>
      <c r="CW47" s="278" t="n"/>
      <c r="CX47" s="277" t="n"/>
      <c r="CY47" s="280">
        <f>$G47+CW47-CU47</f>
        <v/>
      </c>
      <c r="CZ47" s="277">
        <f>$G47+CX47-CV47</f>
        <v/>
      </c>
    </row>
    <row r="48" ht="17.25" customHeight="1" s="480">
      <c r="A48" s="28" t="inlineStr">
        <is>
          <t>ABC45</t>
        </is>
      </c>
      <c r="B48" s="379" t="n"/>
      <c r="C48" s="27" t="n"/>
      <c r="D48" s="28">
        <f>_xlfn.XLOOKUP(A48,'ABC-XYZ분석 (2)'!C:C,'ABC-XYZ분석 (2)'!I:I)</f>
        <v/>
      </c>
      <c r="E48" s="28">
        <f>_xlfn.XLOOKUP(A48,'ABC-XYZ분석 (2)'!C:C,'ABC-XYZ분석 (2)'!AC:AC)</f>
        <v/>
      </c>
      <c r="F48" s="3">
        <f>_xlfn.XLOOKUP(A48,'ABC-XYZ분석 (2)'!C:C,'ABC-XYZ분석 (2)'!AG:AG)</f>
        <v/>
      </c>
      <c r="G48" s="14">
        <f>SUMIF(재고!C:C,PSI_메인!A48,재고!I:I)</f>
        <v/>
      </c>
      <c r="H48" s="277" t="n">
        <v>195</v>
      </c>
      <c r="I48" s="278" t="n">
        <v>0</v>
      </c>
      <c r="J48" s="278" t="n">
        <v>0</v>
      </c>
      <c r="K48" s="279" t="n">
        <v>68.39999999999999</v>
      </c>
      <c r="L48" s="11" t="n">
        <v>0</v>
      </c>
      <c r="M48" s="9">
        <f>SUMIFS(입항스케줄!J:J,입항스케줄!C:C,PSI_메인!A48,입항스케줄!U:U,"2601")</f>
        <v/>
      </c>
      <c r="N48" s="11">
        <f>SUMIFS(입항스케줄!J:J,입항스케줄!C:C,PSI_메인!A48,입항스케줄!V:V,"2601")</f>
        <v/>
      </c>
      <c r="O48" s="280">
        <f>$G48+M48-K48</f>
        <v/>
      </c>
      <c r="P48" s="277">
        <f>$G48+N48-L48</f>
        <v/>
      </c>
      <c r="Q48" s="278" t="n">
        <v>0</v>
      </c>
      <c r="R48" s="278" t="n">
        <v>0</v>
      </c>
      <c r="S48" s="10" t="n">
        <v>45.6</v>
      </c>
      <c r="T48" s="11" t="n">
        <v>0</v>
      </c>
      <c r="U48" s="9">
        <f>SUMIFS(입항스케줄!J:J,입항스케줄!C:C,PSI_메인!A48,입항스케줄!U:U,"2602")</f>
        <v/>
      </c>
      <c r="V48" s="11">
        <f>SUMIFS(입항스케줄!J:J,입항스케줄!C:C,PSI_메인!A48,입항스케줄!V:V,"2602")</f>
        <v/>
      </c>
      <c r="W48" s="280">
        <f>$G48+U48-S48</f>
        <v/>
      </c>
      <c r="X48" s="277">
        <f>$G48+V48-T48</f>
        <v/>
      </c>
      <c r="Y48" s="278" t="n">
        <v>0</v>
      </c>
      <c r="Z48" s="278" t="n">
        <v>0</v>
      </c>
      <c r="AA48" s="279">
        <f>ROUND((Y48+Z48)/2,0)</f>
        <v/>
      </c>
      <c r="AB48" s="11" t="n">
        <v>0</v>
      </c>
      <c r="AC48" s="9">
        <f>SUMIFS(입항스케줄!J:J,입항스케줄!C:C,PSI_메인!A48,입항스케줄!U:U,"2603")</f>
        <v/>
      </c>
      <c r="AD48" s="11">
        <f>SUMIFS(입항스케줄!J:J,입항스케줄!C:C,PSI_메인!A48,입항스케줄!V:V,"2603")</f>
        <v/>
      </c>
      <c r="AE48" s="280">
        <f>$G48+AC48-AA48</f>
        <v/>
      </c>
      <c r="AF48" s="277">
        <f>$G48+AD48-AB48</f>
        <v/>
      </c>
      <c r="AG48" s="278" t="n">
        <v>0</v>
      </c>
      <c r="AH48" s="278" t="n">
        <v>0</v>
      </c>
      <c r="AI48" s="279">
        <f>ROUND((AG48+AH48)/2,0)</f>
        <v/>
      </c>
      <c r="AJ48" s="11" t="n">
        <v>0</v>
      </c>
      <c r="AK48" s="9">
        <f>SUMIFS(입항스케줄!J:J,입항스케줄!C:C,PSI_메인!A48,입항스케줄!U:U,"2604")</f>
        <v/>
      </c>
      <c r="AL48" s="11">
        <f>SUMIFS(입항스케줄!J:J,입항스케줄!C:C,PSI_메인!A48,입항스케줄!V:V,"2604")</f>
        <v/>
      </c>
      <c r="AM48" s="280">
        <f>$G48+AK48-AI48</f>
        <v/>
      </c>
      <c r="AN48" s="277">
        <f>$G48+AL48-AJ48</f>
        <v/>
      </c>
      <c r="AO48" s="278" t="n">
        <v>0</v>
      </c>
      <c r="AP48" s="278" t="n">
        <v>0</v>
      </c>
      <c r="AQ48" s="279">
        <f>ROUND((AO48+AP48)/2,0)</f>
        <v/>
      </c>
      <c r="AR48" s="11" t="n">
        <v>0</v>
      </c>
      <c r="AS48" s="9" t="n"/>
      <c r="AT48" s="277" t="n"/>
      <c r="AU48" s="280">
        <f>$G48+AS48-AQ48</f>
        <v/>
      </c>
      <c r="AV48" s="277">
        <f>$G48+AT48-AR48</f>
        <v/>
      </c>
      <c r="AW48" s="278" t="n">
        <v>0</v>
      </c>
      <c r="AX48" s="278" t="n">
        <v>0</v>
      </c>
      <c r="AY48" s="279">
        <f>ROUND((AW48+AX48)/2,0)</f>
        <v/>
      </c>
      <c r="AZ48" s="11" t="n">
        <v>0</v>
      </c>
      <c r="BA48" s="9" t="n"/>
      <c r="BB48" s="11" t="n"/>
      <c r="BC48" s="280">
        <f>$G48+BA48-AY48</f>
        <v/>
      </c>
      <c r="BD48" s="277">
        <f>$G48+BB48-AZ48</f>
        <v/>
      </c>
      <c r="BE48" s="278" t="n">
        <v>0</v>
      </c>
      <c r="BF48" s="278" t="n">
        <v>0</v>
      </c>
      <c r="BG48" s="279">
        <f>ROUND((BE48+BF48)/2,0)</f>
        <v/>
      </c>
      <c r="BH48" s="11" t="n">
        <v>0</v>
      </c>
      <c r="BI48" s="278" t="n"/>
      <c r="BJ48" s="11" t="n"/>
      <c r="BK48" s="280">
        <f>$G48+BI48-BG48</f>
        <v/>
      </c>
      <c r="BL48" s="277">
        <f>$G48+BJ48-BH48</f>
        <v/>
      </c>
      <c r="BM48" s="278" t="n">
        <v>0</v>
      </c>
      <c r="BN48" s="278" t="n">
        <v>0</v>
      </c>
      <c r="BO48" s="279">
        <f>ROUND((BM48+BN48)/2,0)</f>
        <v/>
      </c>
      <c r="BP48" s="11" t="n">
        <v>0</v>
      </c>
      <c r="BQ48" s="278" t="n"/>
      <c r="BR48" s="11" t="n"/>
      <c r="BS48" s="280">
        <f>$G48+BQ48-BO48</f>
        <v/>
      </c>
      <c r="BT48" s="277">
        <f>$G48+BR48-BP48</f>
        <v/>
      </c>
      <c r="BU48" s="278" t="n">
        <v>0</v>
      </c>
      <c r="BV48" s="278" t="n">
        <v>0</v>
      </c>
      <c r="BW48" s="279">
        <f>ROUND((BU48+BV48)/2,0)</f>
        <v/>
      </c>
      <c r="BX48" s="11" t="n">
        <v>0</v>
      </c>
      <c r="BY48" s="278" t="n"/>
      <c r="BZ48" s="11" t="n"/>
      <c r="CA48" s="280">
        <f>$G48+BY48-BW48</f>
        <v/>
      </c>
      <c r="CB48" s="277">
        <f>$G48+BZ48-BX48</f>
        <v/>
      </c>
      <c r="CC48" s="278" t="n">
        <v>0</v>
      </c>
      <c r="CD48" s="278" t="n">
        <v>0</v>
      </c>
      <c r="CE48" s="279">
        <f>ROUND((CC48+CD48)/2,0)</f>
        <v/>
      </c>
      <c r="CF48" s="11" t="n">
        <v>0</v>
      </c>
      <c r="CG48" s="278" t="n"/>
      <c r="CH48" s="11" t="n"/>
      <c r="CI48" s="280">
        <f>$G48+CG48-CE48</f>
        <v/>
      </c>
      <c r="CJ48" s="277">
        <f>$G48+CH48-CF48</f>
        <v/>
      </c>
      <c r="CK48" s="278" t="n">
        <v>0</v>
      </c>
      <c r="CL48" s="278" t="n">
        <v>0</v>
      </c>
      <c r="CM48" s="279">
        <f>ROUND((CK48+CL48)/2,0)</f>
        <v/>
      </c>
      <c r="CN48" s="11" t="n">
        <v>0</v>
      </c>
      <c r="CO48" s="278" t="n"/>
      <c r="CP48" s="277" t="n"/>
      <c r="CQ48" s="280">
        <f>$G48+CO48-CM48</f>
        <v/>
      </c>
      <c r="CR48" s="277">
        <f>$G48+CP48-CN48</f>
        <v/>
      </c>
      <c r="CS48" s="278" t="n">
        <v>0</v>
      </c>
      <c r="CT48" s="278" t="n">
        <v>0</v>
      </c>
      <c r="CU48" s="279">
        <f>ROUND((CS48+CT48)/2,0)</f>
        <v/>
      </c>
      <c r="CV48" s="11" t="n">
        <v>0</v>
      </c>
      <c r="CW48" s="278" t="n"/>
      <c r="CX48" s="277" t="n"/>
      <c r="CY48" s="280">
        <f>$G48+CW48-CU48</f>
        <v/>
      </c>
      <c r="CZ48" s="277">
        <f>$G48+CX48-CV48</f>
        <v/>
      </c>
    </row>
    <row r="49" ht="17.25" customHeight="1" s="480">
      <c r="A49" s="28" t="inlineStr">
        <is>
          <t>ABC46</t>
        </is>
      </c>
      <c r="B49" s="379" t="n"/>
      <c r="C49" s="27" t="n"/>
      <c r="D49" s="28">
        <f>_xlfn.XLOOKUP(A49,'ABC-XYZ분석 (2)'!C:C,'ABC-XYZ분석 (2)'!I:I)</f>
        <v/>
      </c>
      <c r="E49" s="28">
        <f>_xlfn.XLOOKUP(A49,'ABC-XYZ분석 (2)'!C:C,'ABC-XYZ분석 (2)'!AC:AC)</f>
        <v/>
      </c>
      <c r="F49" s="3">
        <f>_xlfn.XLOOKUP(A49,'ABC-XYZ분석 (2)'!C:C,'ABC-XYZ분석 (2)'!AG:AG)</f>
        <v/>
      </c>
      <c r="G49" s="14">
        <f>SUMIF(재고!C:C,PSI_메인!A49,재고!I:I)</f>
        <v/>
      </c>
      <c r="H49" s="277" t="n">
        <v>4523</v>
      </c>
      <c r="I49" s="278" t="n">
        <v>0</v>
      </c>
      <c r="J49" s="278" t="n">
        <v>0</v>
      </c>
      <c r="K49" s="279" t="n">
        <v>1875</v>
      </c>
      <c r="L49" s="11" t="n">
        <v>0</v>
      </c>
      <c r="M49" s="9">
        <f>SUMIFS(입항스케줄!J:J,입항스케줄!C:C,PSI_메인!A49,입항스케줄!U:U,"2601")</f>
        <v/>
      </c>
      <c r="N49" s="11">
        <f>SUMIFS(입항스케줄!J:J,입항스케줄!C:C,PSI_메인!A49,입항스케줄!V:V,"2601")</f>
        <v/>
      </c>
      <c r="O49" s="280">
        <f>$G49+M49-K49</f>
        <v/>
      </c>
      <c r="P49" s="277">
        <f>$G49+N49-L49</f>
        <v/>
      </c>
      <c r="Q49" s="278" t="n">
        <v>0</v>
      </c>
      <c r="R49" s="278" t="n">
        <v>0</v>
      </c>
      <c r="S49" s="10" t="n">
        <v>800</v>
      </c>
      <c r="T49" s="11" t="n">
        <v>0</v>
      </c>
      <c r="U49" s="9">
        <f>SUMIFS(입항스케줄!J:J,입항스케줄!C:C,PSI_메인!A49,입항스케줄!U:U,"2602")</f>
        <v/>
      </c>
      <c r="V49" s="11">
        <f>SUMIFS(입항스케줄!J:J,입항스케줄!C:C,PSI_메인!A49,입항스케줄!V:V,"2602")</f>
        <v/>
      </c>
      <c r="W49" s="280">
        <f>$G49+U49-S49</f>
        <v/>
      </c>
      <c r="X49" s="277">
        <f>$G49+V49-T49</f>
        <v/>
      </c>
      <c r="Y49" s="278" t="n">
        <v>0</v>
      </c>
      <c r="Z49" s="278" t="n">
        <v>0</v>
      </c>
      <c r="AA49" s="279">
        <f>ROUND((Y49+Z49)/2,0)</f>
        <v/>
      </c>
      <c r="AB49" s="11" t="n">
        <v>0</v>
      </c>
      <c r="AC49" s="9">
        <f>SUMIFS(입항스케줄!J:J,입항스케줄!C:C,PSI_메인!A49,입항스케줄!U:U,"2603")</f>
        <v/>
      </c>
      <c r="AD49" s="11">
        <f>SUMIFS(입항스케줄!J:J,입항스케줄!C:C,PSI_메인!A49,입항스케줄!V:V,"2603")</f>
        <v/>
      </c>
      <c r="AE49" s="280">
        <f>$G49+AC49-AA49</f>
        <v/>
      </c>
      <c r="AF49" s="277">
        <f>$G49+AD49-AB49</f>
        <v/>
      </c>
      <c r="AG49" s="278" t="n">
        <v>0</v>
      </c>
      <c r="AH49" s="278" t="n">
        <v>0</v>
      </c>
      <c r="AI49" s="279">
        <f>ROUND((AG49+AH49)/2,0)</f>
        <v/>
      </c>
      <c r="AJ49" s="11" t="n">
        <v>0</v>
      </c>
      <c r="AK49" s="9">
        <f>SUMIFS(입항스케줄!J:J,입항스케줄!C:C,PSI_메인!A49,입항스케줄!U:U,"2604")</f>
        <v/>
      </c>
      <c r="AL49" s="11">
        <f>SUMIFS(입항스케줄!J:J,입항스케줄!C:C,PSI_메인!A49,입항스케줄!V:V,"2604")</f>
        <v/>
      </c>
      <c r="AM49" s="280">
        <f>$G49+AK49-AI49</f>
        <v/>
      </c>
      <c r="AN49" s="277">
        <f>$G49+AL49-AJ49</f>
        <v/>
      </c>
      <c r="AO49" s="278" t="n">
        <v>0</v>
      </c>
      <c r="AP49" s="278" t="n">
        <v>0</v>
      </c>
      <c r="AQ49" s="279">
        <f>ROUND((AO49+AP49)/2,0)</f>
        <v/>
      </c>
      <c r="AR49" s="11" t="n">
        <v>0</v>
      </c>
      <c r="AS49" s="9" t="n"/>
      <c r="AT49" s="277" t="n"/>
      <c r="AU49" s="280">
        <f>$G49+AS49-AQ49</f>
        <v/>
      </c>
      <c r="AV49" s="277">
        <f>$G49+AT49-AR49</f>
        <v/>
      </c>
      <c r="AW49" s="278" t="n">
        <v>0</v>
      </c>
      <c r="AX49" s="278" t="n">
        <v>0</v>
      </c>
      <c r="AY49" s="279">
        <f>ROUND((AW49+AX49)/2,0)</f>
        <v/>
      </c>
      <c r="AZ49" s="11" t="n">
        <v>0</v>
      </c>
      <c r="BA49" s="9" t="n"/>
      <c r="BB49" s="11" t="n"/>
      <c r="BC49" s="280">
        <f>$G49+BA49-AY49</f>
        <v/>
      </c>
      <c r="BD49" s="277">
        <f>$G49+BB49-AZ49</f>
        <v/>
      </c>
      <c r="BE49" s="278" t="n">
        <v>0</v>
      </c>
      <c r="BF49" s="278" t="n">
        <v>0</v>
      </c>
      <c r="BG49" s="279">
        <f>ROUND((BE49+BF49)/2,0)</f>
        <v/>
      </c>
      <c r="BH49" s="11" t="n">
        <v>0</v>
      </c>
      <c r="BI49" s="278" t="n"/>
      <c r="BJ49" s="11" t="n"/>
      <c r="BK49" s="280">
        <f>$G49+BI49-BG49</f>
        <v/>
      </c>
      <c r="BL49" s="277">
        <f>$G49+BJ49-BH49</f>
        <v/>
      </c>
      <c r="BM49" s="278" t="n">
        <v>0</v>
      </c>
      <c r="BN49" s="278" t="n">
        <v>0</v>
      </c>
      <c r="BO49" s="279">
        <f>ROUND((BM49+BN49)/2,0)</f>
        <v/>
      </c>
      <c r="BP49" s="11" t="n">
        <v>0</v>
      </c>
      <c r="BQ49" s="278" t="n"/>
      <c r="BR49" s="11" t="n"/>
      <c r="BS49" s="280">
        <f>$G49+BQ49-BO49</f>
        <v/>
      </c>
      <c r="BT49" s="277">
        <f>$G49+BR49-BP49</f>
        <v/>
      </c>
      <c r="BU49" s="278" t="n">
        <v>0</v>
      </c>
      <c r="BV49" s="278" t="n">
        <v>0</v>
      </c>
      <c r="BW49" s="279">
        <f>ROUND((BU49+BV49)/2,0)</f>
        <v/>
      </c>
      <c r="BX49" s="11" t="n">
        <v>0</v>
      </c>
      <c r="BY49" s="278" t="n"/>
      <c r="BZ49" s="11" t="n"/>
      <c r="CA49" s="280">
        <f>$G49+BY49-BW49</f>
        <v/>
      </c>
      <c r="CB49" s="277">
        <f>$G49+BZ49-BX49</f>
        <v/>
      </c>
      <c r="CC49" s="278" t="n">
        <v>0</v>
      </c>
      <c r="CD49" s="278" t="n">
        <v>0</v>
      </c>
      <c r="CE49" s="279">
        <f>ROUND((CC49+CD49)/2,0)</f>
        <v/>
      </c>
      <c r="CF49" s="11" t="n">
        <v>0</v>
      </c>
      <c r="CG49" s="278" t="n"/>
      <c r="CH49" s="11" t="n"/>
      <c r="CI49" s="280">
        <f>$G49+CG49-CE49</f>
        <v/>
      </c>
      <c r="CJ49" s="277">
        <f>$G49+CH49-CF49</f>
        <v/>
      </c>
      <c r="CK49" s="278" t="n">
        <v>0</v>
      </c>
      <c r="CL49" s="278" t="n">
        <v>0</v>
      </c>
      <c r="CM49" s="279">
        <f>ROUND((CK49+CL49)/2,0)</f>
        <v/>
      </c>
      <c r="CN49" s="11" t="n">
        <v>0</v>
      </c>
      <c r="CO49" s="278" t="n"/>
      <c r="CP49" s="277" t="n"/>
      <c r="CQ49" s="280">
        <f>$G49+CO49-CM49</f>
        <v/>
      </c>
      <c r="CR49" s="277">
        <f>$G49+CP49-CN49</f>
        <v/>
      </c>
      <c r="CS49" s="278" t="n">
        <v>0</v>
      </c>
      <c r="CT49" s="278" t="n">
        <v>0</v>
      </c>
      <c r="CU49" s="279">
        <f>ROUND((CS49+CT49)/2,0)</f>
        <v/>
      </c>
      <c r="CV49" s="11" t="n">
        <v>0</v>
      </c>
      <c r="CW49" s="278" t="n"/>
      <c r="CX49" s="277" t="n"/>
      <c r="CY49" s="280">
        <f>$G49+CW49-CU49</f>
        <v/>
      </c>
      <c r="CZ49" s="277">
        <f>$G49+CX49-CV49</f>
        <v/>
      </c>
    </row>
    <row r="50" ht="17.25" customHeight="1" s="480">
      <c r="A50" s="28" t="inlineStr">
        <is>
          <t>ABC47</t>
        </is>
      </c>
      <c r="B50" s="379" t="n"/>
      <c r="C50" s="27" t="n"/>
      <c r="D50" s="28">
        <f>_xlfn.XLOOKUP(A50,'ABC-XYZ분석 (2)'!C:C,'ABC-XYZ분석 (2)'!I:I)</f>
        <v/>
      </c>
      <c r="E50" s="28">
        <f>_xlfn.XLOOKUP(A50,'ABC-XYZ분석 (2)'!C:C,'ABC-XYZ분석 (2)'!AC:AC)</f>
        <v/>
      </c>
      <c r="F50" s="3">
        <f>_xlfn.XLOOKUP(A50,'ABC-XYZ분석 (2)'!C:C,'ABC-XYZ분석 (2)'!AG:AG)</f>
        <v/>
      </c>
      <c r="G50" s="14">
        <f>SUMIF(재고!C:C,PSI_메인!A50,재고!I:I)</f>
        <v/>
      </c>
      <c r="H50" s="277" t="n">
        <v>594</v>
      </c>
      <c r="I50" s="278" t="n">
        <v>0</v>
      </c>
      <c r="J50" s="278" t="n">
        <v>0</v>
      </c>
      <c r="K50" s="279" t="n">
        <v>400</v>
      </c>
      <c r="L50" s="11" t="n">
        <v>0</v>
      </c>
      <c r="M50" s="9">
        <f>SUMIFS(입항스케줄!J:J,입항스케줄!C:C,PSI_메인!A50,입항스케줄!U:U,"2601")</f>
        <v/>
      </c>
      <c r="N50" s="11">
        <f>SUMIFS(입항스케줄!J:J,입항스케줄!C:C,PSI_메인!A50,입항스케줄!V:V,"2601")</f>
        <v/>
      </c>
      <c r="O50" s="280">
        <f>$G50+M50-K50</f>
        <v/>
      </c>
      <c r="P50" s="277">
        <f>$G50+N50-L50</f>
        <v/>
      </c>
      <c r="Q50" s="278" t="n">
        <v>0</v>
      </c>
      <c r="R50" s="278" t="n">
        <v>0</v>
      </c>
      <c r="S50" s="10" t="n">
        <v>0</v>
      </c>
      <c r="T50" s="11" t="n">
        <v>0</v>
      </c>
      <c r="U50" s="9">
        <f>SUMIFS(입항스케줄!J:J,입항스케줄!C:C,PSI_메인!A50,입항스케줄!U:U,"2602")</f>
        <v/>
      </c>
      <c r="V50" s="11">
        <f>SUMIFS(입항스케줄!J:J,입항스케줄!C:C,PSI_메인!A50,입항스케줄!V:V,"2602")</f>
        <v/>
      </c>
      <c r="W50" s="280">
        <f>$G50+U50-S50</f>
        <v/>
      </c>
      <c r="X50" s="277">
        <f>$G50+V50-T50</f>
        <v/>
      </c>
      <c r="Y50" s="278" t="n">
        <v>0</v>
      </c>
      <c r="Z50" s="278" t="n">
        <v>0</v>
      </c>
      <c r="AA50" s="279">
        <f>ROUND((Y50+Z50)/2,0)</f>
        <v/>
      </c>
      <c r="AB50" s="11" t="n">
        <v>0</v>
      </c>
      <c r="AC50" s="9">
        <f>SUMIFS(입항스케줄!J:J,입항스케줄!C:C,PSI_메인!A50,입항스케줄!U:U,"2603")</f>
        <v/>
      </c>
      <c r="AD50" s="11">
        <f>SUMIFS(입항스케줄!J:J,입항스케줄!C:C,PSI_메인!A50,입항스케줄!V:V,"2603")</f>
        <v/>
      </c>
      <c r="AE50" s="280">
        <f>$G50+AC50-AA50</f>
        <v/>
      </c>
      <c r="AF50" s="277">
        <f>$G50+AD50-AB50</f>
        <v/>
      </c>
      <c r="AG50" s="278" t="n">
        <v>0</v>
      </c>
      <c r="AH50" s="278" t="n">
        <v>0</v>
      </c>
      <c r="AI50" s="279">
        <f>ROUND((AG50+AH50)/2,0)</f>
        <v/>
      </c>
      <c r="AJ50" s="11" t="n">
        <v>0</v>
      </c>
      <c r="AK50" s="9">
        <f>SUMIFS(입항스케줄!J:J,입항스케줄!C:C,PSI_메인!A50,입항스케줄!U:U,"2604")</f>
        <v/>
      </c>
      <c r="AL50" s="11">
        <f>SUMIFS(입항스케줄!J:J,입항스케줄!C:C,PSI_메인!A50,입항스케줄!V:V,"2604")</f>
        <v/>
      </c>
      <c r="AM50" s="280">
        <f>$G50+AK50-AI50</f>
        <v/>
      </c>
      <c r="AN50" s="277">
        <f>$G50+AL50-AJ50</f>
        <v/>
      </c>
      <c r="AO50" s="278" t="n">
        <v>0</v>
      </c>
      <c r="AP50" s="278" t="n">
        <v>0</v>
      </c>
      <c r="AQ50" s="279">
        <f>ROUND((AO50+AP50)/2,0)</f>
        <v/>
      </c>
      <c r="AR50" s="11" t="n">
        <v>0</v>
      </c>
      <c r="AS50" s="9" t="n"/>
      <c r="AT50" s="277" t="n"/>
      <c r="AU50" s="280">
        <f>$G50+AS50-AQ50</f>
        <v/>
      </c>
      <c r="AV50" s="277">
        <f>$G50+AT50-AR50</f>
        <v/>
      </c>
      <c r="AW50" s="278" t="n">
        <v>0</v>
      </c>
      <c r="AX50" s="278" t="n">
        <v>0</v>
      </c>
      <c r="AY50" s="279">
        <f>ROUND((AW50+AX50)/2,0)</f>
        <v/>
      </c>
      <c r="AZ50" s="11" t="n">
        <v>0</v>
      </c>
      <c r="BA50" s="9" t="n"/>
      <c r="BB50" s="11" t="n"/>
      <c r="BC50" s="280">
        <f>$G50+BA50-AY50</f>
        <v/>
      </c>
      <c r="BD50" s="277">
        <f>$G50+BB50-AZ50</f>
        <v/>
      </c>
      <c r="BE50" s="278" t="n">
        <v>0</v>
      </c>
      <c r="BF50" s="278" t="n">
        <v>0</v>
      </c>
      <c r="BG50" s="279">
        <f>ROUND((BE50+BF50)/2,0)</f>
        <v/>
      </c>
      <c r="BH50" s="11" t="n">
        <v>0</v>
      </c>
      <c r="BI50" s="278" t="n"/>
      <c r="BJ50" s="11" t="n"/>
      <c r="BK50" s="280">
        <f>$G50+BI50-BG50</f>
        <v/>
      </c>
      <c r="BL50" s="277">
        <f>$G50+BJ50-BH50</f>
        <v/>
      </c>
      <c r="BM50" s="278" t="n">
        <v>0</v>
      </c>
      <c r="BN50" s="278" t="n">
        <v>0</v>
      </c>
      <c r="BO50" s="279">
        <f>ROUND((BM50+BN50)/2,0)</f>
        <v/>
      </c>
      <c r="BP50" s="11" t="n">
        <v>0</v>
      </c>
      <c r="BQ50" s="278" t="n"/>
      <c r="BR50" s="11" t="n"/>
      <c r="BS50" s="280">
        <f>$G50+BQ50-BO50</f>
        <v/>
      </c>
      <c r="BT50" s="277">
        <f>$G50+BR50-BP50</f>
        <v/>
      </c>
      <c r="BU50" s="278" t="n">
        <v>0</v>
      </c>
      <c r="BV50" s="278" t="n">
        <v>0</v>
      </c>
      <c r="BW50" s="279">
        <f>ROUND((BU50+BV50)/2,0)</f>
        <v/>
      </c>
      <c r="BX50" s="11" t="n">
        <v>0</v>
      </c>
      <c r="BY50" s="278" t="n"/>
      <c r="BZ50" s="11" t="n"/>
      <c r="CA50" s="280">
        <f>$G50+BY50-BW50</f>
        <v/>
      </c>
      <c r="CB50" s="277">
        <f>$G50+BZ50-BX50</f>
        <v/>
      </c>
      <c r="CC50" s="278" t="n">
        <v>0</v>
      </c>
      <c r="CD50" s="278" t="n">
        <v>0</v>
      </c>
      <c r="CE50" s="279">
        <f>ROUND((CC50+CD50)/2,0)</f>
        <v/>
      </c>
      <c r="CF50" s="11" t="n">
        <v>0</v>
      </c>
      <c r="CG50" s="278" t="n"/>
      <c r="CH50" s="11" t="n"/>
      <c r="CI50" s="280">
        <f>$G50+CG50-CE50</f>
        <v/>
      </c>
      <c r="CJ50" s="277">
        <f>$G50+CH50-CF50</f>
        <v/>
      </c>
      <c r="CK50" s="278" t="n">
        <v>0</v>
      </c>
      <c r="CL50" s="278" t="n">
        <v>0</v>
      </c>
      <c r="CM50" s="279">
        <f>ROUND((CK50+CL50)/2,0)</f>
        <v/>
      </c>
      <c r="CN50" s="11" t="n">
        <v>0</v>
      </c>
      <c r="CO50" s="278" t="n"/>
      <c r="CP50" s="277" t="n"/>
      <c r="CQ50" s="280">
        <f>$G50+CO50-CM50</f>
        <v/>
      </c>
      <c r="CR50" s="277">
        <f>$G50+CP50-CN50</f>
        <v/>
      </c>
      <c r="CS50" s="278" t="n">
        <v>0</v>
      </c>
      <c r="CT50" s="278" t="n">
        <v>0</v>
      </c>
      <c r="CU50" s="279">
        <f>ROUND((CS50+CT50)/2,0)</f>
        <v/>
      </c>
      <c r="CV50" s="11" t="n">
        <v>0</v>
      </c>
      <c r="CW50" s="278" t="n"/>
      <c r="CX50" s="277" t="n"/>
      <c r="CY50" s="280">
        <f>$G50+CW50-CU50</f>
        <v/>
      </c>
      <c r="CZ50" s="277">
        <f>$G50+CX50-CV50</f>
        <v/>
      </c>
    </row>
    <row r="51" ht="17.25" customHeight="1" s="480">
      <c r="A51" s="28" t="inlineStr">
        <is>
          <t>ABC48</t>
        </is>
      </c>
      <c r="B51" s="379" t="n"/>
      <c r="C51" s="27" t="n"/>
      <c r="D51" s="28">
        <f>_xlfn.XLOOKUP(A51,'ABC-XYZ분석 (2)'!C:C,'ABC-XYZ분석 (2)'!I:I)</f>
        <v/>
      </c>
      <c r="E51" s="28">
        <f>_xlfn.XLOOKUP(A51,'ABC-XYZ분석 (2)'!C:C,'ABC-XYZ분석 (2)'!AC:AC)</f>
        <v/>
      </c>
      <c r="F51" s="3">
        <f>_xlfn.XLOOKUP(A51,'ABC-XYZ분석 (2)'!C:C,'ABC-XYZ분석 (2)'!AG:AG)</f>
        <v/>
      </c>
      <c r="G51" s="14">
        <f>SUMIF(재고!C:C,PSI_메인!A51,재고!I:I)</f>
        <v/>
      </c>
      <c r="H51" s="277" t="n">
        <v>895</v>
      </c>
      <c r="I51" s="278" t="n">
        <v>0</v>
      </c>
      <c r="J51" s="278" t="n">
        <v>0</v>
      </c>
      <c r="K51" s="279" t="n">
        <v>200</v>
      </c>
      <c r="L51" s="11" t="n">
        <v>0</v>
      </c>
      <c r="M51" s="9">
        <f>SUMIFS(입항스케줄!J:J,입항스케줄!C:C,PSI_메인!A51,입항스케줄!U:U,"2601")</f>
        <v/>
      </c>
      <c r="N51" s="11">
        <f>SUMIFS(입항스케줄!J:J,입항스케줄!C:C,PSI_메인!A51,입항스케줄!V:V,"2601")</f>
        <v/>
      </c>
      <c r="O51" s="280">
        <f>$G51+M51-K51</f>
        <v/>
      </c>
      <c r="P51" s="277">
        <f>$G51+N51-L51</f>
        <v/>
      </c>
      <c r="Q51" s="278" t="n">
        <v>0</v>
      </c>
      <c r="R51" s="278" t="n">
        <v>0</v>
      </c>
      <c r="S51" s="10" t="n">
        <v>450</v>
      </c>
      <c r="T51" s="11" t="n">
        <v>0</v>
      </c>
      <c r="U51" s="9">
        <f>SUMIFS(입항스케줄!J:J,입항스케줄!C:C,PSI_메인!A51,입항스케줄!U:U,"2602")</f>
        <v/>
      </c>
      <c r="V51" s="11">
        <f>SUMIFS(입항스케줄!J:J,입항스케줄!C:C,PSI_메인!A51,입항스케줄!V:V,"2602")</f>
        <v/>
      </c>
      <c r="W51" s="280">
        <f>$G51+U51-S51</f>
        <v/>
      </c>
      <c r="X51" s="277">
        <f>$G51+V51-T51</f>
        <v/>
      </c>
      <c r="Y51" s="278" t="n">
        <v>0</v>
      </c>
      <c r="Z51" s="278" t="n">
        <v>0</v>
      </c>
      <c r="AA51" s="279">
        <f>ROUND((Y51+Z51)/2,0)</f>
        <v/>
      </c>
      <c r="AB51" s="11" t="n">
        <v>0</v>
      </c>
      <c r="AC51" s="9">
        <f>SUMIFS(입항스케줄!J:J,입항스케줄!C:C,PSI_메인!A51,입항스케줄!U:U,"2603")</f>
        <v/>
      </c>
      <c r="AD51" s="11">
        <f>SUMIFS(입항스케줄!J:J,입항스케줄!C:C,PSI_메인!A51,입항스케줄!V:V,"2603")</f>
        <v/>
      </c>
      <c r="AE51" s="280">
        <f>$G51+AC51-AA51</f>
        <v/>
      </c>
      <c r="AF51" s="277">
        <f>$G51+AD51-AB51</f>
        <v/>
      </c>
      <c r="AG51" s="278" t="n">
        <v>0</v>
      </c>
      <c r="AH51" s="278" t="n">
        <v>0</v>
      </c>
      <c r="AI51" s="279">
        <f>ROUND((AG51+AH51)/2,0)</f>
        <v/>
      </c>
      <c r="AJ51" s="11" t="n">
        <v>0</v>
      </c>
      <c r="AK51" s="9">
        <f>SUMIFS(입항스케줄!J:J,입항스케줄!C:C,PSI_메인!A51,입항스케줄!U:U,"2604")</f>
        <v/>
      </c>
      <c r="AL51" s="11">
        <f>SUMIFS(입항스케줄!J:J,입항스케줄!C:C,PSI_메인!A51,입항스케줄!V:V,"2604")</f>
        <v/>
      </c>
      <c r="AM51" s="280">
        <f>$G51+AK51-AI51</f>
        <v/>
      </c>
      <c r="AN51" s="277">
        <f>$G51+AL51-AJ51</f>
        <v/>
      </c>
      <c r="AO51" s="278" t="n">
        <v>0</v>
      </c>
      <c r="AP51" s="278" t="n">
        <v>0</v>
      </c>
      <c r="AQ51" s="279">
        <f>ROUND((AO51+AP51)/2,0)</f>
        <v/>
      </c>
      <c r="AR51" s="11" t="n">
        <v>0</v>
      </c>
      <c r="AS51" s="9" t="n"/>
      <c r="AT51" s="277" t="n"/>
      <c r="AU51" s="280">
        <f>$G51+AS51-AQ51</f>
        <v/>
      </c>
      <c r="AV51" s="277">
        <f>$G51+AT51-AR51</f>
        <v/>
      </c>
      <c r="AW51" s="278" t="n">
        <v>0</v>
      </c>
      <c r="AX51" s="278" t="n">
        <v>0</v>
      </c>
      <c r="AY51" s="279">
        <f>ROUND((AW51+AX51)/2,0)</f>
        <v/>
      </c>
      <c r="AZ51" s="11" t="n">
        <v>0</v>
      </c>
      <c r="BA51" s="9" t="n"/>
      <c r="BB51" s="11" t="n"/>
      <c r="BC51" s="280">
        <f>$G51+BA51-AY51</f>
        <v/>
      </c>
      <c r="BD51" s="277">
        <f>$G51+BB51-AZ51</f>
        <v/>
      </c>
      <c r="BE51" s="278" t="n">
        <v>0</v>
      </c>
      <c r="BF51" s="278" t="n">
        <v>0</v>
      </c>
      <c r="BG51" s="279">
        <f>ROUND((BE51+BF51)/2,0)</f>
        <v/>
      </c>
      <c r="BH51" s="11" t="n">
        <v>0</v>
      </c>
      <c r="BI51" s="278" t="n"/>
      <c r="BJ51" s="11" t="n"/>
      <c r="BK51" s="280">
        <f>$G51+BI51-BG51</f>
        <v/>
      </c>
      <c r="BL51" s="277">
        <f>$G51+BJ51-BH51</f>
        <v/>
      </c>
      <c r="BM51" s="278" t="n">
        <v>0</v>
      </c>
      <c r="BN51" s="278" t="n">
        <v>0</v>
      </c>
      <c r="BO51" s="279">
        <f>ROUND((BM51+BN51)/2,0)</f>
        <v/>
      </c>
      <c r="BP51" s="11" t="n">
        <v>0</v>
      </c>
      <c r="BQ51" s="278" t="n"/>
      <c r="BR51" s="11" t="n"/>
      <c r="BS51" s="280">
        <f>$G51+BQ51-BO51</f>
        <v/>
      </c>
      <c r="BT51" s="277">
        <f>$G51+BR51-BP51</f>
        <v/>
      </c>
      <c r="BU51" s="278" t="n">
        <v>0</v>
      </c>
      <c r="BV51" s="278" t="n">
        <v>0</v>
      </c>
      <c r="BW51" s="279">
        <f>ROUND((BU51+BV51)/2,0)</f>
        <v/>
      </c>
      <c r="BX51" s="11" t="n">
        <v>0</v>
      </c>
      <c r="BY51" s="278" t="n"/>
      <c r="BZ51" s="11" t="n"/>
      <c r="CA51" s="280">
        <f>$G51+BY51-BW51</f>
        <v/>
      </c>
      <c r="CB51" s="277">
        <f>$G51+BZ51-BX51</f>
        <v/>
      </c>
      <c r="CC51" s="278" t="n">
        <v>0</v>
      </c>
      <c r="CD51" s="278" t="n">
        <v>0</v>
      </c>
      <c r="CE51" s="279">
        <f>ROUND((CC51+CD51)/2,0)</f>
        <v/>
      </c>
      <c r="CF51" s="11" t="n">
        <v>0</v>
      </c>
      <c r="CG51" s="278" t="n"/>
      <c r="CH51" s="11" t="n"/>
      <c r="CI51" s="280">
        <f>$G51+CG51-CE51</f>
        <v/>
      </c>
      <c r="CJ51" s="277">
        <f>$G51+CH51-CF51</f>
        <v/>
      </c>
      <c r="CK51" s="278" t="n">
        <v>0</v>
      </c>
      <c r="CL51" s="278" t="n">
        <v>0</v>
      </c>
      <c r="CM51" s="279">
        <f>ROUND((CK51+CL51)/2,0)</f>
        <v/>
      </c>
      <c r="CN51" s="11" t="n">
        <v>0</v>
      </c>
      <c r="CO51" s="278" t="n"/>
      <c r="CP51" s="277" t="n"/>
      <c r="CQ51" s="280">
        <f>$G51+CO51-CM51</f>
        <v/>
      </c>
      <c r="CR51" s="277">
        <f>$G51+CP51-CN51</f>
        <v/>
      </c>
      <c r="CS51" s="278" t="n">
        <v>0</v>
      </c>
      <c r="CT51" s="278" t="n">
        <v>0</v>
      </c>
      <c r="CU51" s="279">
        <f>ROUND((CS51+CT51)/2,0)</f>
        <v/>
      </c>
      <c r="CV51" s="11" t="n">
        <v>0</v>
      </c>
      <c r="CW51" s="278" t="n"/>
      <c r="CX51" s="277" t="n"/>
      <c r="CY51" s="280">
        <f>$G51+CW51-CU51</f>
        <v/>
      </c>
      <c r="CZ51" s="277">
        <f>$G51+CX51-CV51</f>
        <v/>
      </c>
    </row>
    <row r="52" ht="17.25" customHeight="1" s="480">
      <c r="A52" s="28" t="inlineStr">
        <is>
          <t>ABC49</t>
        </is>
      </c>
      <c r="B52" s="379" t="n"/>
      <c r="C52" s="27" t="n"/>
      <c r="D52" s="28">
        <f>_xlfn.XLOOKUP(A52,'ABC-XYZ분석 (2)'!C:C,'ABC-XYZ분석 (2)'!I:I)</f>
        <v/>
      </c>
      <c r="E52" s="28">
        <f>_xlfn.XLOOKUP(A52,'ABC-XYZ분석 (2)'!C:C,'ABC-XYZ분석 (2)'!AC:AC)</f>
        <v/>
      </c>
      <c r="F52" s="3">
        <f>_xlfn.XLOOKUP(A52,'ABC-XYZ분석 (2)'!C:C,'ABC-XYZ분석 (2)'!AG:AG)</f>
        <v/>
      </c>
      <c r="G52" s="14">
        <f>SUMIF(재고!C:C,PSI_메인!A52,재고!I:I)</f>
        <v/>
      </c>
      <c r="H52" s="277" t="n">
        <v>448</v>
      </c>
      <c r="I52" s="278" t="n">
        <v>0</v>
      </c>
      <c r="J52" s="278" t="n">
        <v>0</v>
      </c>
      <c r="K52" s="279" t="n">
        <v>200</v>
      </c>
      <c r="L52" s="11" t="n">
        <v>0</v>
      </c>
      <c r="M52" s="9">
        <f>SUMIFS(입항스케줄!J:J,입항스케줄!C:C,PSI_메인!A52,입항스케줄!U:U,"2601")</f>
        <v/>
      </c>
      <c r="N52" s="11">
        <f>SUMIFS(입항스케줄!J:J,입항스케줄!C:C,PSI_메인!A52,입항스케줄!V:V,"2601")</f>
        <v/>
      </c>
      <c r="O52" s="280">
        <f>$G52+M52-K52</f>
        <v/>
      </c>
      <c r="P52" s="277">
        <f>$G52+N52-L52</f>
        <v/>
      </c>
      <c r="Q52" s="278" t="n">
        <v>0</v>
      </c>
      <c r="R52" s="278" t="n">
        <v>0</v>
      </c>
      <c r="S52" s="10" t="n">
        <v>0</v>
      </c>
      <c r="T52" s="11" t="n">
        <v>0</v>
      </c>
      <c r="U52" s="9">
        <f>SUMIFS(입항스케줄!J:J,입항스케줄!C:C,PSI_메인!A52,입항스케줄!U:U,"2602")</f>
        <v/>
      </c>
      <c r="V52" s="11">
        <f>SUMIFS(입항스케줄!J:J,입항스케줄!C:C,PSI_메인!A52,입항스케줄!V:V,"2602")</f>
        <v/>
      </c>
      <c r="W52" s="280">
        <f>$G52+U52-S52</f>
        <v/>
      </c>
      <c r="X52" s="277">
        <f>$G52+V52-T52</f>
        <v/>
      </c>
      <c r="Y52" s="278" t="n">
        <v>0</v>
      </c>
      <c r="Z52" s="278" t="n">
        <v>0</v>
      </c>
      <c r="AA52" s="279">
        <f>ROUND((Y52+Z52)/2,0)</f>
        <v/>
      </c>
      <c r="AB52" s="11" t="n">
        <v>0</v>
      </c>
      <c r="AC52" s="9">
        <f>SUMIFS(입항스케줄!J:J,입항스케줄!C:C,PSI_메인!A52,입항스케줄!U:U,"2603")</f>
        <v/>
      </c>
      <c r="AD52" s="11">
        <f>SUMIFS(입항스케줄!J:J,입항스케줄!C:C,PSI_메인!A52,입항스케줄!V:V,"2603")</f>
        <v/>
      </c>
      <c r="AE52" s="280">
        <f>$G52+AC52-AA52</f>
        <v/>
      </c>
      <c r="AF52" s="277">
        <f>$G52+AD52-AB52</f>
        <v/>
      </c>
      <c r="AG52" s="278" t="n">
        <v>0</v>
      </c>
      <c r="AH52" s="278" t="n">
        <v>0</v>
      </c>
      <c r="AI52" s="279">
        <f>ROUND((AG52+AH52)/2,0)</f>
        <v/>
      </c>
      <c r="AJ52" s="11" t="n">
        <v>0</v>
      </c>
      <c r="AK52" s="9">
        <f>SUMIFS(입항스케줄!J:J,입항스케줄!C:C,PSI_메인!A52,입항스케줄!U:U,"2604")</f>
        <v/>
      </c>
      <c r="AL52" s="11">
        <f>SUMIFS(입항스케줄!J:J,입항스케줄!C:C,PSI_메인!A52,입항스케줄!V:V,"2604")</f>
        <v/>
      </c>
      <c r="AM52" s="280">
        <f>$G52+AK52-AI52</f>
        <v/>
      </c>
      <c r="AN52" s="277">
        <f>$G52+AL52-AJ52</f>
        <v/>
      </c>
      <c r="AO52" s="278" t="n">
        <v>0</v>
      </c>
      <c r="AP52" s="278" t="n">
        <v>0</v>
      </c>
      <c r="AQ52" s="279">
        <f>ROUND((AO52+AP52)/2,0)</f>
        <v/>
      </c>
      <c r="AR52" s="11" t="n">
        <v>0</v>
      </c>
      <c r="AS52" s="9" t="n"/>
      <c r="AT52" s="277" t="n"/>
      <c r="AU52" s="280">
        <f>$G52+AS52-AQ52</f>
        <v/>
      </c>
      <c r="AV52" s="277">
        <f>$G52+AT52-AR52</f>
        <v/>
      </c>
      <c r="AW52" s="278" t="n">
        <v>0</v>
      </c>
      <c r="AX52" s="278" t="n">
        <v>0</v>
      </c>
      <c r="AY52" s="279">
        <f>ROUND((AW52+AX52)/2,0)</f>
        <v/>
      </c>
      <c r="AZ52" s="11" t="n">
        <v>0</v>
      </c>
      <c r="BA52" s="9" t="n"/>
      <c r="BB52" s="11" t="n"/>
      <c r="BC52" s="280">
        <f>$G52+BA52-AY52</f>
        <v/>
      </c>
      <c r="BD52" s="277">
        <f>$G52+BB52-AZ52</f>
        <v/>
      </c>
      <c r="BE52" s="278" t="n">
        <v>0</v>
      </c>
      <c r="BF52" s="278" t="n">
        <v>0</v>
      </c>
      <c r="BG52" s="279">
        <f>ROUND((BE52+BF52)/2,0)</f>
        <v/>
      </c>
      <c r="BH52" s="11" t="n">
        <v>0</v>
      </c>
      <c r="BI52" s="278" t="n"/>
      <c r="BJ52" s="11" t="n"/>
      <c r="BK52" s="280">
        <f>$G52+BI52-BG52</f>
        <v/>
      </c>
      <c r="BL52" s="277">
        <f>$G52+BJ52-BH52</f>
        <v/>
      </c>
      <c r="BM52" s="278" t="n">
        <v>0</v>
      </c>
      <c r="BN52" s="278" t="n">
        <v>0</v>
      </c>
      <c r="BO52" s="279">
        <f>ROUND((BM52+BN52)/2,0)</f>
        <v/>
      </c>
      <c r="BP52" s="11" t="n">
        <v>0</v>
      </c>
      <c r="BQ52" s="278" t="n"/>
      <c r="BR52" s="11" t="n"/>
      <c r="BS52" s="280">
        <f>$G52+BQ52-BO52</f>
        <v/>
      </c>
      <c r="BT52" s="277">
        <f>$G52+BR52-BP52</f>
        <v/>
      </c>
      <c r="BU52" s="278" t="n">
        <v>0</v>
      </c>
      <c r="BV52" s="278" t="n">
        <v>0</v>
      </c>
      <c r="BW52" s="279">
        <f>ROUND((BU52+BV52)/2,0)</f>
        <v/>
      </c>
      <c r="BX52" s="11" t="n">
        <v>0</v>
      </c>
      <c r="BY52" s="278" t="n"/>
      <c r="BZ52" s="11" t="n"/>
      <c r="CA52" s="280">
        <f>$G52+BY52-BW52</f>
        <v/>
      </c>
      <c r="CB52" s="277">
        <f>$G52+BZ52-BX52</f>
        <v/>
      </c>
      <c r="CC52" s="278" t="n">
        <v>0</v>
      </c>
      <c r="CD52" s="278" t="n">
        <v>0</v>
      </c>
      <c r="CE52" s="279">
        <f>ROUND((CC52+CD52)/2,0)</f>
        <v/>
      </c>
      <c r="CF52" s="11" t="n">
        <v>0</v>
      </c>
      <c r="CG52" s="278" t="n"/>
      <c r="CH52" s="11" t="n"/>
      <c r="CI52" s="280">
        <f>$G52+CG52-CE52</f>
        <v/>
      </c>
      <c r="CJ52" s="277">
        <f>$G52+CH52-CF52</f>
        <v/>
      </c>
      <c r="CK52" s="278" t="n">
        <v>0</v>
      </c>
      <c r="CL52" s="278" t="n">
        <v>0</v>
      </c>
      <c r="CM52" s="279">
        <f>ROUND((CK52+CL52)/2,0)</f>
        <v/>
      </c>
      <c r="CN52" s="11" t="n">
        <v>0</v>
      </c>
      <c r="CO52" s="278" t="n"/>
      <c r="CP52" s="277" t="n"/>
      <c r="CQ52" s="280">
        <f>$G52+CO52-CM52</f>
        <v/>
      </c>
      <c r="CR52" s="277">
        <f>$G52+CP52-CN52</f>
        <v/>
      </c>
      <c r="CS52" s="278" t="n">
        <v>0</v>
      </c>
      <c r="CT52" s="278" t="n">
        <v>0</v>
      </c>
      <c r="CU52" s="279">
        <f>ROUND((CS52+CT52)/2,0)</f>
        <v/>
      </c>
      <c r="CV52" s="11" t="n">
        <v>0</v>
      </c>
      <c r="CW52" s="278" t="n"/>
      <c r="CX52" s="277" t="n"/>
      <c r="CY52" s="280">
        <f>$G52+CW52-CU52</f>
        <v/>
      </c>
      <c r="CZ52" s="277">
        <f>$G52+CX52-CV52</f>
        <v/>
      </c>
    </row>
    <row r="53" ht="17.25" customHeight="1" s="480">
      <c r="A53" s="28" t="inlineStr">
        <is>
          <t>ABC50</t>
        </is>
      </c>
      <c r="B53" s="379" t="n"/>
      <c r="C53" s="27" t="n"/>
      <c r="D53" s="28">
        <f>_xlfn.XLOOKUP(A53,'ABC-XYZ분석 (2)'!C:C,'ABC-XYZ분석 (2)'!I:I)</f>
        <v/>
      </c>
      <c r="E53" s="28">
        <f>_xlfn.XLOOKUP(A53,'ABC-XYZ분석 (2)'!C:C,'ABC-XYZ분석 (2)'!AC:AC)</f>
        <v/>
      </c>
      <c r="F53" s="3">
        <f>_xlfn.XLOOKUP(A53,'ABC-XYZ분석 (2)'!C:C,'ABC-XYZ분석 (2)'!AG:AG)</f>
        <v/>
      </c>
      <c r="G53" s="14">
        <f>SUMIF(재고!C:C,PSI_메인!A53,재고!I:I)</f>
        <v/>
      </c>
      <c r="H53" s="277" t="n">
        <v>3417</v>
      </c>
      <c r="I53" s="278" t="n">
        <v>0</v>
      </c>
      <c r="J53" s="278" t="n">
        <v>0</v>
      </c>
      <c r="K53" s="279" t="n">
        <v>0</v>
      </c>
      <c r="L53" s="11" t="n">
        <v>0</v>
      </c>
      <c r="M53" s="9">
        <f>SUMIFS(입항스케줄!J:J,입항스케줄!C:C,PSI_메인!A53,입항스케줄!U:U,"2601")</f>
        <v/>
      </c>
      <c r="N53" s="11">
        <f>SUMIFS(입항스케줄!J:J,입항스케줄!C:C,PSI_메인!A53,입항스케줄!V:V,"2601")</f>
        <v/>
      </c>
      <c r="O53" s="280">
        <f>$G53+M53-K53</f>
        <v/>
      </c>
      <c r="P53" s="277">
        <f>$G53+N53-L53</f>
        <v/>
      </c>
      <c r="Q53" s="278" t="n">
        <v>0</v>
      </c>
      <c r="R53" s="278" t="n">
        <v>0</v>
      </c>
      <c r="S53" s="10" t="n">
        <v>0</v>
      </c>
      <c r="T53" s="11" t="n">
        <v>0</v>
      </c>
      <c r="U53" s="9">
        <f>SUMIFS(입항스케줄!J:J,입항스케줄!C:C,PSI_메인!A53,입항스케줄!U:U,"2602")</f>
        <v/>
      </c>
      <c r="V53" s="11">
        <f>SUMIFS(입항스케줄!J:J,입항스케줄!C:C,PSI_메인!A53,입항스케줄!V:V,"2602")</f>
        <v/>
      </c>
      <c r="W53" s="280">
        <f>$G53+U53-S53</f>
        <v/>
      </c>
      <c r="X53" s="277">
        <f>$G53+V53-T53</f>
        <v/>
      </c>
      <c r="Y53" s="278" t="n">
        <v>0</v>
      </c>
      <c r="Z53" s="278" t="n">
        <v>0</v>
      </c>
      <c r="AA53" s="279">
        <f>ROUND((Y53+Z53)/2,0)</f>
        <v/>
      </c>
      <c r="AB53" s="11" t="n">
        <v>0</v>
      </c>
      <c r="AC53" s="9">
        <f>SUMIFS(입항스케줄!J:J,입항스케줄!C:C,PSI_메인!A53,입항스케줄!U:U,"2603")</f>
        <v/>
      </c>
      <c r="AD53" s="11">
        <f>SUMIFS(입항스케줄!J:J,입항스케줄!C:C,PSI_메인!A53,입항스케줄!V:V,"2603")</f>
        <v/>
      </c>
      <c r="AE53" s="280">
        <f>$G53+AC53-AA53</f>
        <v/>
      </c>
      <c r="AF53" s="277">
        <f>$G53+AD53-AB53</f>
        <v/>
      </c>
      <c r="AG53" s="278" t="n">
        <v>0</v>
      </c>
      <c r="AH53" s="278" t="n">
        <v>0</v>
      </c>
      <c r="AI53" s="279">
        <f>ROUND((AG53+AH53)/2,0)</f>
        <v/>
      </c>
      <c r="AJ53" s="11" t="n">
        <v>0</v>
      </c>
      <c r="AK53" s="9">
        <f>SUMIFS(입항스케줄!J:J,입항스케줄!C:C,PSI_메인!A53,입항스케줄!U:U,"2604")</f>
        <v/>
      </c>
      <c r="AL53" s="11">
        <f>SUMIFS(입항스케줄!J:J,입항스케줄!C:C,PSI_메인!A53,입항스케줄!V:V,"2604")</f>
        <v/>
      </c>
      <c r="AM53" s="280">
        <f>$G53+AK53-AI53</f>
        <v/>
      </c>
      <c r="AN53" s="277">
        <f>$G53+AL53-AJ53</f>
        <v/>
      </c>
      <c r="AO53" s="278" t="n">
        <v>0</v>
      </c>
      <c r="AP53" s="278" t="n">
        <v>0</v>
      </c>
      <c r="AQ53" s="279">
        <f>ROUND((AO53+AP53)/2,0)</f>
        <v/>
      </c>
      <c r="AR53" s="11" t="n">
        <v>0</v>
      </c>
      <c r="AS53" s="9" t="n"/>
      <c r="AT53" s="277" t="n"/>
      <c r="AU53" s="280">
        <f>$G53+AS53-AQ53</f>
        <v/>
      </c>
      <c r="AV53" s="277">
        <f>$G53+AT53-AR53</f>
        <v/>
      </c>
      <c r="AW53" s="278" t="n">
        <v>0</v>
      </c>
      <c r="AX53" s="278" t="n">
        <v>0</v>
      </c>
      <c r="AY53" s="279">
        <f>ROUND((AW53+AX53)/2,0)</f>
        <v/>
      </c>
      <c r="AZ53" s="11" t="n">
        <v>0</v>
      </c>
      <c r="BA53" s="9" t="n"/>
      <c r="BB53" s="11" t="n"/>
      <c r="BC53" s="280">
        <f>$G53+BA53-AY53</f>
        <v/>
      </c>
      <c r="BD53" s="277">
        <f>$G53+BB53-AZ53</f>
        <v/>
      </c>
      <c r="BE53" s="278" t="n">
        <v>0</v>
      </c>
      <c r="BF53" s="278" t="n">
        <v>0</v>
      </c>
      <c r="BG53" s="279">
        <f>ROUND((BE53+BF53)/2,0)</f>
        <v/>
      </c>
      <c r="BH53" s="11" t="n">
        <v>0</v>
      </c>
      <c r="BI53" s="278" t="n"/>
      <c r="BJ53" s="11" t="n"/>
      <c r="BK53" s="280">
        <f>$G53+BI53-BG53</f>
        <v/>
      </c>
      <c r="BL53" s="277">
        <f>$G53+BJ53-BH53</f>
        <v/>
      </c>
      <c r="BM53" s="278" t="n">
        <v>0</v>
      </c>
      <c r="BN53" s="278" t="n">
        <v>0</v>
      </c>
      <c r="BO53" s="279">
        <f>ROUND((BM53+BN53)/2,0)</f>
        <v/>
      </c>
      <c r="BP53" s="11" t="n">
        <v>0</v>
      </c>
      <c r="BQ53" s="278" t="n"/>
      <c r="BR53" s="11" t="n"/>
      <c r="BS53" s="280">
        <f>$G53+BQ53-BO53</f>
        <v/>
      </c>
      <c r="BT53" s="277">
        <f>$G53+BR53-BP53</f>
        <v/>
      </c>
      <c r="BU53" s="278" t="n">
        <v>0</v>
      </c>
      <c r="BV53" s="278" t="n">
        <v>0</v>
      </c>
      <c r="BW53" s="279">
        <f>ROUND((BU53+BV53)/2,0)</f>
        <v/>
      </c>
      <c r="BX53" s="11" t="n">
        <v>0</v>
      </c>
      <c r="BY53" s="278" t="n"/>
      <c r="BZ53" s="11" t="n"/>
      <c r="CA53" s="280">
        <f>$G53+BY53-BW53</f>
        <v/>
      </c>
      <c r="CB53" s="277">
        <f>$G53+BZ53-BX53</f>
        <v/>
      </c>
      <c r="CC53" s="278" t="n">
        <v>0</v>
      </c>
      <c r="CD53" s="278" t="n">
        <v>0</v>
      </c>
      <c r="CE53" s="279">
        <f>ROUND((CC53+CD53)/2,0)</f>
        <v/>
      </c>
      <c r="CF53" s="11" t="n">
        <v>0</v>
      </c>
      <c r="CG53" s="278" t="n"/>
      <c r="CH53" s="11" t="n"/>
      <c r="CI53" s="280">
        <f>$G53+CG53-CE53</f>
        <v/>
      </c>
      <c r="CJ53" s="277">
        <f>$G53+CH53-CF53</f>
        <v/>
      </c>
      <c r="CK53" s="278" t="n">
        <v>0</v>
      </c>
      <c r="CL53" s="278" t="n">
        <v>0</v>
      </c>
      <c r="CM53" s="279">
        <f>ROUND((CK53+CL53)/2,0)</f>
        <v/>
      </c>
      <c r="CN53" s="11" t="n">
        <v>0</v>
      </c>
      <c r="CO53" s="278" t="n"/>
      <c r="CP53" s="277" t="n"/>
      <c r="CQ53" s="280">
        <f>$G53+CO53-CM53</f>
        <v/>
      </c>
      <c r="CR53" s="277">
        <f>$G53+CP53-CN53</f>
        <v/>
      </c>
      <c r="CS53" s="278" t="n">
        <v>0</v>
      </c>
      <c r="CT53" s="278" t="n">
        <v>0</v>
      </c>
      <c r="CU53" s="279">
        <f>ROUND((CS53+CT53)/2,0)</f>
        <v/>
      </c>
      <c r="CV53" s="11" t="n">
        <v>0</v>
      </c>
      <c r="CW53" s="278" t="n"/>
      <c r="CX53" s="277" t="n"/>
      <c r="CY53" s="280">
        <f>$G53+CW53-CU53</f>
        <v/>
      </c>
      <c r="CZ53" s="277">
        <f>$G53+CX53-CV53</f>
        <v/>
      </c>
    </row>
    <row r="54" ht="17.25" customHeight="1" s="480">
      <c r="A54" s="28" t="inlineStr">
        <is>
          <t>ABC51</t>
        </is>
      </c>
      <c r="B54" s="379" t="n"/>
      <c r="C54" s="27" t="n"/>
      <c r="D54" s="28">
        <f>_xlfn.XLOOKUP(A54,'ABC-XYZ분석 (2)'!C:C,'ABC-XYZ분석 (2)'!I:I)</f>
        <v/>
      </c>
      <c r="E54" s="28">
        <f>_xlfn.XLOOKUP(A54,'ABC-XYZ분석 (2)'!C:C,'ABC-XYZ분석 (2)'!AC:AC)</f>
        <v/>
      </c>
      <c r="F54" s="3">
        <f>_xlfn.XLOOKUP(A54,'ABC-XYZ분석 (2)'!C:C,'ABC-XYZ분석 (2)'!AG:AG)</f>
        <v/>
      </c>
      <c r="G54" s="14">
        <f>SUMIF(재고!C:C,PSI_메인!A54,재고!I:I)</f>
        <v/>
      </c>
      <c r="H54" s="277" t="n">
        <v>567</v>
      </c>
      <c r="I54" s="278" t="n">
        <v>0</v>
      </c>
      <c r="J54" s="278" t="n">
        <v>0</v>
      </c>
      <c r="K54" s="279" t="n">
        <v>125</v>
      </c>
      <c r="L54" s="11" t="n">
        <v>0</v>
      </c>
      <c r="M54" s="9">
        <f>SUMIFS(입항스케줄!J:J,입항스케줄!C:C,PSI_메인!A54,입항스케줄!U:U,"2601")</f>
        <v/>
      </c>
      <c r="N54" s="11">
        <f>SUMIFS(입항스케줄!J:J,입항스케줄!C:C,PSI_메인!A54,입항스케줄!V:V,"2601")</f>
        <v/>
      </c>
      <c r="O54" s="280">
        <f>$G54+M54-K54</f>
        <v/>
      </c>
      <c r="P54" s="277">
        <f>$G54+N54-L54</f>
        <v/>
      </c>
      <c r="Q54" s="278" t="n">
        <v>0</v>
      </c>
      <c r="R54" s="278" t="n">
        <v>0</v>
      </c>
      <c r="S54" s="10" t="n">
        <v>250</v>
      </c>
      <c r="T54" s="11" t="n">
        <v>0</v>
      </c>
      <c r="U54" s="9">
        <f>SUMIFS(입항스케줄!J:J,입항스케줄!C:C,PSI_메인!A54,입항스케줄!U:U,"2602")</f>
        <v/>
      </c>
      <c r="V54" s="11">
        <f>SUMIFS(입항스케줄!J:J,입항스케줄!C:C,PSI_메인!A54,입항스케줄!V:V,"2602")</f>
        <v/>
      </c>
      <c r="W54" s="280">
        <f>$G54+U54-S54</f>
        <v/>
      </c>
      <c r="X54" s="277">
        <f>$G54+V54-T54</f>
        <v/>
      </c>
      <c r="Y54" s="278" t="n">
        <v>0</v>
      </c>
      <c r="Z54" s="278" t="n">
        <v>0</v>
      </c>
      <c r="AA54" s="279">
        <f>ROUND((Y54+Z54)/2,0)</f>
        <v/>
      </c>
      <c r="AB54" s="11" t="n">
        <v>0</v>
      </c>
      <c r="AC54" s="9">
        <f>SUMIFS(입항스케줄!J:J,입항스케줄!C:C,PSI_메인!A54,입항스케줄!U:U,"2603")</f>
        <v/>
      </c>
      <c r="AD54" s="11">
        <f>SUMIFS(입항스케줄!J:J,입항스케줄!C:C,PSI_메인!A54,입항스케줄!V:V,"2603")</f>
        <v/>
      </c>
      <c r="AE54" s="280">
        <f>$G54+AC54-AA54</f>
        <v/>
      </c>
      <c r="AF54" s="277">
        <f>$G54+AD54-AB54</f>
        <v/>
      </c>
      <c r="AG54" s="278" t="n">
        <v>0</v>
      </c>
      <c r="AH54" s="278" t="n">
        <v>0</v>
      </c>
      <c r="AI54" s="279">
        <f>ROUND((AG54+AH54)/2,0)</f>
        <v/>
      </c>
      <c r="AJ54" s="11" t="n">
        <v>0</v>
      </c>
      <c r="AK54" s="9">
        <f>SUMIFS(입항스케줄!J:J,입항스케줄!C:C,PSI_메인!A54,입항스케줄!U:U,"2604")</f>
        <v/>
      </c>
      <c r="AL54" s="11">
        <f>SUMIFS(입항스케줄!J:J,입항스케줄!C:C,PSI_메인!A54,입항스케줄!V:V,"2604")</f>
        <v/>
      </c>
      <c r="AM54" s="280">
        <f>$G54+AK54-AI54</f>
        <v/>
      </c>
      <c r="AN54" s="277">
        <f>$G54+AL54-AJ54</f>
        <v/>
      </c>
      <c r="AO54" s="278" t="n">
        <v>0</v>
      </c>
      <c r="AP54" s="278" t="n">
        <v>0</v>
      </c>
      <c r="AQ54" s="279">
        <f>ROUND((AO54+AP54)/2,0)</f>
        <v/>
      </c>
      <c r="AR54" s="11" t="n">
        <v>0</v>
      </c>
      <c r="AS54" s="9" t="n"/>
      <c r="AT54" s="277" t="n"/>
      <c r="AU54" s="280">
        <f>$G54+AS54-AQ54</f>
        <v/>
      </c>
      <c r="AV54" s="277">
        <f>$G54+AT54-AR54</f>
        <v/>
      </c>
      <c r="AW54" s="278" t="n">
        <v>0</v>
      </c>
      <c r="AX54" s="278" t="n">
        <v>0</v>
      </c>
      <c r="AY54" s="279">
        <f>ROUND((AW54+AX54)/2,0)</f>
        <v/>
      </c>
      <c r="AZ54" s="11" t="n">
        <v>0</v>
      </c>
      <c r="BA54" s="9" t="n"/>
      <c r="BB54" s="11" t="n"/>
      <c r="BC54" s="280">
        <f>$G54+BA54-AY54</f>
        <v/>
      </c>
      <c r="BD54" s="277">
        <f>$G54+BB54-AZ54</f>
        <v/>
      </c>
      <c r="BE54" s="278" t="n">
        <v>0</v>
      </c>
      <c r="BF54" s="278" t="n">
        <v>0</v>
      </c>
      <c r="BG54" s="279">
        <f>ROUND((BE54+BF54)/2,0)</f>
        <v/>
      </c>
      <c r="BH54" s="11" t="n">
        <v>0</v>
      </c>
      <c r="BI54" s="278" t="n"/>
      <c r="BJ54" s="11" t="n"/>
      <c r="BK54" s="280">
        <f>$G54+BI54-BG54</f>
        <v/>
      </c>
      <c r="BL54" s="277">
        <f>$G54+BJ54-BH54</f>
        <v/>
      </c>
      <c r="BM54" s="278" t="n">
        <v>0</v>
      </c>
      <c r="BN54" s="278" t="n">
        <v>0</v>
      </c>
      <c r="BO54" s="279">
        <f>ROUND((BM54+BN54)/2,0)</f>
        <v/>
      </c>
      <c r="BP54" s="11" t="n">
        <v>0</v>
      </c>
      <c r="BQ54" s="278" t="n"/>
      <c r="BR54" s="11" t="n"/>
      <c r="BS54" s="280">
        <f>$G54+BQ54-BO54</f>
        <v/>
      </c>
      <c r="BT54" s="277">
        <f>$G54+BR54-BP54</f>
        <v/>
      </c>
      <c r="BU54" s="278" t="n">
        <v>0</v>
      </c>
      <c r="BV54" s="278" t="n">
        <v>0</v>
      </c>
      <c r="BW54" s="279">
        <f>ROUND((BU54+BV54)/2,0)</f>
        <v/>
      </c>
      <c r="BX54" s="11" t="n">
        <v>0</v>
      </c>
      <c r="BY54" s="278" t="n"/>
      <c r="BZ54" s="11" t="n"/>
      <c r="CA54" s="280">
        <f>$G54+BY54-BW54</f>
        <v/>
      </c>
      <c r="CB54" s="277">
        <f>$G54+BZ54-BX54</f>
        <v/>
      </c>
      <c r="CC54" s="278" t="n">
        <v>0</v>
      </c>
      <c r="CD54" s="278" t="n">
        <v>0</v>
      </c>
      <c r="CE54" s="279">
        <f>ROUND((CC54+CD54)/2,0)</f>
        <v/>
      </c>
      <c r="CF54" s="11" t="n">
        <v>0</v>
      </c>
      <c r="CG54" s="278" t="n"/>
      <c r="CH54" s="11" t="n"/>
      <c r="CI54" s="280">
        <f>$G54+CG54-CE54</f>
        <v/>
      </c>
      <c r="CJ54" s="277">
        <f>$G54+CH54-CF54</f>
        <v/>
      </c>
      <c r="CK54" s="278" t="n">
        <v>0</v>
      </c>
      <c r="CL54" s="278" t="n">
        <v>0</v>
      </c>
      <c r="CM54" s="279">
        <f>ROUND((CK54+CL54)/2,0)</f>
        <v/>
      </c>
      <c r="CN54" s="11" t="n">
        <v>0</v>
      </c>
      <c r="CO54" s="278" t="n"/>
      <c r="CP54" s="277" t="n"/>
      <c r="CQ54" s="280">
        <f>$G54+CO54-CM54</f>
        <v/>
      </c>
      <c r="CR54" s="277">
        <f>$G54+CP54-CN54</f>
        <v/>
      </c>
      <c r="CS54" s="278" t="n">
        <v>0</v>
      </c>
      <c r="CT54" s="278" t="n">
        <v>0</v>
      </c>
      <c r="CU54" s="279">
        <f>ROUND((CS54+CT54)/2,0)</f>
        <v/>
      </c>
      <c r="CV54" s="11" t="n">
        <v>0</v>
      </c>
      <c r="CW54" s="278" t="n"/>
      <c r="CX54" s="277" t="n"/>
      <c r="CY54" s="280">
        <f>$G54+CW54-CU54</f>
        <v/>
      </c>
      <c r="CZ54" s="277">
        <f>$G54+CX54-CV54</f>
        <v/>
      </c>
    </row>
    <row r="55" ht="17.25" customHeight="1" s="480">
      <c r="A55" s="28" t="inlineStr">
        <is>
          <t>ABC52</t>
        </is>
      </c>
      <c r="B55" s="379" t="n"/>
      <c r="C55" s="27" t="n"/>
      <c r="D55" s="28">
        <f>_xlfn.XLOOKUP(A55,'ABC-XYZ분석 (2)'!C:C,'ABC-XYZ분석 (2)'!I:I)</f>
        <v/>
      </c>
      <c r="E55" s="28">
        <f>_xlfn.XLOOKUP(A55,'ABC-XYZ분석 (2)'!C:C,'ABC-XYZ분석 (2)'!AC:AC)</f>
        <v/>
      </c>
      <c r="F55" s="3">
        <f>_xlfn.XLOOKUP(A55,'ABC-XYZ분석 (2)'!C:C,'ABC-XYZ분석 (2)'!AG:AG)</f>
        <v/>
      </c>
      <c r="G55" s="14">
        <f>SUMIF(재고!C:C,PSI_메인!A55,재고!I:I)</f>
        <v/>
      </c>
      <c r="H55" s="277" t="n">
        <v>430</v>
      </c>
      <c r="I55" s="278" t="n">
        <v>0</v>
      </c>
      <c r="J55" s="278" t="n">
        <v>0</v>
      </c>
      <c r="K55" s="279" t="n">
        <v>134.7</v>
      </c>
      <c r="L55" s="11" t="n">
        <v>0</v>
      </c>
      <c r="M55" s="9">
        <f>SUMIFS(입항스케줄!J:J,입항스케줄!C:C,PSI_메인!A55,입항스케줄!U:U,"2601")</f>
        <v/>
      </c>
      <c r="N55" s="11">
        <f>SUMIFS(입항스케줄!J:J,입항스케줄!C:C,PSI_메인!A55,입항스케줄!V:V,"2601")</f>
        <v/>
      </c>
      <c r="O55" s="280">
        <f>$G55+M55-K55</f>
        <v/>
      </c>
      <c r="P55" s="277">
        <f>$G55+N55-L55</f>
        <v/>
      </c>
      <c r="Q55" s="278" t="n">
        <v>0</v>
      </c>
      <c r="R55" s="278" t="n">
        <v>0</v>
      </c>
      <c r="S55" s="10" t="n">
        <v>89.80000000000001</v>
      </c>
      <c r="T55" s="11" t="n">
        <v>0</v>
      </c>
      <c r="U55" s="9">
        <f>SUMIFS(입항스케줄!J:J,입항스케줄!C:C,PSI_메인!A55,입항스케줄!U:U,"2602")</f>
        <v/>
      </c>
      <c r="V55" s="11">
        <f>SUMIFS(입항스케줄!J:J,입항스케줄!C:C,PSI_메인!A55,입항스케줄!V:V,"2602")</f>
        <v/>
      </c>
      <c r="W55" s="280">
        <f>$G55+U55-S55</f>
        <v/>
      </c>
      <c r="X55" s="277">
        <f>$G55+V55-T55</f>
        <v/>
      </c>
      <c r="Y55" s="278" t="n">
        <v>0</v>
      </c>
      <c r="Z55" s="278" t="n">
        <v>0</v>
      </c>
      <c r="AA55" s="279">
        <f>ROUND((Y55+Z55)/2,0)</f>
        <v/>
      </c>
      <c r="AB55" s="11" t="n">
        <v>0</v>
      </c>
      <c r="AC55" s="9">
        <f>SUMIFS(입항스케줄!J:J,입항스케줄!C:C,PSI_메인!A55,입항스케줄!U:U,"2603")</f>
        <v/>
      </c>
      <c r="AD55" s="11">
        <f>SUMIFS(입항스케줄!J:J,입항스케줄!C:C,PSI_메인!A55,입항스케줄!V:V,"2603")</f>
        <v/>
      </c>
      <c r="AE55" s="280">
        <f>$G55+AC55-AA55</f>
        <v/>
      </c>
      <c r="AF55" s="277">
        <f>$G55+AD55-AB55</f>
        <v/>
      </c>
      <c r="AG55" s="278" t="n">
        <v>0</v>
      </c>
      <c r="AH55" s="278" t="n">
        <v>0</v>
      </c>
      <c r="AI55" s="279">
        <f>ROUND((AG55+AH55)/2,0)</f>
        <v/>
      </c>
      <c r="AJ55" s="11" t="n">
        <v>0</v>
      </c>
      <c r="AK55" s="9">
        <f>SUMIFS(입항스케줄!J:J,입항스케줄!C:C,PSI_메인!A55,입항스케줄!U:U,"2604")</f>
        <v/>
      </c>
      <c r="AL55" s="11">
        <f>SUMIFS(입항스케줄!J:J,입항스케줄!C:C,PSI_메인!A55,입항스케줄!V:V,"2604")</f>
        <v/>
      </c>
      <c r="AM55" s="280">
        <f>$G55+AK55-AI55</f>
        <v/>
      </c>
      <c r="AN55" s="277">
        <f>$G55+AL55-AJ55</f>
        <v/>
      </c>
      <c r="AO55" s="278" t="n">
        <v>0</v>
      </c>
      <c r="AP55" s="278" t="n">
        <v>0</v>
      </c>
      <c r="AQ55" s="279">
        <f>ROUND((AO55+AP55)/2,0)</f>
        <v/>
      </c>
      <c r="AR55" s="11" t="n">
        <v>0</v>
      </c>
      <c r="AS55" s="9" t="n"/>
      <c r="AT55" s="277" t="n"/>
      <c r="AU55" s="280">
        <f>$G55+AS55-AQ55</f>
        <v/>
      </c>
      <c r="AV55" s="277">
        <f>$G55+AT55-AR55</f>
        <v/>
      </c>
      <c r="AW55" s="278" t="n">
        <v>0</v>
      </c>
      <c r="AX55" s="278" t="n">
        <v>0</v>
      </c>
      <c r="AY55" s="279">
        <f>ROUND((AW55+AX55)/2,0)</f>
        <v/>
      </c>
      <c r="AZ55" s="11" t="n">
        <v>0</v>
      </c>
      <c r="BA55" s="9" t="n"/>
      <c r="BB55" s="11" t="n"/>
      <c r="BC55" s="280">
        <f>$G55+BA55-AY55</f>
        <v/>
      </c>
      <c r="BD55" s="277">
        <f>$G55+BB55-AZ55</f>
        <v/>
      </c>
      <c r="BE55" s="278" t="n">
        <v>0</v>
      </c>
      <c r="BF55" s="278" t="n">
        <v>0</v>
      </c>
      <c r="BG55" s="279">
        <f>ROUND((BE55+BF55)/2,0)</f>
        <v/>
      </c>
      <c r="BH55" s="11" t="n">
        <v>0</v>
      </c>
      <c r="BI55" s="278" t="n"/>
      <c r="BJ55" s="11" t="n"/>
      <c r="BK55" s="280">
        <f>$G55+BI55-BG55</f>
        <v/>
      </c>
      <c r="BL55" s="277">
        <f>$G55+BJ55-BH55</f>
        <v/>
      </c>
      <c r="BM55" s="278" t="n">
        <v>0</v>
      </c>
      <c r="BN55" s="278" t="n">
        <v>0</v>
      </c>
      <c r="BO55" s="279">
        <f>ROUND((BM55+BN55)/2,0)</f>
        <v/>
      </c>
      <c r="BP55" s="11" t="n">
        <v>0</v>
      </c>
      <c r="BQ55" s="278" t="n"/>
      <c r="BR55" s="11" t="n"/>
      <c r="BS55" s="280">
        <f>$G55+BQ55-BO55</f>
        <v/>
      </c>
      <c r="BT55" s="277">
        <f>$G55+BR55-BP55</f>
        <v/>
      </c>
      <c r="BU55" s="278" t="n">
        <v>0</v>
      </c>
      <c r="BV55" s="278" t="n">
        <v>0</v>
      </c>
      <c r="BW55" s="279">
        <f>ROUND((BU55+BV55)/2,0)</f>
        <v/>
      </c>
      <c r="BX55" s="11" t="n">
        <v>0</v>
      </c>
      <c r="BY55" s="278" t="n"/>
      <c r="BZ55" s="11" t="n"/>
      <c r="CA55" s="280">
        <f>$G55+BY55-BW55</f>
        <v/>
      </c>
      <c r="CB55" s="277">
        <f>$G55+BZ55-BX55</f>
        <v/>
      </c>
      <c r="CC55" s="278" t="n">
        <v>0</v>
      </c>
      <c r="CD55" s="278" t="n">
        <v>0</v>
      </c>
      <c r="CE55" s="279">
        <f>ROUND((CC55+CD55)/2,0)</f>
        <v/>
      </c>
      <c r="CF55" s="11" t="n">
        <v>0</v>
      </c>
      <c r="CG55" s="278" t="n"/>
      <c r="CH55" s="11" t="n"/>
      <c r="CI55" s="280">
        <f>$G55+CG55-CE55</f>
        <v/>
      </c>
      <c r="CJ55" s="277">
        <f>$G55+CH55-CF55</f>
        <v/>
      </c>
      <c r="CK55" s="278" t="n">
        <v>0</v>
      </c>
      <c r="CL55" s="278" t="n">
        <v>0</v>
      </c>
      <c r="CM55" s="279">
        <f>ROUND((CK55+CL55)/2,0)</f>
        <v/>
      </c>
      <c r="CN55" s="11" t="n">
        <v>0</v>
      </c>
      <c r="CO55" s="278" t="n"/>
      <c r="CP55" s="277" t="n"/>
      <c r="CQ55" s="280">
        <f>$G55+CO55-CM55</f>
        <v/>
      </c>
      <c r="CR55" s="277">
        <f>$G55+CP55-CN55</f>
        <v/>
      </c>
      <c r="CS55" s="278" t="n">
        <v>0</v>
      </c>
      <c r="CT55" s="278" t="n">
        <v>0</v>
      </c>
      <c r="CU55" s="279">
        <f>ROUND((CS55+CT55)/2,0)</f>
        <v/>
      </c>
      <c r="CV55" s="11" t="n">
        <v>0</v>
      </c>
      <c r="CW55" s="278" t="n"/>
      <c r="CX55" s="277" t="n"/>
      <c r="CY55" s="280">
        <f>$G55+CW55-CU55</f>
        <v/>
      </c>
      <c r="CZ55" s="277">
        <f>$G55+CX55-CV55</f>
        <v/>
      </c>
    </row>
    <row r="56" ht="17.25" customHeight="1" s="480">
      <c r="A56" s="28" t="inlineStr">
        <is>
          <t>ABC53</t>
        </is>
      </c>
      <c r="B56" s="379" t="n"/>
      <c r="C56" s="27" t="n"/>
      <c r="D56" s="28">
        <f>_xlfn.XLOOKUP(A56,'ABC-XYZ분석 (2)'!C:C,'ABC-XYZ분석 (2)'!I:I)</f>
        <v/>
      </c>
      <c r="E56" s="28">
        <f>_xlfn.XLOOKUP(A56,'ABC-XYZ분석 (2)'!C:C,'ABC-XYZ분석 (2)'!AC:AC)</f>
        <v/>
      </c>
      <c r="F56" s="3">
        <f>_xlfn.XLOOKUP(A56,'ABC-XYZ분석 (2)'!C:C,'ABC-XYZ분석 (2)'!AG:AG)</f>
        <v/>
      </c>
      <c r="G56" s="14">
        <f>SUMIF(재고!C:C,PSI_메인!A56,재고!I:I)</f>
        <v/>
      </c>
      <c r="H56" s="277" t="n">
        <v>3718</v>
      </c>
      <c r="I56" s="278" t="n">
        <v>0</v>
      </c>
      <c r="J56" s="278" t="n">
        <v>0</v>
      </c>
      <c r="K56" s="279" t="n">
        <v>0</v>
      </c>
      <c r="L56" s="11" t="n">
        <v>0</v>
      </c>
      <c r="M56" s="9">
        <f>SUMIFS(입항스케줄!J:J,입항스케줄!C:C,PSI_메인!A56,입항스케줄!U:U,"2601")</f>
        <v/>
      </c>
      <c r="N56" s="11">
        <f>SUMIFS(입항스케줄!J:J,입항스케줄!C:C,PSI_메인!A56,입항스케줄!V:V,"2601")</f>
        <v/>
      </c>
      <c r="O56" s="280">
        <f>$G56+M56-K56</f>
        <v/>
      </c>
      <c r="P56" s="277">
        <f>$G56+N56-L56</f>
        <v/>
      </c>
      <c r="Q56" s="278" t="n">
        <v>0</v>
      </c>
      <c r="R56" s="278" t="n">
        <v>0</v>
      </c>
      <c r="S56" s="10" t="n">
        <v>0</v>
      </c>
      <c r="T56" s="11" t="n">
        <v>0</v>
      </c>
      <c r="U56" s="9">
        <f>SUMIFS(입항스케줄!J:J,입항스케줄!C:C,PSI_메인!A56,입항스케줄!U:U,"2602")</f>
        <v/>
      </c>
      <c r="V56" s="11">
        <f>SUMIFS(입항스케줄!J:J,입항스케줄!C:C,PSI_메인!A56,입항스케줄!V:V,"2602")</f>
        <v/>
      </c>
      <c r="W56" s="280">
        <f>$G56+U56-S56</f>
        <v/>
      </c>
      <c r="X56" s="277">
        <f>$G56+V56-T56</f>
        <v/>
      </c>
      <c r="Y56" s="278" t="n">
        <v>0</v>
      </c>
      <c r="Z56" s="278" t="n">
        <v>0</v>
      </c>
      <c r="AA56" s="279">
        <f>ROUND((Y56+Z56)/2,0)</f>
        <v/>
      </c>
      <c r="AB56" s="11" t="n">
        <v>0</v>
      </c>
      <c r="AC56" s="9">
        <f>SUMIFS(입항스케줄!J:J,입항스케줄!C:C,PSI_메인!A56,입항스케줄!U:U,"2603")</f>
        <v/>
      </c>
      <c r="AD56" s="11">
        <f>SUMIFS(입항스케줄!J:J,입항스케줄!C:C,PSI_메인!A56,입항스케줄!V:V,"2603")</f>
        <v/>
      </c>
      <c r="AE56" s="280">
        <f>$G56+AC56-AA56</f>
        <v/>
      </c>
      <c r="AF56" s="277">
        <f>$G56+AD56-AB56</f>
        <v/>
      </c>
      <c r="AG56" s="278" t="n">
        <v>0</v>
      </c>
      <c r="AH56" s="278" t="n">
        <v>0</v>
      </c>
      <c r="AI56" s="279">
        <f>ROUND((AG56+AH56)/2,0)</f>
        <v/>
      </c>
      <c r="AJ56" s="11" t="n">
        <v>0</v>
      </c>
      <c r="AK56" s="9">
        <f>SUMIFS(입항스케줄!J:J,입항스케줄!C:C,PSI_메인!A56,입항스케줄!U:U,"2604")</f>
        <v/>
      </c>
      <c r="AL56" s="11">
        <f>SUMIFS(입항스케줄!J:J,입항스케줄!C:C,PSI_메인!A56,입항스케줄!V:V,"2604")</f>
        <v/>
      </c>
      <c r="AM56" s="280">
        <f>$G56+AK56-AI56</f>
        <v/>
      </c>
      <c r="AN56" s="277">
        <f>$G56+AL56-AJ56</f>
        <v/>
      </c>
      <c r="AO56" s="278" t="n">
        <v>0</v>
      </c>
      <c r="AP56" s="278" t="n">
        <v>0</v>
      </c>
      <c r="AQ56" s="279">
        <f>ROUND((AO56+AP56)/2,0)</f>
        <v/>
      </c>
      <c r="AR56" s="11" t="n">
        <v>0</v>
      </c>
      <c r="AS56" s="9" t="n"/>
      <c r="AT56" s="277" t="n"/>
      <c r="AU56" s="280">
        <f>$G56+AS56-AQ56</f>
        <v/>
      </c>
      <c r="AV56" s="277">
        <f>$G56+AT56-AR56</f>
        <v/>
      </c>
      <c r="AW56" s="278" t="n">
        <v>0</v>
      </c>
      <c r="AX56" s="278" t="n">
        <v>0</v>
      </c>
      <c r="AY56" s="279">
        <f>ROUND((AW56+AX56)/2,0)</f>
        <v/>
      </c>
      <c r="AZ56" s="11" t="n">
        <v>0</v>
      </c>
      <c r="BA56" s="9" t="n"/>
      <c r="BB56" s="11" t="n"/>
      <c r="BC56" s="280">
        <f>$G56+BA56-AY56</f>
        <v/>
      </c>
      <c r="BD56" s="277">
        <f>$G56+BB56-AZ56</f>
        <v/>
      </c>
      <c r="BE56" s="278" t="n">
        <v>0</v>
      </c>
      <c r="BF56" s="278" t="n">
        <v>0</v>
      </c>
      <c r="BG56" s="279">
        <f>ROUND((BE56+BF56)/2,0)</f>
        <v/>
      </c>
      <c r="BH56" s="11" t="n">
        <v>0</v>
      </c>
      <c r="BI56" s="278" t="n"/>
      <c r="BJ56" s="11" t="n"/>
      <c r="BK56" s="280">
        <f>$G56+BI56-BG56</f>
        <v/>
      </c>
      <c r="BL56" s="277">
        <f>$G56+BJ56-BH56</f>
        <v/>
      </c>
      <c r="BM56" s="278" t="n">
        <v>0</v>
      </c>
      <c r="BN56" s="278" t="n">
        <v>0</v>
      </c>
      <c r="BO56" s="279">
        <f>ROUND((BM56+BN56)/2,0)</f>
        <v/>
      </c>
      <c r="BP56" s="11" t="n">
        <v>0</v>
      </c>
      <c r="BQ56" s="278" t="n"/>
      <c r="BR56" s="11" t="n"/>
      <c r="BS56" s="280">
        <f>$G56+BQ56-BO56</f>
        <v/>
      </c>
      <c r="BT56" s="277">
        <f>$G56+BR56-BP56</f>
        <v/>
      </c>
      <c r="BU56" s="278" t="n">
        <v>0</v>
      </c>
      <c r="BV56" s="278" t="n">
        <v>0</v>
      </c>
      <c r="BW56" s="279">
        <f>ROUND((BU56+BV56)/2,0)</f>
        <v/>
      </c>
      <c r="BX56" s="11" t="n">
        <v>0</v>
      </c>
      <c r="BY56" s="278" t="n"/>
      <c r="BZ56" s="11" t="n"/>
      <c r="CA56" s="280">
        <f>$G56+BY56-BW56</f>
        <v/>
      </c>
      <c r="CB56" s="277">
        <f>$G56+BZ56-BX56</f>
        <v/>
      </c>
      <c r="CC56" s="278" t="n">
        <v>0</v>
      </c>
      <c r="CD56" s="278" t="n">
        <v>0</v>
      </c>
      <c r="CE56" s="279">
        <f>ROUND((CC56+CD56)/2,0)</f>
        <v/>
      </c>
      <c r="CF56" s="11" t="n">
        <v>0</v>
      </c>
      <c r="CG56" s="278" t="n"/>
      <c r="CH56" s="11" t="n"/>
      <c r="CI56" s="280">
        <f>$G56+CG56-CE56</f>
        <v/>
      </c>
      <c r="CJ56" s="277">
        <f>$G56+CH56-CF56</f>
        <v/>
      </c>
      <c r="CK56" s="278" t="n">
        <v>0</v>
      </c>
      <c r="CL56" s="278" t="n">
        <v>0</v>
      </c>
      <c r="CM56" s="279">
        <f>ROUND((CK56+CL56)/2,0)</f>
        <v/>
      </c>
      <c r="CN56" s="11" t="n">
        <v>0</v>
      </c>
      <c r="CO56" s="278" t="n"/>
      <c r="CP56" s="277" t="n"/>
      <c r="CQ56" s="280">
        <f>$G56+CO56-CM56</f>
        <v/>
      </c>
      <c r="CR56" s="277">
        <f>$G56+CP56-CN56</f>
        <v/>
      </c>
      <c r="CS56" s="278" t="n">
        <v>0</v>
      </c>
      <c r="CT56" s="278" t="n">
        <v>0</v>
      </c>
      <c r="CU56" s="279">
        <f>ROUND((CS56+CT56)/2,0)</f>
        <v/>
      </c>
      <c r="CV56" s="11" t="n">
        <v>0</v>
      </c>
      <c r="CW56" s="278" t="n"/>
      <c r="CX56" s="277" t="n"/>
      <c r="CY56" s="280">
        <f>$G56+CW56-CU56</f>
        <v/>
      </c>
      <c r="CZ56" s="277">
        <f>$G56+CX56-CV56</f>
        <v/>
      </c>
    </row>
    <row r="57" ht="17.25" customHeight="1" s="480">
      <c r="A57" s="28" t="inlineStr">
        <is>
          <t>ABC54</t>
        </is>
      </c>
      <c r="B57" s="379" t="n"/>
      <c r="C57" s="27" t="n"/>
      <c r="D57" s="28">
        <f>_xlfn.XLOOKUP(A57,'ABC-XYZ분석 (2)'!C:C,'ABC-XYZ분석 (2)'!I:I)</f>
        <v/>
      </c>
      <c r="E57" s="28">
        <f>_xlfn.XLOOKUP(A57,'ABC-XYZ분석 (2)'!C:C,'ABC-XYZ분석 (2)'!AC:AC)</f>
        <v/>
      </c>
      <c r="F57" s="3">
        <f>_xlfn.XLOOKUP(A57,'ABC-XYZ분석 (2)'!C:C,'ABC-XYZ분석 (2)'!AG:AG)</f>
        <v/>
      </c>
      <c r="G57" s="14">
        <f>SUMIF(재고!C:C,PSI_메인!A57,재고!I:I)</f>
        <v/>
      </c>
      <c r="H57" s="277" t="n">
        <v>0</v>
      </c>
      <c r="I57" s="278" t="n">
        <v>0</v>
      </c>
      <c r="J57" s="278" t="n">
        <v>0</v>
      </c>
      <c r="K57" s="279" t="n">
        <v>300</v>
      </c>
      <c r="L57" s="11" t="n">
        <v>0</v>
      </c>
      <c r="M57" s="9">
        <f>SUMIFS(입항스케줄!J:J,입항스케줄!C:C,PSI_메인!A57,입항스케줄!U:U,"2601")</f>
        <v/>
      </c>
      <c r="N57" s="11">
        <f>SUMIFS(입항스케줄!J:J,입항스케줄!C:C,PSI_메인!A57,입항스케줄!V:V,"2601")</f>
        <v/>
      </c>
      <c r="O57" s="280">
        <f>$G57+M57-K57</f>
        <v/>
      </c>
      <c r="P57" s="277">
        <f>$G57+N57-L57</f>
        <v/>
      </c>
      <c r="Q57" s="278" t="n">
        <v>0</v>
      </c>
      <c r="R57" s="278" t="n">
        <v>0</v>
      </c>
      <c r="S57" s="10" t="n">
        <v>0</v>
      </c>
      <c r="T57" s="11" t="n">
        <v>0</v>
      </c>
      <c r="U57" s="9">
        <f>SUMIFS(입항스케줄!J:J,입항스케줄!C:C,PSI_메인!A57,입항스케줄!U:U,"2602")</f>
        <v/>
      </c>
      <c r="V57" s="11">
        <f>SUMIFS(입항스케줄!J:J,입항스케줄!C:C,PSI_메인!A57,입항스케줄!V:V,"2602")</f>
        <v/>
      </c>
      <c r="W57" s="280">
        <f>$G57+U57-S57</f>
        <v/>
      </c>
      <c r="X57" s="277">
        <f>$G57+V57-T57</f>
        <v/>
      </c>
      <c r="Y57" s="278" t="n">
        <v>0</v>
      </c>
      <c r="Z57" s="278" t="n">
        <v>0</v>
      </c>
      <c r="AA57" s="279">
        <f>ROUND((Y57+Z57)/2,0)</f>
        <v/>
      </c>
      <c r="AB57" s="11" t="n">
        <v>0</v>
      </c>
      <c r="AC57" s="9">
        <f>SUMIFS(입항스케줄!J:J,입항스케줄!C:C,PSI_메인!A57,입항스케줄!U:U,"2603")</f>
        <v/>
      </c>
      <c r="AD57" s="11">
        <f>SUMIFS(입항스케줄!J:J,입항스케줄!C:C,PSI_메인!A57,입항스케줄!V:V,"2603")</f>
        <v/>
      </c>
      <c r="AE57" s="280">
        <f>$G57+AC57-AA57</f>
        <v/>
      </c>
      <c r="AF57" s="277">
        <f>$G57+AD57-AB57</f>
        <v/>
      </c>
      <c r="AG57" s="278" t="n">
        <v>0</v>
      </c>
      <c r="AH57" s="278" t="n">
        <v>0</v>
      </c>
      <c r="AI57" s="279">
        <f>ROUND((AG57+AH57)/2,0)</f>
        <v/>
      </c>
      <c r="AJ57" s="11" t="n">
        <v>0</v>
      </c>
      <c r="AK57" s="9">
        <f>SUMIFS(입항스케줄!J:J,입항스케줄!C:C,PSI_메인!A57,입항스케줄!U:U,"2604")</f>
        <v/>
      </c>
      <c r="AL57" s="11">
        <f>SUMIFS(입항스케줄!J:J,입항스케줄!C:C,PSI_메인!A57,입항스케줄!V:V,"2604")</f>
        <v/>
      </c>
      <c r="AM57" s="280">
        <f>$G57+AK57-AI57</f>
        <v/>
      </c>
      <c r="AN57" s="277">
        <f>$G57+AL57-AJ57</f>
        <v/>
      </c>
      <c r="AO57" s="278" t="n">
        <v>0</v>
      </c>
      <c r="AP57" s="278" t="n">
        <v>0</v>
      </c>
      <c r="AQ57" s="279">
        <f>ROUND((AO57+AP57)/2,0)</f>
        <v/>
      </c>
      <c r="AR57" s="11" t="n">
        <v>0</v>
      </c>
      <c r="AS57" s="9" t="n"/>
      <c r="AT57" s="277" t="n"/>
      <c r="AU57" s="280">
        <f>$G57+AS57-AQ57</f>
        <v/>
      </c>
      <c r="AV57" s="277">
        <f>$G57+AT57-AR57</f>
        <v/>
      </c>
      <c r="AW57" s="278" t="n">
        <v>0</v>
      </c>
      <c r="AX57" s="278" t="n">
        <v>0</v>
      </c>
      <c r="AY57" s="279">
        <f>ROUND((AW57+AX57)/2,0)</f>
        <v/>
      </c>
      <c r="AZ57" s="11" t="n">
        <v>0</v>
      </c>
      <c r="BA57" s="9" t="n"/>
      <c r="BB57" s="11" t="n"/>
      <c r="BC57" s="280">
        <f>$G57+BA57-AY57</f>
        <v/>
      </c>
      <c r="BD57" s="277">
        <f>$G57+BB57-AZ57</f>
        <v/>
      </c>
      <c r="BE57" s="278" t="n">
        <v>0</v>
      </c>
      <c r="BF57" s="278" t="n">
        <v>0</v>
      </c>
      <c r="BG57" s="279">
        <f>ROUND((BE57+BF57)/2,0)</f>
        <v/>
      </c>
      <c r="BH57" s="11" t="n">
        <v>0</v>
      </c>
      <c r="BI57" s="278" t="n"/>
      <c r="BJ57" s="11" t="n"/>
      <c r="BK57" s="280">
        <f>$G57+BI57-BG57</f>
        <v/>
      </c>
      <c r="BL57" s="277">
        <f>$G57+BJ57-BH57</f>
        <v/>
      </c>
      <c r="BM57" s="278" t="n">
        <v>0</v>
      </c>
      <c r="BN57" s="278" t="n">
        <v>0</v>
      </c>
      <c r="BO57" s="279">
        <f>ROUND((BM57+BN57)/2,0)</f>
        <v/>
      </c>
      <c r="BP57" s="11" t="n">
        <v>0</v>
      </c>
      <c r="BQ57" s="278" t="n"/>
      <c r="BR57" s="11" t="n"/>
      <c r="BS57" s="280">
        <f>$G57+BQ57-BO57</f>
        <v/>
      </c>
      <c r="BT57" s="277">
        <f>$G57+BR57-BP57</f>
        <v/>
      </c>
      <c r="BU57" s="278" t="n">
        <v>0</v>
      </c>
      <c r="BV57" s="278" t="n">
        <v>0</v>
      </c>
      <c r="BW57" s="279">
        <f>ROUND((BU57+BV57)/2,0)</f>
        <v/>
      </c>
      <c r="BX57" s="11" t="n">
        <v>0</v>
      </c>
      <c r="BY57" s="278" t="n"/>
      <c r="BZ57" s="11" t="n"/>
      <c r="CA57" s="280">
        <f>$G57+BY57-BW57</f>
        <v/>
      </c>
      <c r="CB57" s="277">
        <f>$G57+BZ57-BX57</f>
        <v/>
      </c>
      <c r="CC57" s="278" t="n">
        <v>0</v>
      </c>
      <c r="CD57" s="278" t="n">
        <v>0</v>
      </c>
      <c r="CE57" s="279">
        <f>ROUND((CC57+CD57)/2,0)</f>
        <v/>
      </c>
      <c r="CF57" s="11" t="n">
        <v>0</v>
      </c>
      <c r="CG57" s="278" t="n"/>
      <c r="CH57" s="11" t="n"/>
      <c r="CI57" s="280">
        <f>$G57+CG57-CE57</f>
        <v/>
      </c>
      <c r="CJ57" s="277">
        <f>$G57+CH57-CF57</f>
        <v/>
      </c>
      <c r="CK57" s="278" t="n">
        <v>0</v>
      </c>
      <c r="CL57" s="278" t="n">
        <v>0</v>
      </c>
      <c r="CM57" s="279">
        <f>ROUND((CK57+CL57)/2,0)</f>
        <v/>
      </c>
      <c r="CN57" s="11" t="n">
        <v>0</v>
      </c>
      <c r="CO57" s="278" t="n"/>
      <c r="CP57" s="277" t="n"/>
      <c r="CQ57" s="280">
        <f>$G57+CO57-CM57</f>
        <v/>
      </c>
      <c r="CR57" s="277">
        <f>$G57+CP57-CN57</f>
        <v/>
      </c>
      <c r="CS57" s="278" t="n">
        <v>0</v>
      </c>
      <c r="CT57" s="278" t="n">
        <v>0</v>
      </c>
      <c r="CU57" s="279">
        <f>ROUND((CS57+CT57)/2,0)</f>
        <v/>
      </c>
      <c r="CV57" s="11" t="n">
        <v>0</v>
      </c>
      <c r="CW57" s="278" t="n"/>
      <c r="CX57" s="277" t="n"/>
      <c r="CY57" s="280">
        <f>$G57+CW57-CU57</f>
        <v/>
      </c>
      <c r="CZ57" s="277">
        <f>$G57+CX57-CV57</f>
        <v/>
      </c>
    </row>
    <row r="58" ht="17.25" customHeight="1" s="480">
      <c r="A58" s="28" t="inlineStr">
        <is>
          <t>ABC55</t>
        </is>
      </c>
      <c r="B58" s="379" t="n"/>
      <c r="C58" s="27" t="n"/>
      <c r="D58" s="28">
        <f>_xlfn.XLOOKUP(A58,'ABC-XYZ분석 (2)'!C:C,'ABC-XYZ분석 (2)'!I:I)</f>
        <v/>
      </c>
      <c r="E58" s="28">
        <f>_xlfn.XLOOKUP(A58,'ABC-XYZ분석 (2)'!C:C,'ABC-XYZ분석 (2)'!AC:AC)</f>
        <v/>
      </c>
      <c r="F58" s="3">
        <f>_xlfn.XLOOKUP(A58,'ABC-XYZ분석 (2)'!C:C,'ABC-XYZ분석 (2)'!AG:AG)</f>
        <v/>
      </c>
      <c r="G58" s="14">
        <f>SUMIF(재고!C:C,PSI_메인!A58,재고!I:I)</f>
        <v/>
      </c>
      <c r="H58" s="277" t="n">
        <v>86</v>
      </c>
      <c r="I58" s="278" t="n">
        <v>0</v>
      </c>
      <c r="J58" s="278" t="n">
        <v>0</v>
      </c>
      <c r="K58" s="279" t="n">
        <v>75</v>
      </c>
      <c r="L58" s="11" t="n">
        <v>0</v>
      </c>
      <c r="M58" s="9">
        <f>SUMIFS(입항스케줄!J:J,입항스케줄!C:C,PSI_메인!A58,입항스케줄!U:U,"2601")</f>
        <v/>
      </c>
      <c r="N58" s="11">
        <f>SUMIFS(입항스케줄!J:J,입항스케줄!C:C,PSI_메인!A58,입항스케줄!V:V,"2601")</f>
        <v/>
      </c>
      <c r="O58" s="280">
        <f>$G58+M58-K58</f>
        <v/>
      </c>
      <c r="P58" s="277">
        <f>$G58+N58-L58</f>
        <v/>
      </c>
      <c r="Q58" s="278" t="n">
        <v>0</v>
      </c>
      <c r="R58" s="278" t="n">
        <v>0</v>
      </c>
      <c r="S58" s="10" t="n">
        <v>300</v>
      </c>
      <c r="T58" s="11" t="n">
        <v>0</v>
      </c>
      <c r="U58" s="9">
        <f>SUMIFS(입항스케줄!J:J,입항스케줄!C:C,PSI_메인!A58,입항스케줄!U:U,"2602")</f>
        <v/>
      </c>
      <c r="V58" s="11">
        <f>SUMIFS(입항스케줄!J:J,입항스케줄!C:C,PSI_메인!A58,입항스케줄!V:V,"2602")</f>
        <v/>
      </c>
      <c r="W58" s="280">
        <f>$G58+U58-S58</f>
        <v/>
      </c>
      <c r="X58" s="277">
        <f>$G58+V58-T58</f>
        <v/>
      </c>
      <c r="Y58" s="278" t="n">
        <v>0</v>
      </c>
      <c r="Z58" s="278" t="n">
        <v>0</v>
      </c>
      <c r="AA58" s="279">
        <f>ROUND((Y58+Z58)/2,0)</f>
        <v/>
      </c>
      <c r="AB58" s="11" t="n">
        <v>0</v>
      </c>
      <c r="AC58" s="9">
        <f>SUMIFS(입항스케줄!J:J,입항스케줄!C:C,PSI_메인!A58,입항스케줄!U:U,"2603")</f>
        <v/>
      </c>
      <c r="AD58" s="11">
        <f>SUMIFS(입항스케줄!J:J,입항스케줄!C:C,PSI_메인!A58,입항스케줄!V:V,"2603")</f>
        <v/>
      </c>
      <c r="AE58" s="280">
        <f>$G58+AC58-AA58</f>
        <v/>
      </c>
      <c r="AF58" s="277">
        <f>$G58+AD58-AB58</f>
        <v/>
      </c>
      <c r="AG58" s="278" t="n">
        <v>0</v>
      </c>
      <c r="AH58" s="278" t="n">
        <v>0</v>
      </c>
      <c r="AI58" s="279">
        <f>ROUND((AG58+AH58)/2,0)</f>
        <v/>
      </c>
      <c r="AJ58" s="11" t="n">
        <v>0</v>
      </c>
      <c r="AK58" s="9">
        <f>SUMIFS(입항스케줄!J:J,입항스케줄!C:C,PSI_메인!A58,입항스케줄!U:U,"2604")</f>
        <v/>
      </c>
      <c r="AL58" s="11">
        <f>SUMIFS(입항스케줄!J:J,입항스케줄!C:C,PSI_메인!A58,입항스케줄!V:V,"2604")</f>
        <v/>
      </c>
      <c r="AM58" s="280">
        <f>$G58+AK58-AI58</f>
        <v/>
      </c>
      <c r="AN58" s="277">
        <f>$G58+AL58-AJ58</f>
        <v/>
      </c>
      <c r="AO58" s="278" t="n">
        <v>0</v>
      </c>
      <c r="AP58" s="278" t="n">
        <v>0</v>
      </c>
      <c r="AQ58" s="279">
        <f>ROUND((AO58+AP58)/2,0)</f>
        <v/>
      </c>
      <c r="AR58" s="11" t="n">
        <v>0</v>
      </c>
      <c r="AS58" s="9" t="n"/>
      <c r="AT58" s="277" t="n"/>
      <c r="AU58" s="280">
        <f>$G58+AS58-AQ58</f>
        <v/>
      </c>
      <c r="AV58" s="277">
        <f>$G58+AT58-AR58</f>
        <v/>
      </c>
      <c r="AW58" s="278" t="n">
        <v>0</v>
      </c>
      <c r="AX58" s="278" t="n">
        <v>0</v>
      </c>
      <c r="AY58" s="279">
        <f>ROUND((AW58+AX58)/2,0)</f>
        <v/>
      </c>
      <c r="AZ58" s="11" t="n">
        <v>0</v>
      </c>
      <c r="BA58" s="9" t="n"/>
      <c r="BB58" s="11" t="n"/>
      <c r="BC58" s="280">
        <f>$G58+BA58-AY58</f>
        <v/>
      </c>
      <c r="BD58" s="277">
        <f>$G58+BB58-AZ58</f>
        <v/>
      </c>
      <c r="BE58" s="278" t="n">
        <v>0</v>
      </c>
      <c r="BF58" s="278" t="n">
        <v>0</v>
      </c>
      <c r="BG58" s="279">
        <f>ROUND((BE58+BF58)/2,0)</f>
        <v/>
      </c>
      <c r="BH58" s="11" t="n">
        <v>0</v>
      </c>
      <c r="BI58" s="278" t="n"/>
      <c r="BJ58" s="11" t="n"/>
      <c r="BK58" s="280">
        <f>$G58+BI58-BG58</f>
        <v/>
      </c>
      <c r="BL58" s="277">
        <f>$G58+BJ58-BH58</f>
        <v/>
      </c>
      <c r="BM58" s="278" t="n">
        <v>0</v>
      </c>
      <c r="BN58" s="278" t="n">
        <v>0</v>
      </c>
      <c r="BO58" s="279">
        <f>ROUND((BM58+BN58)/2,0)</f>
        <v/>
      </c>
      <c r="BP58" s="11" t="n">
        <v>0</v>
      </c>
      <c r="BQ58" s="278" t="n"/>
      <c r="BR58" s="11" t="n"/>
      <c r="BS58" s="280">
        <f>$G58+BQ58-BO58</f>
        <v/>
      </c>
      <c r="BT58" s="277">
        <f>$G58+BR58-BP58</f>
        <v/>
      </c>
      <c r="BU58" s="278" t="n">
        <v>0</v>
      </c>
      <c r="BV58" s="278" t="n">
        <v>0</v>
      </c>
      <c r="BW58" s="279">
        <f>ROUND((BU58+BV58)/2,0)</f>
        <v/>
      </c>
      <c r="BX58" s="11" t="n">
        <v>0</v>
      </c>
      <c r="BY58" s="278" t="n"/>
      <c r="BZ58" s="11" t="n"/>
      <c r="CA58" s="280">
        <f>$G58+BY58-BW58</f>
        <v/>
      </c>
      <c r="CB58" s="277">
        <f>$G58+BZ58-BX58</f>
        <v/>
      </c>
      <c r="CC58" s="278" t="n">
        <v>0</v>
      </c>
      <c r="CD58" s="278" t="n">
        <v>0</v>
      </c>
      <c r="CE58" s="279">
        <f>ROUND((CC58+CD58)/2,0)</f>
        <v/>
      </c>
      <c r="CF58" s="11" t="n">
        <v>0</v>
      </c>
      <c r="CG58" s="278" t="n"/>
      <c r="CH58" s="11" t="n"/>
      <c r="CI58" s="280">
        <f>$G58+CG58-CE58</f>
        <v/>
      </c>
      <c r="CJ58" s="277">
        <f>$G58+CH58-CF58</f>
        <v/>
      </c>
      <c r="CK58" s="278" t="n">
        <v>0</v>
      </c>
      <c r="CL58" s="278" t="n">
        <v>0</v>
      </c>
      <c r="CM58" s="279">
        <f>ROUND((CK58+CL58)/2,0)</f>
        <v/>
      </c>
      <c r="CN58" s="11" t="n">
        <v>0</v>
      </c>
      <c r="CO58" s="278" t="n"/>
      <c r="CP58" s="277" t="n"/>
      <c r="CQ58" s="280">
        <f>$G58+CO58-CM58</f>
        <v/>
      </c>
      <c r="CR58" s="277">
        <f>$G58+CP58-CN58</f>
        <v/>
      </c>
      <c r="CS58" s="278" t="n">
        <v>0</v>
      </c>
      <c r="CT58" s="278" t="n">
        <v>0</v>
      </c>
      <c r="CU58" s="279">
        <f>ROUND((CS58+CT58)/2,0)</f>
        <v/>
      </c>
      <c r="CV58" s="11" t="n">
        <v>0</v>
      </c>
      <c r="CW58" s="278" t="n"/>
      <c r="CX58" s="277" t="n"/>
      <c r="CY58" s="280">
        <f>$G58+CW58-CU58</f>
        <v/>
      </c>
      <c r="CZ58" s="277">
        <f>$G58+CX58-CV58</f>
        <v/>
      </c>
    </row>
    <row r="59" ht="17.25" customHeight="1" s="480">
      <c r="A59" s="28" t="inlineStr">
        <is>
          <t>ABC56</t>
        </is>
      </c>
      <c r="B59" s="379" t="n"/>
      <c r="C59" s="27" t="n"/>
      <c r="D59" s="28">
        <f>_xlfn.XLOOKUP(A59,'ABC-XYZ분석 (2)'!C:C,'ABC-XYZ분석 (2)'!I:I)</f>
        <v/>
      </c>
      <c r="E59" s="28">
        <f>_xlfn.XLOOKUP(A59,'ABC-XYZ분석 (2)'!C:C,'ABC-XYZ분석 (2)'!AC:AC)</f>
        <v/>
      </c>
      <c r="F59" s="3">
        <f>_xlfn.XLOOKUP(A59,'ABC-XYZ분석 (2)'!C:C,'ABC-XYZ분석 (2)'!AG:AG)</f>
        <v/>
      </c>
      <c r="G59" s="14">
        <f>SUMIF(재고!C:C,PSI_메인!A59,재고!I:I)</f>
        <v/>
      </c>
      <c r="H59" s="277" t="n">
        <v>330</v>
      </c>
      <c r="I59" s="278" t="n">
        <v>0</v>
      </c>
      <c r="J59" s="278" t="n">
        <v>0</v>
      </c>
      <c r="K59" s="279" t="n">
        <v>75</v>
      </c>
      <c r="L59" s="11" t="n">
        <v>0</v>
      </c>
      <c r="M59" s="9">
        <f>SUMIFS(입항스케줄!J:J,입항스케줄!C:C,PSI_메인!A59,입항스케줄!U:U,"2601")</f>
        <v/>
      </c>
      <c r="N59" s="11">
        <f>SUMIFS(입항스케줄!J:J,입항스케줄!C:C,PSI_메인!A59,입항스케줄!V:V,"2601")</f>
        <v/>
      </c>
      <c r="O59" s="280">
        <f>$G59+M59-K59</f>
        <v/>
      </c>
      <c r="P59" s="277">
        <f>$G59+N59-L59</f>
        <v/>
      </c>
      <c r="Q59" s="278" t="n">
        <v>0</v>
      </c>
      <c r="R59" s="278" t="n">
        <v>0</v>
      </c>
      <c r="S59" s="10" t="n">
        <v>300</v>
      </c>
      <c r="T59" s="11" t="n">
        <v>0</v>
      </c>
      <c r="U59" s="9">
        <f>SUMIFS(입항스케줄!J:J,입항스케줄!C:C,PSI_메인!A59,입항스케줄!U:U,"2602")</f>
        <v/>
      </c>
      <c r="V59" s="11">
        <f>SUMIFS(입항스케줄!J:J,입항스케줄!C:C,PSI_메인!A59,입항스케줄!V:V,"2602")</f>
        <v/>
      </c>
      <c r="W59" s="280">
        <f>$G59+U59-S59</f>
        <v/>
      </c>
      <c r="X59" s="277">
        <f>$G59+V59-T59</f>
        <v/>
      </c>
      <c r="Y59" s="278" t="n">
        <v>0</v>
      </c>
      <c r="Z59" s="278" t="n">
        <v>0</v>
      </c>
      <c r="AA59" s="279">
        <f>ROUND((Y59+Z59)/2,0)</f>
        <v/>
      </c>
      <c r="AB59" s="11" t="n">
        <v>0</v>
      </c>
      <c r="AC59" s="9">
        <f>SUMIFS(입항스케줄!J:J,입항스케줄!C:C,PSI_메인!A59,입항스케줄!U:U,"2603")</f>
        <v/>
      </c>
      <c r="AD59" s="11">
        <f>SUMIFS(입항스케줄!J:J,입항스케줄!C:C,PSI_메인!A59,입항스케줄!V:V,"2603")</f>
        <v/>
      </c>
      <c r="AE59" s="280">
        <f>$G59+AC59-AA59</f>
        <v/>
      </c>
      <c r="AF59" s="277">
        <f>$G59+AD59-AB59</f>
        <v/>
      </c>
      <c r="AG59" s="278" t="n">
        <v>0</v>
      </c>
      <c r="AH59" s="278" t="n">
        <v>0</v>
      </c>
      <c r="AI59" s="279">
        <f>ROUND((AG59+AH59)/2,0)</f>
        <v/>
      </c>
      <c r="AJ59" s="11" t="n">
        <v>0</v>
      </c>
      <c r="AK59" s="9">
        <f>SUMIFS(입항스케줄!J:J,입항스케줄!C:C,PSI_메인!A59,입항스케줄!U:U,"2604")</f>
        <v/>
      </c>
      <c r="AL59" s="11">
        <f>SUMIFS(입항스케줄!J:J,입항스케줄!C:C,PSI_메인!A59,입항스케줄!V:V,"2604")</f>
        <v/>
      </c>
      <c r="AM59" s="280">
        <f>$G59+AK59-AI59</f>
        <v/>
      </c>
      <c r="AN59" s="277">
        <f>$G59+AL59-AJ59</f>
        <v/>
      </c>
      <c r="AO59" s="278" t="n">
        <v>0</v>
      </c>
      <c r="AP59" s="278" t="n">
        <v>0</v>
      </c>
      <c r="AQ59" s="279">
        <f>ROUND((AO59+AP59)/2,0)</f>
        <v/>
      </c>
      <c r="AR59" s="11" t="n">
        <v>0</v>
      </c>
      <c r="AS59" s="9" t="n"/>
      <c r="AT59" s="277" t="n"/>
      <c r="AU59" s="280">
        <f>$G59+AS59-AQ59</f>
        <v/>
      </c>
      <c r="AV59" s="277">
        <f>$G59+AT59-AR59</f>
        <v/>
      </c>
      <c r="AW59" s="278" t="n">
        <v>0</v>
      </c>
      <c r="AX59" s="278" t="n">
        <v>0</v>
      </c>
      <c r="AY59" s="279">
        <f>ROUND((AW59+AX59)/2,0)</f>
        <v/>
      </c>
      <c r="AZ59" s="11" t="n">
        <v>0</v>
      </c>
      <c r="BA59" s="9" t="n"/>
      <c r="BB59" s="11" t="n"/>
      <c r="BC59" s="280">
        <f>$G59+BA59-AY59</f>
        <v/>
      </c>
      <c r="BD59" s="277">
        <f>$G59+BB59-AZ59</f>
        <v/>
      </c>
      <c r="BE59" s="278" t="n">
        <v>0</v>
      </c>
      <c r="BF59" s="278" t="n">
        <v>0</v>
      </c>
      <c r="BG59" s="279">
        <f>ROUND((BE59+BF59)/2,0)</f>
        <v/>
      </c>
      <c r="BH59" s="11" t="n">
        <v>0</v>
      </c>
      <c r="BI59" s="278" t="n"/>
      <c r="BJ59" s="11" t="n"/>
      <c r="BK59" s="280">
        <f>$G59+BI59-BG59</f>
        <v/>
      </c>
      <c r="BL59" s="277">
        <f>$G59+BJ59-BH59</f>
        <v/>
      </c>
      <c r="BM59" s="278" t="n">
        <v>0</v>
      </c>
      <c r="BN59" s="278" t="n">
        <v>0</v>
      </c>
      <c r="BO59" s="279">
        <f>ROUND((BM59+BN59)/2,0)</f>
        <v/>
      </c>
      <c r="BP59" s="11" t="n">
        <v>0</v>
      </c>
      <c r="BQ59" s="278" t="n"/>
      <c r="BR59" s="11" t="n"/>
      <c r="BS59" s="280">
        <f>$G59+BQ59-BO59</f>
        <v/>
      </c>
      <c r="BT59" s="277">
        <f>$G59+BR59-BP59</f>
        <v/>
      </c>
      <c r="BU59" s="278" t="n">
        <v>0</v>
      </c>
      <c r="BV59" s="278" t="n">
        <v>0</v>
      </c>
      <c r="BW59" s="279">
        <f>ROUND((BU59+BV59)/2,0)</f>
        <v/>
      </c>
      <c r="BX59" s="11" t="n">
        <v>0</v>
      </c>
      <c r="BY59" s="278" t="n"/>
      <c r="BZ59" s="11" t="n"/>
      <c r="CA59" s="280">
        <f>$G59+BY59-BW59</f>
        <v/>
      </c>
      <c r="CB59" s="277">
        <f>$G59+BZ59-BX59</f>
        <v/>
      </c>
      <c r="CC59" s="278" t="n">
        <v>0</v>
      </c>
      <c r="CD59" s="278" t="n">
        <v>0</v>
      </c>
      <c r="CE59" s="279">
        <f>ROUND((CC59+CD59)/2,0)</f>
        <v/>
      </c>
      <c r="CF59" s="11" t="n">
        <v>0</v>
      </c>
      <c r="CG59" s="278" t="n"/>
      <c r="CH59" s="11" t="n"/>
      <c r="CI59" s="280">
        <f>$G59+CG59-CE59</f>
        <v/>
      </c>
      <c r="CJ59" s="277">
        <f>$G59+CH59-CF59</f>
        <v/>
      </c>
      <c r="CK59" s="278" t="n">
        <v>0</v>
      </c>
      <c r="CL59" s="278" t="n">
        <v>0</v>
      </c>
      <c r="CM59" s="279">
        <f>ROUND((CK59+CL59)/2,0)</f>
        <v/>
      </c>
      <c r="CN59" s="11" t="n">
        <v>0</v>
      </c>
      <c r="CO59" s="278" t="n"/>
      <c r="CP59" s="277" t="n"/>
      <c r="CQ59" s="280">
        <f>$G59+CO59-CM59</f>
        <v/>
      </c>
      <c r="CR59" s="277">
        <f>$G59+CP59-CN59</f>
        <v/>
      </c>
      <c r="CS59" s="278" t="n">
        <v>0</v>
      </c>
      <c r="CT59" s="278" t="n">
        <v>0</v>
      </c>
      <c r="CU59" s="279">
        <f>ROUND((CS59+CT59)/2,0)</f>
        <v/>
      </c>
      <c r="CV59" s="11" t="n">
        <v>0</v>
      </c>
      <c r="CW59" s="278" t="n"/>
      <c r="CX59" s="277" t="n"/>
      <c r="CY59" s="280">
        <f>$G59+CW59-CU59</f>
        <v/>
      </c>
      <c r="CZ59" s="277">
        <f>$G59+CX59-CV59</f>
        <v/>
      </c>
    </row>
    <row r="60" ht="17.25" customHeight="1" s="480">
      <c r="A60" s="28" t="inlineStr">
        <is>
          <t>ABC57</t>
        </is>
      </c>
      <c r="B60" s="379" t="n"/>
      <c r="C60" s="27" t="n"/>
      <c r="D60" s="28">
        <f>_xlfn.XLOOKUP(A60,'ABC-XYZ분석 (2)'!C:C,'ABC-XYZ분석 (2)'!I:I)</f>
        <v/>
      </c>
      <c r="E60" s="28">
        <f>_xlfn.XLOOKUP(A60,'ABC-XYZ분석 (2)'!C:C,'ABC-XYZ분석 (2)'!AC:AC)</f>
        <v/>
      </c>
      <c r="F60" s="3">
        <f>_xlfn.XLOOKUP(A60,'ABC-XYZ분석 (2)'!C:C,'ABC-XYZ분석 (2)'!AG:AG)</f>
        <v/>
      </c>
      <c r="G60" s="14">
        <f>SUMIF(재고!C:C,PSI_메인!A60,재고!I:I)</f>
        <v/>
      </c>
      <c r="H60" s="277" t="n">
        <v>189</v>
      </c>
      <c r="I60" s="278" t="n">
        <v>0</v>
      </c>
      <c r="J60" s="278" t="n">
        <v>0</v>
      </c>
      <c r="K60" s="279" t="n">
        <v>39</v>
      </c>
      <c r="L60" s="11" t="n">
        <v>0</v>
      </c>
      <c r="M60" s="9">
        <f>SUMIFS(입항스케줄!J:J,입항스케줄!C:C,PSI_메인!A60,입항스케줄!U:U,"2601")</f>
        <v/>
      </c>
      <c r="N60" s="11">
        <f>SUMIFS(입항스케줄!J:J,입항스케줄!C:C,PSI_메인!A60,입항스케줄!V:V,"2601")</f>
        <v/>
      </c>
      <c r="O60" s="280">
        <f>$G60+M60-K60</f>
        <v/>
      </c>
      <c r="P60" s="277">
        <f>$G60+N60-L60</f>
        <v/>
      </c>
      <c r="Q60" s="278" t="n">
        <v>0</v>
      </c>
      <c r="R60" s="278" t="n">
        <v>0</v>
      </c>
      <c r="S60" s="10" t="n">
        <v>0</v>
      </c>
      <c r="T60" s="11" t="n">
        <v>0</v>
      </c>
      <c r="U60" s="9">
        <f>SUMIFS(입항스케줄!J:J,입항스케줄!C:C,PSI_메인!A60,입항스케줄!U:U,"2602")</f>
        <v/>
      </c>
      <c r="V60" s="11">
        <f>SUMIFS(입항스케줄!J:J,입항스케줄!C:C,PSI_메인!A60,입항스케줄!V:V,"2602")</f>
        <v/>
      </c>
      <c r="W60" s="280">
        <f>$G60+U60-S60</f>
        <v/>
      </c>
      <c r="X60" s="277">
        <f>$G60+V60-T60</f>
        <v/>
      </c>
      <c r="Y60" s="278" t="n">
        <v>0</v>
      </c>
      <c r="Z60" s="278" t="n">
        <v>0</v>
      </c>
      <c r="AA60" s="279">
        <f>ROUND((Y60+Z60)/2,0)</f>
        <v/>
      </c>
      <c r="AB60" s="11" t="n">
        <v>0</v>
      </c>
      <c r="AC60" s="9">
        <f>SUMIFS(입항스케줄!J:J,입항스케줄!C:C,PSI_메인!A60,입항스케줄!U:U,"2603")</f>
        <v/>
      </c>
      <c r="AD60" s="11">
        <f>SUMIFS(입항스케줄!J:J,입항스케줄!C:C,PSI_메인!A60,입항스케줄!V:V,"2603")</f>
        <v/>
      </c>
      <c r="AE60" s="280">
        <f>$G60+AC60-AA60</f>
        <v/>
      </c>
      <c r="AF60" s="277">
        <f>$G60+AD60-AB60</f>
        <v/>
      </c>
      <c r="AG60" s="278" t="n">
        <v>0</v>
      </c>
      <c r="AH60" s="278" t="n">
        <v>0</v>
      </c>
      <c r="AI60" s="279">
        <f>ROUND((AG60+AH60)/2,0)</f>
        <v/>
      </c>
      <c r="AJ60" s="11" t="n">
        <v>0</v>
      </c>
      <c r="AK60" s="9">
        <f>SUMIFS(입항스케줄!J:J,입항스케줄!C:C,PSI_메인!A60,입항스케줄!U:U,"2604")</f>
        <v/>
      </c>
      <c r="AL60" s="11">
        <f>SUMIFS(입항스케줄!J:J,입항스케줄!C:C,PSI_메인!A60,입항스케줄!V:V,"2604")</f>
        <v/>
      </c>
      <c r="AM60" s="280">
        <f>$G60+AK60-AI60</f>
        <v/>
      </c>
      <c r="AN60" s="277">
        <f>$G60+AL60-AJ60</f>
        <v/>
      </c>
      <c r="AO60" s="278" t="n">
        <v>0</v>
      </c>
      <c r="AP60" s="278" t="n">
        <v>0</v>
      </c>
      <c r="AQ60" s="279">
        <f>ROUND((AO60+AP60)/2,0)</f>
        <v/>
      </c>
      <c r="AR60" s="11" t="n">
        <v>0</v>
      </c>
      <c r="AS60" s="9" t="n"/>
      <c r="AT60" s="277" t="n"/>
      <c r="AU60" s="280">
        <f>$G60+AS60-AQ60</f>
        <v/>
      </c>
      <c r="AV60" s="277">
        <f>$G60+AT60-AR60</f>
        <v/>
      </c>
      <c r="AW60" s="278" t="n">
        <v>0</v>
      </c>
      <c r="AX60" s="278" t="n">
        <v>0</v>
      </c>
      <c r="AY60" s="279">
        <f>ROUND((AW60+AX60)/2,0)</f>
        <v/>
      </c>
      <c r="AZ60" s="11" t="n">
        <v>0</v>
      </c>
      <c r="BA60" s="9" t="n"/>
      <c r="BB60" s="11" t="n"/>
      <c r="BC60" s="280">
        <f>$G60+BA60-AY60</f>
        <v/>
      </c>
      <c r="BD60" s="277">
        <f>$G60+BB60-AZ60</f>
        <v/>
      </c>
      <c r="BE60" s="278" t="n">
        <v>0</v>
      </c>
      <c r="BF60" s="278" t="n">
        <v>0</v>
      </c>
      <c r="BG60" s="279">
        <f>ROUND((BE60+BF60)/2,0)</f>
        <v/>
      </c>
      <c r="BH60" s="11" t="n">
        <v>0</v>
      </c>
      <c r="BI60" s="278" t="n"/>
      <c r="BJ60" s="11" t="n"/>
      <c r="BK60" s="280">
        <f>$G60+BI60-BG60</f>
        <v/>
      </c>
      <c r="BL60" s="277">
        <f>$G60+BJ60-BH60</f>
        <v/>
      </c>
      <c r="BM60" s="278" t="n">
        <v>0</v>
      </c>
      <c r="BN60" s="278" t="n">
        <v>0</v>
      </c>
      <c r="BO60" s="279">
        <f>ROUND((BM60+BN60)/2,0)</f>
        <v/>
      </c>
      <c r="BP60" s="11" t="n">
        <v>0</v>
      </c>
      <c r="BQ60" s="278" t="n"/>
      <c r="BR60" s="11" t="n"/>
      <c r="BS60" s="280">
        <f>$G60+BQ60-BO60</f>
        <v/>
      </c>
      <c r="BT60" s="277">
        <f>$G60+BR60-BP60</f>
        <v/>
      </c>
      <c r="BU60" s="278" t="n">
        <v>0</v>
      </c>
      <c r="BV60" s="278" t="n">
        <v>0</v>
      </c>
      <c r="BW60" s="279">
        <f>ROUND((BU60+BV60)/2,0)</f>
        <v/>
      </c>
      <c r="BX60" s="11" t="n">
        <v>0</v>
      </c>
      <c r="BY60" s="278" t="n"/>
      <c r="BZ60" s="11" t="n"/>
      <c r="CA60" s="280">
        <f>$G60+BY60-BW60</f>
        <v/>
      </c>
      <c r="CB60" s="277">
        <f>$G60+BZ60-BX60</f>
        <v/>
      </c>
      <c r="CC60" s="278" t="n">
        <v>0</v>
      </c>
      <c r="CD60" s="278" t="n">
        <v>0</v>
      </c>
      <c r="CE60" s="279">
        <f>ROUND((CC60+CD60)/2,0)</f>
        <v/>
      </c>
      <c r="CF60" s="11" t="n">
        <v>0</v>
      </c>
      <c r="CG60" s="278" t="n"/>
      <c r="CH60" s="11" t="n"/>
      <c r="CI60" s="280">
        <f>$G60+CG60-CE60</f>
        <v/>
      </c>
      <c r="CJ60" s="277">
        <f>$G60+CH60-CF60</f>
        <v/>
      </c>
      <c r="CK60" s="278" t="n">
        <v>0</v>
      </c>
      <c r="CL60" s="278" t="n">
        <v>0</v>
      </c>
      <c r="CM60" s="279">
        <f>ROUND((CK60+CL60)/2,0)</f>
        <v/>
      </c>
      <c r="CN60" s="11" t="n">
        <v>0</v>
      </c>
      <c r="CO60" s="278" t="n"/>
      <c r="CP60" s="277" t="n"/>
      <c r="CQ60" s="280">
        <f>$G60+CO60-CM60</f>
        <v/>
      </c>
      <c r="CR60" s="277">
        <f>$G60+CP60-CN60</f>
        <v/>
      </c>
      <c r="CS60" s="278" t="n">
        <v>0</v>
      </c>
      <c r="CT60" s="278" t="n">
        <v>0</v>
      </c>
      <c r="CU60" s="279">
        <f>ROUND((CS60+CT60)/2,0)</f>
        <v/>
      </c>
      <c r="CV60" s="11" t="n">
        <v>0</v>
      </c>
      <c r="CW60" s="278" t="n"/>
      <c r="CX60" s="277" t="n"/>
      <c r="CY60" s="280">
        <f>$G60+CW60-CU60</f>
        <v/>
      </c>
      <c r="CZ60" s="277">
        <f>$G60+CX60-CV60</f>
        <v/>
      </c>
    </row>
    <row r="61" ht="17.25" customHeight="1" s="480">
      <c r="A61" s="28" t="inlineStr">
        <is>
          <t>ABC58</t>
        </is>
      </c>
      <c r="B61" s="379" t="n"/>
      <c r="C61" s="27" t="n"/>
      <c r="D61" s="28">
        <f>_xlfn.XLOOKUP(A61,'ABC-XYZ분석 (2)'!C:C,'ABC-XYZ분석 (2)'!I:I)</f>
        <v/>
      </c>
      <c r="E61" s="28">
        <f>_xlfn.XLOOKUP(A61,'ABC-XYZ분석 (2)'!C:C,'ABC-XYZ분석 (2)'!AC:AC)</f>
        <v/>
      </c>
      <c r="F61" s="3">
        <f>_xlfn.XLOOKUP(A61,'ABC-XYZ분석 (2)'!C:C,'ABC-XYZ분석 (2)'!AG:AG)</f>
        <v/>
      </c>
      <c r="G61" s="14">
        <f>SUMIF(재고!C:C,PSI_메인!A61,재고!I:I)</f>
        <v/>
      </c>
      <c r="H61" s="277" t="n">
        <v>725</v>
      </c>
      <c r="I61" s="278" t="n">
        <v>0</v>
      </c>
      <c r="J61" s="278" t="n">
        <v>0</v>
      </c>
      <c r="K61" s="279" t="n">
        <v>300</v>
      </c>
      <c r="L61" s="11" t="n">
        <v>0</v>
      </c>
      <c r="M61" s="9">
        <f>SUMIFS(입항스케줄!J:J,입항스케줄!C:C,PSI_메인!A61,입항스케줄!U:U,"2601")</f>
        <v/>
      </c>
      <c r="N61" s="11">
        <f>SUMIFS(입항스케줄!J:J,입항스케줄!C:C,PSI_메인!A61,입항스케줄!V:V,"2601")</f>
        <v/>
      </c>
      <c r="O61" s="280">
        <f>$G61+M61-K61</f>
        <v/>
      </c>
      <c r="P61" s="277">
        <f>$G61+N61-L61</f>
        <v/>
      </c>
      <c r="Q61" s="278" t="n">
        <v>0</v>
      </c>
      <c r="R61" s="278" t="n">
        <v>0</v>
      </c>
      <c r="S61" s="10" t="n">
        <v>300</v>
      </c>
      <c r="T61" s="11" t="n">
        <v>0</v>
      </c>
      <c r="U61" s="9">
        <f>SUMIFS(입항스케줄!J:J,입항스케줄!C:C,PSI_메인!A61,입항스케줄!U:U,"2602")</f>
        <v/>
      </c>
      <c r="V61" s="11">
        <f>SUMIFS(입항스케줄!J:J,입항스케줄!C:C,PSI_메인!A61,입항스케줄!V:V,"2602")</f>
        <v/>
      </c>
      <c r="W61" s="280">
        <f>$G61+U61-S61</f>
        <v/>
      </c>
      <c r="X61" s="277">
        <f>$G61+V61-T61</f>
        <v/>
      </c>
      <c r="Y61" s="278" t="n">
        <v>0</v>
      </c>
      <c r="Z61" s="278" t="n">
        <v>0</v>
      </c>
      <c r="AA61" s="279">
        <f>ROUND((Y61+Z61)/2,0)</f>
        <v/>
      </c>
      <c r="AB61" s="11" t="n">
        <v>0</v>
      </c>
      <c r="AC61" s="9">
        <f>SUMIFS(입항스케줄!J:J,입항스케줄!C:C,PSI_메인!A61,입항스케줄!U:U,"2603")</f>
        <v/>
      </c>
      <c r="AD61" s="11">
        <f>SUMIFS(입항스케줄!J:J,입항스케줄!C:C,PSI_메인!A61,입항스케줄!V:V,"2603")</f>
        <v/>
      </c>
      <c r="AE61" s="280">
        <f>$G61+AC61-AA61</f>
        <v/>
      </c>
      <c r="AF61" s="277">
        <f>$G61+AD61-AB61</f>
        <v/>
      </c>
      <c r="AG61" s="278" t="n">
        <v>0</v>
      </c>
      <c r="AH61" s="278" t="n">
        <v>0</v>
      </c>
      <c r="AI61" s="279">
        <f>ROUND((AG61+AH61)/2,0)</f>
        <v/>
      </c>
      <c r="AJ61" s="11" t="n">
        <v>0</v>
      </c>
      <c r="AK61" s="9">
        <f>SUMIFS(입항스케줄!J:J,입항스케줄!C:C,PSI_메인!A61,입항스케줄!U:U,"2604")</f>
        <v/>
      </c>
      <c r="AL61" s="11">
        <f>SUMIFS(입항스케줄!J:J,입항스케줄!C:C,PSI_메인!A61,입항스케줄!V:V,"2604")</f>
        <v/>
      </c>
      <c r="AM61" s="280">
        <f>$G61+AK61-AI61</f>
        <v/>
      </c>
      <c r="AN61" s="277">
        <f>$G61+AL61-AJ61</f>
        <v/>
      </c>
      <c r="AO61" s="278" t="n">
        <v>0</v>
      </c>
      <c r="AP61" s="278" t="n">
        <v>0</v>
      </c>
      <c r="AQ61" s="279">
        <f>ROUND((AO61+AP61)/2,0)</f>
        <v/>
      </c>
      <c r="AR61" s="11" t="n">
        <v>0</v>
      </c>
      <c r="AS61" s="9" t="n"/>
      <c r="AT61" s="277" t="n"/>
      <c r="AU61" s="280">
        <f>$G61+AS61-AQ61</f>
        <v/>
      </c>
      <c r="AV61" s="277">
        <f>$G61+AT61-AR61</f>
        <v/>
      </c>
      <c r="AW61" s="278" t="n">
        <v>0</v>
      </c>
      <c r="AX61" s="278" t="n">
        <v>0</v>
      </c>
      <c r="AY61" s="279">
        <f>ROUND((AW61+AX61)/2,0)</f>
        <v/>
      </c>
      <c r="AZ61" s="11" t="n">
        <v>0</v>
      </c>
      <c r="BA61" s="9" t="n"/>
      <c r="BB61" s="11" t="n"/>
      <c r="BC61" s="280">
        <f>$G61+BA61-AY61</f>
        <v/>
      </c>
      <c r="BD61" s="277">
        <f>$G61+BB61-AZ61</f>
        <v/>
      </c>
      <c r="BE61" s="278" t="n">
        <v>0</v>
      </c>
      <c r="BF61" s="278" t="n">
        <v>0</v>
      </c>
      <c r="BG61" s="279">
        <f>ROUND((BE61+BF61)/2,0)</f>
        <v/>
      </c>
      <c r="BH61" s="11" t="n">
        <v>0</v>
      </c>
      <c r="BI61" s="278" t="n"/>
      <c r="BJ61" s="11" t="n"/>
      <c r="BK61" s="280">
        <f>$G61+BI61-BG61</f>
        <v/>
      </c>
      <c r="BL61" s="277">
        <f>$G61+BJ61-BH61</f>
        <v/>
      </c>
      <c r="BM61" s="278" t="n">
        <v>0</v>
      </c>
      <c r="BN61" s="278" t="n">
        <v>0</v>
      </c>
      <c r="BO61" s="279">
        <f>ROUND((BM61+BN61)/2,0)</f>
        <v/>
      </c>
      <c r="BP61" s="11" t="n">
        <v>0</v>
      </c>
      <c r="BQ61" s="278" t="n"/>
      <c r="BR61" s="11" t="n"/>
      <c r="BS61" s="280">
        <f>$G61+BQ61-BO61</f>
        <v/>
      </c>
      <c r="BT61" s="277">
        <f>$G61+BR61-BP61</f>
        <v/>
      </c>
      <c r="BU61" s="278" t="n">
        <v>0</v>
      </c>
      <c r="BV61" s="278" t="n">
        <v>0</v>
      </c>
      <c r="BW61" s="279">
        <f>ROUND((BU61+BV61)/2,0)</f>
        <v/>
      </c>
      <c r="BX61" s="11" t="n">
        <v>0</v>
      </c>
      <c r="BY61" s="278" t="n"/>
      <c r="BZ61" s="11" t="n"/>
      <c r="CA61" s="280">
        <f>$G61+BY61-BW61</f>
        <v/>
      </c>
      <c r="CB61" s="277">
        <f>$G61+BZ61-BX61</f>
        <v/>
      </c>
      <c r="CC61" s="278" t="n">
        <v>0</v>
      </c>
      <c r="CD61" s="278" t="n">
        <v>0</v>
      </c>
      <c r="CE61" s="279">
        <f>ROUND((CC61+CD61)/2,0)</f>
        <v/>
      </c>
      <c r="CF61" s="11" t="n">
        <v>0</v>
      </c>
      <c r="CG61" s="278" t="n"/>
      <c r="CH61" s="11" t="n"/>
      <c r="CI61" s="280">
        <f>$G61+CG61-CE61</f>
        <v/>
      </c>
      <c r="CJ61" s="277">
        <f>$G61+CH61-CF61</f>
        <v/>
      </c>
      <c r="CK61" s="278" t="n">
        <v>0</v>
      </c>
      <c r="CL61" s="278" t="n">
        <v>0</v>
      </c>
      <c r="CM61" s="279">
        <f>ROUND((CK61+CL61)/2,0)</f>
        <v/>
      </c>
      <c r="CN61" s="11" t="n">
        <v>0</v>
      </c>
      <c r="CO61" s="278" t="n"/>
      <c r="CP61" s="277" t="n"/>
      <c r="CQ61" s="280">
        <f>$G61+CO61-CM61</f>
        <v/>
      </c>
      <c r="CR61" s="277">
        <f>$G61+CP61-CN61</f>
        <v/>
      </c>
      <c r="CS61" s="278" t="n">
        <v>0</v>
      </c>
      <c r="CT61" s="278" t="n">
        <v>0</v>
      </c>
      <c r="CU61" s="279">
        <f>ROUND((CS61+CT61)/2,0)</f>
        <v/>
      </c>
      <c r="CV61" s="11" t="n">
        <v>0</v>
      </c>
      <c r="CW61" s="278" t="n"/>
      <c r="CX61" s="277" t="n"/>
      <c r="CY61" s="280">
        <f>$G61+CW61-CU61</f>
        <v/>
      </c>
      <c r="CZ61" s="277">
        <f>$G61+CX61-CV61</f>
        <v/>
      </c>
    </row>
    <row r="62" ht="17.25" customHeight="1" s="480">
      <c r="A62" s="28" t="inlineStr">
        <is>
          <t>ABC59</t>
        </is>
      </c>
      <c r="B62" s="379" t="n"/>
      <c r="C62" s="27" t="n"/>
      <c r="D62" s="28">
        <f>_xlfn.XLOOKUP(A62,'ABC-XYZ분석 (2)'!C:C,'ABC-XYZ분석 (2)'!I:I)</f>
        <v/>
      </c>
      <c r="E62" s="28">
        <f>_xlfn.XLOOKUP(A62,'ABC-XYZ분석 (2)'!C:C,'ABC-XYZ분석 (2)'!AC:AC)</f>
        <v/>
      </c>
      <c r="F62" s="3">
        <f>_xlfn.XLOOKUP(A62,'ABC-XYZ분석 (2)'!C:C,'ABC-XYZ분석 (2)'!AG:AG)</f>
        <v/>
      </c>
      <c r="G62" s="14">
        <f>SUMIF(재고!C:C,PSI_메인!A62,재고!I:I)</f>
        <v/>
      </c>
      <c r="H62" s="277" t="n">
        <v>80</v>
      </c>
      <c r="I62" s="278" t="n">
        <v>0</v>
      </c>
      <c r="J62" s="278" t="n">
        <v>0</v>
      </c>
      <c r="K62" s="279" t="n">
        <v>112.5</v>
      </c>
      <c r="L62" s="11" t="n">
        <v>0</v>
      </c>
      <c r="M62" s="9">
        <f>SUMIFS(입항스케줄!J:J,입항스케줄!C:C,PSI_메인!A62,입항스케줄!U:U,"2601")</f>
        <v/>
      </c>
      <c r="N62" s="11">
        <f>SUMIFS(입항스케줄!J:J,입항스케줄!C:C,PSI_메인!A62,입항스케줄!V:V,"2601")</f>
        <v/>
      </c>
      <c r="O62" s="280">
        <f>$G62+M62-K62</f>
        <v/>
      </c>
      <c r="P62" s="277">
        <f>$G62+N62-L62</f>
        <v/>
      </c>
      <c r="Q62" s="278" t="n">
        <v>0</v>
      </c>
      <c r="R62" s="278" t="n">
        <v>0</v>
      </c>
      <c r="S62" s="10" t="n">
        <v>300</v>
      </c>
      <c r="T62" s="11" t="n">
        <v>0</v>
      </c>
      <c r="U62" s="9">
        <f>SUMIFS(입항스케줄!J:J,입항스케줄!C:C,PSI_메인!A62,입항스케줄!U:U,"2602")</f>
        <v/>
      </c>
      <c r="V62" s="11">
        <f>SUMIFS(입항스케줄!J:J,입항스케줄!C:C,PSI_메인!A62,입항스케줄!V:V,"2602")</f>
        <v/>
      </c>
      <c r="W62" s="280">
        <f>$G62+U62-S62</f>
        <v/>
      </c>
      <c r="X62" s="277">
        <f>$G62+V62-T62</f>
        <v/>
      </c>
      <c r="Y62" s="278" t="n">
        <v>0</v>
      </c>
      <c r="Z62" s="278" t="n">
        <v>0</v>
      </c>
      <c r="AA62" s="279">
        <f>ROUND((Y62+Z62)/2,0)</f>
        <v/>
      </c>
      <c r="AB62" s="11" t="n">
        <v>0</v>
      </c>
      <c r="AC62" s="9">
        <f>SUMIFS(입항스케줄!J:J,입항스케줄!C:C,PSI_메인!A62,입항스케줄!U:U,"2603")</f>
        <v/>
      </c>
      <c r="AD62" s="11">
        <f>SUMIFS(입항스케줄!J:J,입항스케줄!C:C,PSI_메인!A62,입항스케줄!V:V,"2603")</f>
        <v/>
      </c>
      <c r="AE62" s="280">
        <f>$G62+AC62-AA62</f>
        <v/>
      </c>
      <c r="AF62" s="277">
        <f>$G62+AD62-AB62</f>
        <v/>
      </c>
      <c r="AG62" s="278" t="n">
        <v>0</v>
      </c>
      <c r="AH62" s="278" t="n">
        <v>0</v>
      </c>
      <c r="AI62" s="279">
        <f>ROUND((AG62+AH62)/2,0)</f>
        <v/>
      </c>
      <c r="AJ62" s="11" t="n">
        <v>0</v>
      </c>
      <c r="AK62" s="9">
        <f>SUMIFS(입항스케줄!J:J,입항스케줄!C:C,PSI_메인!A62,입항스케줄!U:U,"2604")</f>
        <v/>
      </c>
      <c r="AL62" s="11">
        <f>SUMIFS(입항스케줄!J:J,입항스케줄!C:C,PSI_메인!A62,입항스케줄!V:V,"2604")</f>
        <v/>
      </c>
      <c r="AM62" s="280">
        <f>$G62+AK62-AI62</f>
        <v/>
      </c>
      <c r="AN62" s="277">
        <f>$G62+AL62-AJ62</f>
        <v/>
      </c>
      <c r="AO62" s="278" t="n">
        <v>0</v>
      </c>
      <c r="AP62" s="278" t="n">
        <v>0</v>
      </c>
      <c r="AQ62" s="279">
        <f>ROUND((AO62+AP62)/2,0)</f>
        <v/>
      </c>
      <c r="AR62" s="11" t="n">
        <v>0</v>
      </c>
      <c r="AS62" s="9" t="n"/>
      <c r="AT62" s="277" t="n"/>
      <c r="AU62" s="280">
        <f>$G62+AS62-AQ62</f>
        <v/>
      </c>
      <c r="AV62" s="277">
        <f>$G62+AT62-AR62</f>
        <v/>
      </c>
      <c r="AW62" s="278" t="n">
        <v>0</v>
      </c>
      <c r="AX62" s="278" t="n">
        <v>0</v>
      </c>
      <c r="AY62" s="279">
        <f>ROUND((AW62+AX62)/2,0)</f>
        <v/>
      </c>
      <c r="AZ62" s="11" t="n">
        <v>0</v>
      </c>
      <c r="BA62" s="9" t="n"/>
      <c r="BB62" s="11" t="n"/>
      <c r="BC62" s="280">
        <f>$G62+BA62-AY62</f>
        <v/>
      </c>
      <c r="BD62" s="277">
        <f>$G62+BB62-AZ62</f>
        <v/>
      </c>
      <c r="BE62" s="278" t="n">
        <v>0</v>
      </c>
      <c r="BF62" s="278" t="n">
        <v>0</v>
      </c>
      <c r="BG62" s="279">
        <f>ROUND((BE62+BF62)/2,0)</f>
        <v/>
      </c>
      <c r="BH62" s="11" t="n">
        <v>0</v>
      </c>
      <c r="BI62" s="278" t="n"/>
      <c r="BJ62" s="11" t="n"/>
      <c r="BK62" s="280">
        <f>$G62+BI62-BG62</f>
        <v/>
      </c>
      <c r="BL62" s="277">
        <f>$G62+BJ62-BH62</f>
        <v/>
      </c>
      <c r="BM62" s="278" t="n">
        <v>0</v>
      </c>
      <c r="BN62" s="278" t="n">
        <v>0</v>
      </c>
      <c r="BO62" s="279">
        <f>ROUND((BM62+BN62)/2,0)</f>
        <v/>
      </c>
      <c r="BP62" s="11" t="n">
        <v>0</v>
      </c>
      <c r="BQ62" s="278" t="n"/>
      <c r="BR62" s="11" t="n"/>
      <c r="BS62" s="280">
        <f>$G62+BQ62-BO62</f>
        <v/>
      </c>
      <c r="BT62" s="277">
        <f>$G62+BR62-BP62</f>
        <v/>
      </c>
      <c r="BU62" s="278" t="n">
        <v>0</v>
      </c>
      <c r="BV62" s="278" t="n">
        <v>0</v>
      </c>
      <c r="BW62" s="279">
        <f>ROUND((BU62+BV62)/2,0)</f>
        <v/>
      </c>
      <c r="BX62" s="11" t="n">
        <v>0</v>
      </c>
      <c r="BY62" s="278" t="n"/>
      <c r="BZ62" s="11" t="n"/>
      <c r="CA62" s="280">
        <f>$G62+BY62-BW62</f>
        <v/>
      </c>
      <c r="CB62" s="277">
        <f>$G62+BZ62-BX62</f>
        <v/>
      </c>
      <c r="CC62" s="278" t="n">
        <v>0</v>
      </c>
      <c r="CD62" s="278" t="n">
        <v>0</v>
      </c>
      <c r="CE62" s="279">
        <f>ROUND((CC62+CD62)/2,0)</f>
        <v/>
      </c>
      <c r="CF62" s="11" t="n">
        <v>0</v>
      </c>
      <c r="CG62" s="278" t="n"/>
      <c r="CH62" s="11" t="n"/>
      <c r="CI62" s="280">
        <f>$G62+CG62-CE62</f>
        <v/>
      </c>
      <c r="CJ62" s="277">
        <f>$G62+CH62-CF62</f>
        <v/>
      </c>
      <c r="CK62" s="278" t="n">
        <v>0</v>
      </c>
      <c r="CL62" s="278" t="n">
        <v>0</v>
      </c>
      <c r="CM62" s="279">
        <f>ROUND((CK62+CL62)/2,0)</f>
        <v/>
      </c>
      <c r="CN62" s="11" t="n">
        <v>0</v>
      </c>
      <c r="CO62" s="278" t="n"/>
      <c r="CP62" s="277" t="n"/>
      <c r="CQ62" s="280">
        <f>$G62+CO62-CM62</f>
        <v/>
      </c>
      <c r="CR62" s="277">
        <f>$G62+CP62-CN62</f>
        <v/>
      </c>
      <c r="CS62" s="278" t="n">
        <v>0</v>
      </c>
      <c r="CT62" s="278" t="n">
        <v>0</v>
      </c>
      <c r="CU62" s="279">
        <f>ROUND((CS62+CT62)/2,0)</f>
        <v/>
      </c>
      <c r="CV62" s="11" t="n">
        <v>0</v>
      </c>
      <c r="CW62" s="278" t="n"/>
      <c r="CX62" s="277" t="n"/>
      <c r="CY62" s="280">
        <f>$G62+CW62-CU62</f>
        <v/>
      </c>
      <c r="CZ62" s="277">
        <f>$G62+CX62-CV62</f>
        <v/>
      </c>
    </row>
    <row r="63" ht="17.25" customHeight="1" s="480">
      <c r="A63" s="28" t="inlineStr">
        <is>
          <t>ABC60</t>
        </is>
      </c>
      <c r="B63" s="379" t="n"/>
      <c r="C63" s="27" t="n"/>
      <c r="D63" s="28">
        <f>_xlfn.XLOOKUP(A63,'ABC-XYZ분석 (2)'!C:C,'ABC-XYZ분석 (2)'!I:I)</f>
        <v/>
      </c>
      <c r="E63" s="28">
        <f>_xlfn.XLOOKUP(A63,'ABC-XYZ분석 (2)'!C:C,'ABC-XYZ분석 (2)'!AC:AC)</f>
        <v/>
      </c>
      <c r="F63" s="3">
        <f>_xlfn.XLOOKUP(A63,'ABC-XYZ분석 (2)'!C:C,'ABC-XYZ분석 (2)'!AG:AG)</f>
        <v/>
      </c>
      <c r="G63" s="14">
        <f>SUMIF(재고!C:C,PSI_메인!A63,재고!I:I)</f>
        <v/>
      </c>
      <c r="H63" s="277" t="n">
        <v>1157</v>
      </c>
      <c r="I63" s="278" t="n">
        <v>0</v>
      </c>
      <c r="J63" s="278" t="n">
        <v>0</v>
      </c>
      <c r="K63" s="279" t="n">
        <v>0</v>
      </c>
      <c r="L63" s="11" t="n">
        <v>0</v>
      </c>
      <c r="M63" s="9">
        <f>SUMIFS(입항스케줄!J:J,입항스케줄!C:C,PSI_메인!A63,입항스케줄!U:U,"2601")</f>
        <v/>
      </c>
      <c r="N63" s="11">
        <f>SUMIFS(입항스케줄!J:J,입항스케줄!C:C,PSI_메인!A63,입항스케줄!V:V,"2601")</f>
        <v/>
      </c>
      <c r="O63" s="280">
        <f>$G63+M63-K63</f>
        <v/>
      </c>
      <c r="P63" s="277">
        <f>$G63+N63-L63</f>
        <v/>
      </c>
      <c r="Q63" s="278" t="n">
        <v>0</v>
      </c>
      <c r="R63" s="278" t="n">
        <v>0</v>
      </c>
      <c r="S63" s="10" t="n">
        <v>0</v>
      </c>
      <c r="T63" s="11" t="n">
        <v>0</v>
      </c>
      <c r="U63" s="9">
        <f>SUMIFS(입항스케줄!J:J,입항스케줄!C:C,PSI_메인!A63,입항스케줄!U:U,"2602")</f>
        <v/>
      </c>
      <c r="V63" s="11">
        <f>SUMIFS(입항스케줄!J:J,입항스케줄!C:C,PSI_메인!A63,입항스케줄!V:V,"2602")</f>
        <v/>
      </c>
      <c r="W63" s="280">
        <f>$G63+U63-S63</f>
        <v/>
      </c>
      <c r="X63" s="277">
        <f>$G63+V63-T63</f>
        <v/>
      </c>
      <c r="Y63" s="278" t="n">
        <v>0</v>
      </c>
      <c r="Z63" s="278" t="n">
        <v>0</v>
      </c>
      <c r="AA63" s="279">
        <f>ROUND((Y63+Z63)/2,0)</f>
        <v/>
      </c>
      <c r="AB63" s="11" t="n">
        <v>0</v>
      </c>
      <c r="AC63" s="9">
        <f>SUMIFS(입항스케줄!J:J,입항스케줄!C:C,PSI_메인!A63,입항스케줄!U:U,"2603")</f>
        <v/>
      </c>
      <c r="AD63" s="11">
        <f>SUMIFS(입항스케줄!J:J,입항스케줄!C:C,PSI_메인!A63,입항스케줄!V:V,"2603")</f>
        <v/>
      </c>
      <c r="AE63" s="280">
        <f>$G63+AC63-AA63</f>
        <v/>
      </c>
      <c r="AF63" s="277">
        <f>$G63+AD63-AB63</f>
        <v/>
      </c>
      <c r="AG63" s="278" t="n">
        <v>0</v>
      </c>
      <c r="AH63" s="278" t="n">
        <v>0</v>
      </c>
      <c r="AI63" s="279">
        <f>ROUND((AG63+AH63)/2,0)</f>
        <v/>
      </c>
      <c r="AJ63" s="11" t="n">
        <v>0</v>
      </c>
      <c r="AK63" s="9">
        <f>SUMIFS(입항스케줄!J:J,입항스케줄!C:C,PSI_메인!A63,입항스케줄!U:U,"2604")</f>
        <v/>
      </c>
      <c r="AL63" s="11">
        <f>SUMIFS(입항스케줄!J:J,입항스케줄!C:C,PSI_메인!A63,입항스케줄!V:V,"2604")</f>
        <v/>
      </c>
      <c r="AM63" s="280">
        <f>$G63+AK63-AI63</f>
        <v/>
      </c>
      <c r="AN63" s="277">
        <f>$G63+AL63-AJ63</f>
        <v/>
      </c>
      <c r="AO63" s="278" t="n">
        <v>0</v>
      </c>
      <c r="AP63" s="278" t="n">
        <v>0</v>
      </c>
      <c r="AQ63" s="279">
        <f>ROUND((AO63+AP63)/2,0)</f>
        <v/>
      </c>
      <c r="AR63" s="11" t="n">
        <v>0</v>
      </c>
      <c r="AS63" s="9" t="n"/>
      <c r="AT63" s="277" t="n"/>
      <c r="AU63" s="280">
        <f>$G63+AS63-AQ63</f>
        <v/>
      </c>
      <c r="AV63" s="277">
        <f>$G63+AT63-AR63</f>
        <v/>
      </c>
      <c r="AW63" s="278" t="n">
        <v>0</v>
      </c>
      <c r="AX63" s="278" t="n">
        <v>0</v>
      </c>
      <c r="AY63" s="279">
        <f>ROUND((AW63+AX63)/2,0)</f>
        <v/>
      </c>
      <c r="AZ63" s="11" t="n">
        <v>0</v>
      </c>
      <c r="BA63" s="9" t="n"/>
      <c r="BB63" s="11" t="n"/>
      <c r="BC63" s="280">
        <f>$G63+BA63-AY63</f>
        <v/>
      </c>
      <c r="BD63" s="277">
        <f>$G63+BB63-AZ63</f>
        <v/>
      </c>
      <c r="BE63" s="278" t="n">
        <v>0</v>
      </c>
      <c r="BF63" s="278" t="n">
        <v>0</v>
      </c>
      <c r="BG63" s="279">
        <f>ROUND((BE63+BF63)/2,0)</f>
        <v/>
      </c>
      <c r="BH63" s="11" t="n">
        <v>0</v>
      </c>
      <c r="BI63" s="278" t="n"/>
      <c r="BJ63" s="11" t="n"/>
      <c r="BK63" s="280">
        <f>$G63+BI63-BG63</f>
        <v/>
      </c>
      <c r="BL63" s="277">
        <f>$G63+BJ63-BH63</f>
        <v/>
      </c>
      <c r="BM63" s="278" t="n">
        <v>0</v>
      </c>
      <c r="BN63" s="278" t="n">
        <v>0</v>
      </c>
      <c r="BO63" s="279">
        <f>ROUND((BM63+BN63)/2,0)</f>
        <v/>
      </c>
      <c r="BP63" s="11" t="n">
        <v>0</v>
      </c>
      <c r="BQ63" s="278" t="n"/>
      <c r="BR63" s="11" t="n"/>
      <c r="BS63" s="280">
        <f>$G63+BQ63-BO63</f>
        <v/>
      </c>
      <c r="BT63" s="277">
        <f>$G63+BR63-BP63</f>
        <v/>
      </c>
      <c r="BU63" s="278" t="n">
        <v>0</v>
      </c>
      <c r="BV63" s="278" t="n">
        <v>0</v>
      </c>
      <c r="BW63" s="279">
        <f>ROUND((BU63+BV63)/2,0)</f>
        <v/>
      </c>
      <c r="BX63" s="11" t="n">
        <v>0</v>
      </c>
      <c r="BY63" s="278" t="n"/>
      <c r="BZ63" s="11" t="n"/>
      <c r="CA63" s="280">
        <f>$G63+BY63-BW63</f>
        <v/>
      </c>
      <c r="CB63" s="277">
        <f>$G63+BZ63-BX63</f>
        <v/>
      </c>
      <c r="CC63" s="278" t="n">
        <v>0</v>
      </c>
      <c r="CD63" s="278" t="n">
        <v>0</v>
      </c>
      <c r="CE63" s="279">
        <f>ROUND((CC63+CD63)/2,0)</f>
        <v/>
      </c>
      <c r="CF63" s="11" t="n">
        <v>0</v>
      </c>
      <c r="CG63" s="278" t="n"/>
      <c r="CH63" s="11" t="n"/>
      <c r="CI63" s="280">
        <f>$G63+CG63-CE63</f>
        <v/>
      </c>
      <c r="CJ63" s="277">
        <f>$G63+CH63-CF63</f>
        <v/>
      </c>
      <c r="CK63" s="278" t="n">
        <v>0</v>
      </c>
      <c r="CL63" s="278" t="n">
        <v>0</v>
      </c>
      <c r="CM63" s="279">
        <f>ROUND((CK63+CL63)/2,0)</f>
        <v/>
      </c>
      <c r="CN63" s="11" t="n">
        <v>0</v>
      </c>
      <c r="CO63" s="278" t="n"/>
      <c r="CP63" s="277" t="n"/>
      <c r="CQ63" s="280">
        <f>$G63+CO63-CM63</f>
        <v/>
      </c>
      <c r="CR63" s="277">
        <f>$G63+CP63-CN63</f>
        <v/>
      </c>
      <c r="CS63" s="278" t="n">
        <v>0</v>
      </c>
      <c r="CT63" s="278" t="n">
        <v>0</v>
      </c>
      <c r="CU63" s="279">
        <f>ROUND((CS63+CT63)/2,0)</f>
        <v/>
      </c>
      <c r="CV63" s="11" t="n">
        <v>0</v>
      </c>
      <c r="CW63" s="278" t="n"/>
      <c r="CX63" s="277" t="n"/>
      <c r="CY63" s="280">
        <f>$G63+CW63-CU63</f>
        <v/>
      </c>
      <c r="CZ63" s="277">
        <f>$G63+CX63-CV63</f>
        <v/>
      </c>
    </row>
    <row r="64" ht="17.25" customHeight="1" s="480">
      <c r="A64" s="28" t="inlineStr">
        <is>
          <t>ABC61</t>
        </is>
      </c>
      <c r="B64" s="379" t="n"/>
      <c r="C64" s="27" t="n"/>
      <c r="D64" s="28">
        <f>_xlfn.XLOOKUP(A64,'ABC-XYZ분석 (2)'!C:C,'ABC-XYZ분석 (2)'!I:I)</f>
        <v/>
      </c>
      <c r="E64" s="28">
        <f>_xlfn.XLOOKUP(A64,'ABC-XYZ분석 (2)'!C:C,'ABC-XYZ분석 (2)'!AC:AC)</f>
        <v/>
      </c>
      <c r="F64" s="3">
        <f>_xlfn.XLOOKUP(A64,'ABC-XYZ분석 (2)'!C:C,'ABC-XYZ분석 (2)'!AG:AG)</f>
        <v/>
      </c>
      <c r="G64" s="14">
        <f>SUMIF(재고!C:C,PSI_메인!A64,재고!I:I)</f>
        <v/>
      </c>
      <c r="H64" s="277" t="n">
        <v>3771</v>
      </c>
      <c r="I64" s="278" t="n">
        <v>0</v>
      </c>
      <c r="J64" s="278" t="n">
        <v>0</v>
      </c>
      <c r="K64" s="279" t="n">
        <v>0</v>
      </c>
      <c r="L64" s="11" t="n">
        <v>0</v>
      </c>
      <c r="M64" s="9">
        <f>SUMIFS(입항스케줄!J:J,입항스케줄!C:C,PSI_메인!A64,입항스케줄!U:U,"2601")</f>
        <v/>
      </c>
      <c r="N64" s="11">
        <f>SUMIFS(입항스케줄!J:J,입항스케줄!C:C,PSI_메인!A64,입항스케줄!V:V,"2601")</f>
        <v/>
      </c>
      <c r="O64" s="280">
        <f>$G64+M64-K64</f>
        <v/>
      </c>
      <c r="P64" s="277">
        <f>$G64+N64-L64</f>
        <v/>
      </c>
      <c r="Q64" s="278" t="n">
        <v>0</v>
      </c>
      <c r="R64" s="278" t="n">
        <v>0</v>
      </c>
      <c r="S64" s="10" t="n">
        <v>0</v>
      </c>
      <c r="T64" s="11" t="n">
        <v>0</v>
      </c>
      <c r="U64" s="9">
        <f>SUMIFS(입항스케줄!J:J,입항스케줄!C:C,PSI_메인!A64,입항스케줄!U:U,"2602")</f>
        <v/>
      </c>
      <c r="V64" s="11">
        <f>SUMIFS(입항스케줄!J:J,입항스케줄!C:C,PSI_메인!A64,입항스케줄!V:V,"2602")</f>
        <v/>
      </c>
      <c r="W64" s="280">
        <f>$G64+U64-S64</f>
        <v/>
      </c>
      <c r="X64" s="277">
        <f>$G64+V64-T64</f>
        <v/>
      </c>
      <c r="Y64" s="278" t="n">
        <v>0</v>
      </c>
      <c r="Z64" s="278" t="n">
        <v>0</v>
      </c>
      <c r="AA64" s="279">
        <f>ROUND((Y64+Z64)/2,0)</f>
        <v/>
      </c>
      <c r="AB64" s="11" t="n">
        <v>0</v>
      </c>
      <c r="AC64" s="9">
        <f>SUMIFS(입항스케줄!J:J,입항스케줄!C:C,PSI_메인!A64,입항스케줄!U:U,"2603")</f>
        <v/>
      </c>
      <c r="AD64" s="11">
        <f>SUMIFS(입항스케줄!J:J,입항스케줄!C:C,PSI_메인!A64,입항스케줄!V:V,"2603")</f>
        <v/>
      </c>
      <c r="AE64" s="280">
        <f>$G64+AC64-AA64</f>
        <v/>
      </c>
      <c r="AF64" s="277">
        <f>$G64+AD64-AB64</f>
        <v/>
      </c>
      <c r="AG64" s="278" t="n">
        <v>0</v>
      </c>
      <c r="AH64" s="278" t="n">
        <v>0</v>
      </c>
      <c r="AI64" s="279">
        <f>ROUND((AG64+AH64)/2,0)</f>
        <v/>
      </c>
      <c r="AJ64" s="11" t="n">
        <v>0</v>
      </c>
      <c r="AK64" s="9">
        <f>SUMIFS(입항스케줄!J:J,입항스케줄!C:C,PSI_메인!A64,입항스케줄!U:U,"2604")</f>
        <v/>
      </c>
      <c r="AL64" s="11">
        <f>SUMIFS(입항스케줄!J:J,입항스케줄!C:C,PSI_메인!A64,입항스케줄!V:V,"2604")</f>
        <v/>
      </c>
      <c r="AM64" s="280">
        <f>$G64+AK64-AI64</f>
        <v/>
      </c>
      <c r="AN64" s="277">
        <f>$G64+AL64-AJ64</f>
        <v/>
      </c>
      <c r="AO64" s="278" t="n">
        <v>0</v>
      </c>
      <c r="AP64" s="278" t="n">
        <v>0</v>
      </c>
      <c r="AQ64" s="279">
        <f>ROUND((AO64+AP64)/2,0)</f>
        <v/>
      </c>
      <c r="AR64" s="11" t="n">
        <v>0</v>
      </c>
      <c r="AS64" s="9" t="n"/>
      <c r="AT64" s="277" t="n"/>
      <c r="AU64" s="280">
        <f>$G64+AS64-AQ64</f>
        <v/>
      </c>
      <c r="AV64" s="277">
        <f>$G64+AT64-AR64</f>
        <v/>
      </c>
      <c r="AW64" s="278" t="n">
        <v>0</v>
      </c>
      <c r="AX64" s="278" t="n">
        <v>0</v>
      </c>
      <c r="AY64" s="279">
        <f>ROUND((AW64+AX64)/2,0)</f>
        <v/>
      </c>
      <c r="AZ64" s="11" t="n">
        <v>0</v>
      </c>
      <c r="BA64" s="9" t="n"/>
      <c r="BB64" s="11" t="n"/>
      <c r="BC64" s="280">
        <f>$G64+BA64-AY64</f>
        <v/>
      </c>
      <c r="BD64" s="277">
        <f>$G64+BB64-AZ64</f>
        <v/>
      </c>
      <c r="BE64" s="278" t="n">
        <v>0</v>
      </c>
      <c r="BF64" s="278" t="n">
        <v>0</v>
      </c>
      <c r="BG64" s="279">
        <f>ROUND((BE64+BF64)/2,0)</f>
        <v/>
      </c>
      <c r="BH64" s="11" t="n">
        <v>0</v>
      </c>
      <c r="BI64" s="278" t="n"/>
      <c r="BJ64" s="11" t="n"/>
      <c r="BK64" s="280">
        <f>$G64+BI64-BG64</f>
        <v/>
      </c>
      <c r="BL64" s="277">
        <f>$G64+BJ64-BH64</f>
        <v/>
      </c>
      <c r="BM64" s="278" t="n">
        <v>0</v>
      </c>
      <c r="BN64" s="278" t="n">
        <v>0</v>
      </c>
      <c r="BO64" s="279">
        <f>ROUND((BM64+BN64)/2,0)</f>
        <v/>
      </c>
      <c r="BP64" s="11" t="n">
        <v>0</v>
      </c>
      <c r="BQ64" s="278" t="n"/>
      <c r="BR64" s="11" t="n"/>
      <c r="BS64" s="280">
        <f>$G64+BQ64-BO64</f>
        <v/>
      </c>
      <c r="BT64" s="277">
        <f>$G64+BR64-BP64</f>
        <v/>
      </c>
      <c r="BU64" s="278" t="n">
        <v>0</v>
      </c>
      <c r="BV64" s="278" t="n">
        <v>0</v>
      </c>
      <c r="BW64" s="279">
        <f>ROUND((BU64+BV64)/2,0)</f>
        <v/>
      </c>
      <c r="BX64" s="11" t="n">
        <v>0</v>
      </c>
      <c r="BY64" s="278" t="n"/>
      <c r="BZ64" s="11" t="n"/>
      <c r="CA64" s="280">
        <f>$G64+BY64-BW64</f>
        <v/>
      </c>
      <c r="CB64" s="277">
        <f>$G64+BZ64-BX64</f>
        <v/>
      </c>
      <c r="CC64" s="278" t="n">
        <v>0</v>
      </c>
      <c r="CD64" s="278" t="n">
        <v>0</v>
      </c>
      <c r="CE64" s="279">
        <f>ROUND((CC64+CD64)/2,0)</f>
        <v/>
      </c>
      <c r="CF64" s="11" t="n">
        <v>0</v>
      </c>
      <c r="CG64" s="278" t="n"/>
      <c r="CH64" s="11" t="n"/>
      <c r="CI64" s="280">
        <f>$G64+CG64-CE64</f>
        <v/>
      </c>
      <c r="CJ64" s="277">
        <f>$G64+CH64-CF64</f>
        <v/>
      </c>
      <c r="CK64" s="278" t="n">
        <v>0</v>
      </c>
      <c r="CL64" s="278" t="n">
        <v>0</v>
      </c>
      <c r="CM64" s="279">
        <f>ROUND((CK64+CL64)/2,0)</f>
        <v/>
      </c>
      <c r="CN64" s="11" t="n">
        <v>0</v>
      </c>
      <c r="CO64" s="278" t="n"/>
      <c r="CP64" s="277" t="n"/>
      <c r="CQ64" s="280">
        <f>$G64+CO64-CM64</f>
        <v/>
      </c>
      <c r="CR64" s="277">
        <f>$G64+CP64-CN64</f>
        <v/>
      </c>
      <c r="CS64" s="278" t="n">
        <v>0</v>
      </c>
      <c r="CT64" s="278" t="n">
        <v>0</v>
      </c>
      <c r="CU64" s="279">
        <f>ROUND((CS64+CT64)/2,0)</f>
        <v/>
      </c>
      <c r="CV64" s="11" t="n">
        <v>0</v>
      </c>
      <c r="CW64" s="278" t="n"/>
      <c r="CX64" s="277" t="n"/>
      <c r="CY64" s="280">
        <f>$G64+CW64-CU64</f>
        <v/>
      </c>
      <c r="CZ64" s="277">
        <f>$G64+CX64-CV64</f>
        <v/>
      </c>
    </row>
    <row r="65" ht="17.25" customHeight="1" s="480">
      <c r="A65" s="28" t="inlineStr">
        <is>
          <t>ABC62</t>
        </is>
      </c>
      <c r="B65" s="379" t="n"/>
      <c r="C65" s="27" t="n"/>
      <c r="D65" s="28">
        <f>_xlfn.XLOOKUP(A65,'ABC-XYZ분석 (2)'!C:C,'ABC-XYZ분석 (2)'!I:I)</f>
        <v/>
      </c>
      <c r="E65" s="28">
        <f>_xlfn.XLOOKUP(A65,'ABC-XYZ분석 (2)'!C:C,'ABC-XYZ분석 (2)'!AC:AC)</f>
        <v/>
      </c>
      <c r="F65" s="3">
        <f>_xlfn.XLOOKUP(A65,'ABC-XYZ분석 (2)'!C:C,'ABC-XYZ분석 (2)'!AG:AG)</f>
        <v/>
      </c>
      <c r="G65" s="14">
        <f>SUMIF(재고!C:C,PSI_메인!A65,재고!I:I)</f>
        <v/>
      </c>
      <c r="H65" s="277" t="n">
        <v>471</v>
      </c>
      <c r="I65" s="278" t="n">
        <v>0</v>
      </c>
      <c r="J65" s="278" t="n">
        <v>0</v>
      </c>
      <c r="K65" s="279" t="n">
        <v>250</v>
      </c>
      <c r="L65" s="11" t="n">
        <v>0</v>
      </c>
      <c r="M65" s="9">
        <f>SUMIFS(입항스케줄!J:J,입항스케줄!C:C,PSI_메인!A65,입항스케줄!U:U,"2601")</f>
        <v/>
      </c>
      <c r="N65" s="11">
        <f>SUMIFS(입항스케줄!J:J,입항스케줄!C:C,PSI_메인!A65,입항스케줄!V:V,"2601")</f>
        <v/>
      </c>
      <c r="O65" s="280">
        <f>$G65+M65-K65</f>
        <v/>
      </c>
      <c r="P65" s="277">
        <f>$G65+N65-L65</f>
        <v/>
      </c>
      <c r="Q65" s="278" t="n">
        <v>0</v>
      </c>
      <c r="R65" s="278" t="n">
        <v>0</v>
      </c>
      <c r="S65" s="10" t="n">
        <v>300</v>
      </c>
      <c r="T65" s="11" t="n">
        <v>0</v>
      </c>
      <c r="U65" s="9">
        <f>SUMIFS(입항스케줄!J:J,입항스케줄!C:C,PSI_메인!A65,입항스케줄!U:U,"2602")</f>
        <v/>
      </c>
      <c r="V65" s="11">
        <f>SUMIFS(입항스케줄!J:J,입항스케줄!C:C,PSI_메인!A65,입항스케줄!V:V,"2602")</f>
        <v/>
      </c>
      <c r="W65" s="280">
        <f>$G65+U65-S65</f>
        <v/>
      </c>
      <c r="X65" s="277">
        <f>$G65+V65-T65</f>
        <v/>
      </c>
      <c r="Y65" s="278" t="n">
        <v>0</v>
      </c>
      <c r="Z65" s="278" t="n">
        <v>0</v>
      </c>
      <c r="AA65" s="279">
        <f>ROUND((Y65+Z65)/2,0)</f>
        <v/>
      </c>
      <c r="AB65" s="11" t="n">
        <v>0</v>
      </c>
      <c r="AC65" s="9">
        <f>SUMIFS(입항스케줄!J:J,입항스케줄!C:C,PSI_메인!A65,입항스케줄!U:U,"2603")</f>
        <v/>
      </c>
      <c r="AD65" s="11">
        <f>SUMIFS(입항스케줄!J:J,입항스케줄!C:C,PSI_메인!A65,입항스케줄!V:V,"2603")</f>
        <v/>
      </c>
      <c r="AE65" s="280">
        <f>$G65+AC65-AA65</f>
        <v/>
      </c>
      <c r="AF65" s="277">
        <f>$G65+AD65-AB65</f>
        <v/>
      </c>
      <c r="AG65" s="278" t="n">
        <v>0</v>
      </c>
      <c r="AH65" s="278" t="n">
        <v>0</v>
      </c>
      <c r="AI65" s="279">
        <f>ROUND((AG65+AH65)/2,0)</f>
        <v/>
      </c>
      <c r="AJ65" s="11" t="n">
        <v>0</v>
      </c>
      <c r="AK65" s="9">
        <f>SUMIFS(입항스케줄!J:J,입항스케줄!C:C,PSI_메인!A65,입항스케줄!U:U,"2604")</f>
        <v/>
      </c>
      <c r="AL65" s="11">
        <f>SUMIFS(입항스케줄!J:J,입항스케줄!C:C,PSI_메인!A65,입항스케줄!V:V,"2604")</f>
        <v/>
      </c>
      <c r="AM65" s="280">
        <f>$G65+AK65-AI65</f>
        <v/>
      </c>
      <c r="AN65" s="277">
        <f>$G65+AL65-AJ65</f>
        <v/>
      </c>
      <c r="AO65" s="278" t="n">
        <v>0</v>
      </c>
      <c r="AP65" s="278" t="n">
        <v>0</v>
      </c>
      <c r="AQ65" s="279">
        <f>ROUND((AO65+AP65)/2,0)</f>
        <v/>
      </c>
      <c r="AR65" s="11" t="n">
        <v>0</v>
      </c>
      <c r="AS65" s="9" t="n"/>
      <c r="AT65" s="277" t="n"/>
      <c r="AU65" s="280">
        <f>$G65+AS65-AQ65</f>
        <v/>
      </c>
      <c r="AV65" s="277">
        <f>$G65+AT65-AR65</f>
        <v/>
      </c>
      <c r="AW65" s="278" t="n">
        <v>0</v>
      </c>
      <c r="AX65" s="278" t="n">
        <v>0</v>
      </c>
      <c r="AY65" s="279">
        <f>ROUND((AW65+AX65)/2,0)</f>
        <v/>
      </c>
      <c r="AZ65" s="11" t="n">
        <v>0</v>
      </c>
      <c r="BA65" s="9" t="n"/>
      <c r="BB65" s="11" t="n"/>
      <c r="BC65" s="280">
        <f>$G65+BA65-AY65</f>
        <v/>
      </c>
      <c r="BD65" s="277">
        <f>$G65+BB65-AZ65</f>
        <v/>
      </c>
      <c r="BE65" s="278" t="n">
        <v>0</v>
      </c>
      <c r="BF65" s="278" t="n">
        <v>0</v>
      </c>
      <c r="BG65" s="279">
        <f>ROUND((BE65+BF65)/2,0)</f>
        <v/>
      </c>
      <c r="BH65" s="11" t="n">
        <v>0</v>
      </c>
      <c r="BI65" s="278" t="n"/>
      <c r="BJ65" s="11" t="n"/>
      <c r="BK65" s="280">
        <f>$G65+BI65-BG65</f>
        <v/>
      </c>
      <c r="BL65" s="277">
        <f>$G65+BJ65-BH65</f>
        <v/>
      </c>
      <c r="BM65" s="278" t="n">
        <v>0</v>
      </c>
      <c r="BN65" s="278" t="n">
        <v>0</v>
      </c>
      <c r="BO65" s="279">
        <f>ROUND((BM65+BN65)/2,0)</f>
        <v/>
      </c>
      <c r="BP65" s="11" t="n">
        <v>0</v>
      </c>
      <c r="BQ65" s="278" t="n"/>
      <c r="BR65" s="11" t="n"/>
      <c r="BS65" s="280">
        <f>$G65+BQ65-BO65</f>
        <v/>
      </c>
      <c r="BT65" s="277">
        <f>$G65+BR65-BP65</f>
        <v/>
      </c>
      <c r="BU65" s="278" t="n">
        <v>0</v>
      </c>
      <c r="BV65" s="278" t="n">
        <v>0</v>
      </c>
      <c r="BW65" s="279">
        <f>ROUND((BU65+BV65)/2,0)</f>
        <v/>
      </c>
      <c r="BX65" s="11" t="n">
        <v>0</v>
      </c>
      <c r="BY65" s="278" t="n"/>
      <c r="BZ65" s="11" t="n"/>
      <c r="CA65" s="280">
        <f>$G65+BY65-BW65</f>
        <v/>
      </c>
      <c r="CB65" s="277">
        <f>$G65+BZ65-BX65</f>
        <v/>
      </c>
      <c r="CC65" s="278" t="n">
        <v>0</v>
      </c>
      <c r="CD65" s="278" t="n">
        <v>0</v>
      </c>
      <c r="CE65" s="279">
        <f>ROUND((CC65+CD65)/2,0)</f>
        <v/>
      </c>
      <c r="CF65" s="11" t="n">
        <v>0</v>
      </c>
      <c r="CG65" s="278" t="n"/>
      <c r="CH65" s="11" t="n"/>
      <c r="CI65" s="280">
        <f>$G65+CG65-CE65</f>
        <v/>
      </c>
      <c r="CJ65" s="277">
        <f>$G65+CH65-CF65</f>
        <v/>
      </c>
      <c r="CK65" s="278" t="n">
        <v>0</v>
      </c>
      <c r="CL65" s="278" t="n">
        <v>0</v>
      </c>
      <c r="CM65" s="279">
        <f>ROUND((CK65+CL65)/2,0)</f>
        <v/>
      </c>
      <c r="CN65" s="11" t="n">
        <v>0</v>
      </c>
      <c r="CO65" s="278" t="n"/>
      <c r="CP65" s="277" t="n"/>
      <c r="CQ65" s="280">
        <f>$G65+CO65-CM65</f>
        <v/>
      </c>
      <c r="CR65" s="277">
        <f>$G65+CP65-CN65</f>
        <v/>
      </c>
      <c r="CS65" s="278" t="n">
        <v>0</v>
      </c>
      <c r="CT65" s="278" t="n">
        <v>0</v>
      </c>
      <c r="CU65" s="279">
        <f>ROUND((CS65+CT65)/2,0)</f>
        <v/>
      </c>
      <c r="CV65" s="11" t="n">
        <v>0</v>
      </c>
      <c r="CW65" s="278" t="n"/>
      <c r="CX65" s="277" t="n"/>
      <c r="CY65" s="280">
        <f>$G65+CW65-CU65</f>
        <v/>
      </c>
      <c r="CZ65" s="277">
        <f>$G65+CX65-CV65</f>
        <v/>
      </c>
    </row>
    <row r="66" ht="17.25" customHeight="1" s="480">
      <c r="A66" s="28" t="inlineStr">
        <is>
          <t>ABC63</t>
        </is>
      </c>
      <c r="B66" s="379" t="n"/>
      <c r="C66" s="27" t="n"/>
      <c r="D66" s="28">
        <f>_xlfn.XLOOKUP(A66,'ABC-XYZ분석 (2)'!C:C,'ABC-XYZ분석 (2)'!I:I)</f>
        <v/>
      </c>
      <c r="E66" s="28">
        <f>_xlfn.XLOOKUP(A66,'ABC-XYZ분석 (2)'!C:C,'ABC-XYZ분석 (2)'!AC:AC)</f>
        <v/>
      </c>
      <c r="F66" s="3">
        <f>_xlfn.XLOOKUP(A66,'ABC-XYZ분석 (2)'!C:C,'ABC-XYZ분석 (2)'!AG:AG)</f>
        <v/>
      </c>
      <c r="G66" s="14">
        <f>SUMIF(재고!C:C,PSI_메인!A66,재고!I:I)</f>
        <v/>
      </c>
      <c r="H66" s="277" t="n">
        <v>4743</v>
      </c>
      <c r="I66" s="278" t="n">
        <v>0</v>
      </c>
      <c r="J66" s="278" t="n">
        <v>0</v>
      </c>
      <c r="K66" s="279" t="n">
        <v>0</v>
      </c>
      <c r="L66" s="11" t="n">
        <v>0</v>
      </c>
      <c r="M66" s="9">
        <f>SUMIFS(입항스케줄!J:J,입항스케줄!C:C,PSI_메인!A66,입항스케줄!U:U,"2601")</f>
        <v/>
      </c>
      <c r="N66" s="11">
        <f>SUMIFS(입항스케줄!J:J,입항스케줄!C:C,PSI_메인!A66,입항스케줄!V:V,"2601")</f>
        <v/>
      </c>
      <c r="O66" s="280">
        <f>$G66+M66-K66</f>
        <v/>
      </c>
      <c r="P66" s="277">
        <f>$G66+N66-L66</f>
        <v/>
      </c>
      <c r="Q66" s="278" t="n">
        <v>0</v>
      </c>
      <c r="R66" s="278" t="n">
        <v>0</v>
      </c>
      <c r="S66" s="10" t="n">
        <v>0</v>
      </c>
      <c r="T66" s="11" t="n">
        <v>0</v>
      </c>
      <c r="U66" s="9">
        <f>SUMIFS(입항스케줄!J:J,입항스케줄!C:C,PSI_메인!A66,입항스케줄!U:U,"2602")</f>
        <v/>
      </c>
      <c r="V66" s="11">
        <f>SUMIFS(입항스케줄!J:J,입항스케줄!C:C,PSI_메인!A66,입항스케줄!V:V,"2602")</f>
        <v/>
      </c>
      <c r="W66" s="280">
        <f>$G66+U66-S66</f>
        <v/>
      </c>
      <c r="X66" s="277">
        <f>$G66+V66-T66</f>
        <v/>
      </c>
      <c r="Y66" s="278" t="n">
        <v>0</v>
      </c>
      <c r="Z66" s="278" t="n">
        <v>0</v>
      </c>
      <c r="AA66" s="279">
        <f>ROUND((Y66+Z66)/2,0)</f>
        <v/>
      </c>
      <c r="AB66" s="11" t="n">
        <v>0</v>
      </c>
      <c r="AC66" s="9">
        <f>SUMIFS(입항스케줄!J:J,입항스케줄!C:C,PSI_메인!A66,입항스케줄!U:U,"2603")</f>
        <v/>
      </c>
      <c r="AD66" s="11">
        <f>SUMIFS(입항스케줄!J:J,입항스케줄!C:C,PSI_메인!A66,입항스케줄!V:V,"2603")</f>
        <v/>
      </c>
      <c r="AE66" s="280">
        <f>$G66+AC66-AA66</f>
        <v/>
      </c>
      <c r="AF66" s="277">
        <f>$G66+AD66-AB66</f>
        <v/>
      </c>
      <c r="AG66" s="278" t="n">
        <v>0</v>
      </c>
      <c r="AH66" s="278" t="n">
        <v>0</v>
      </c>
      <c r="AI66" s="279">
        <f>ROUND((AG66+AH66)/2,0)</f>
        <v/>
      </c>
      <c r="AJ66" s="11" t="n">
        <v>0</v>
      </c>
      <c r="AK66" s="9">
        <f>SUMIFS(입항스케줄!J:J,입항스케줄!C:C,PSI_메인!A66,입항스케줄!U:U,"2604")</f>
        <v/>
      </c>
      <c r="AL66" s="11">
        <f>SUMIFS(입항스케줄!J:J,입항스케줄!C:C,PSI_메인!A66,입항스케줄!V:V,"2604")</f>
        <v/>
      </c>
      <c r="AM66" s="280">
        <f>$G66+AK66-AI66</f>
        <v/>
      </c>
      <c r="AN66" s="277">
        <f>$G66+AL66-AJ66</f>
        <v/>
      </c>
      <c r="AO66" s="278" t="n">
        <v>0</v>
      </c>
      <c r="AP66" s="278" t="n">
        <v>0</v>
      </c>
      <c r="AQ66" s="279">
        <f>ROUND((AO66+AP66)/2,0)</f>
        <v/>
      </c>
      <c r="AR66" s="11" t="n">
        <v>0</v>
      </c>
      <c r="AS66" s="9" t="n"/>
      <c r="AT66" s="277" t="n"/>
      <c r="AU66" s="280">
        <f>$G66+AS66-AQ66</f>
        <v/>
      </c>
      <c r="AV66" s="277">
        <f>$G66+AT66-AR66</f>
        <v/>
      </c>
      <c r="AW66" s="278" t="n">
        <v>0</v>
      </c>
      <c r="AX66" s="278" t="n">
        <v>0</v>
      </c>
      <c r="AY66" s="279">
        <f>ROUND((AW66+AX66)/2,0)</f>
        <v/>
      </c>
      <c r="AZ66" s="11" t="n">
        <v>0</v>
      </c>
      <c r="BA66" s="9" t="n"/>
      <c r="BB66" s="11" t="n"/>
      <c r="BC66" s="280">
        <f>$G66+BA66-AY66</f>
        <v/>
      </c>
      <c r="BD66" s="277">
        <f>$G66+BB66-AZ66</f>
        <v/>
      </c>
      <c r="BE66" s="278" t="n">
        <v>0</v>
      </c>
      <c r="BF66" s="278" t="n">
        <v>0</v>
      </c>
      <c r="BG66" s="279">
        <f>ROUND((BE66+BF66)/2,0)</f>
        <v/>
      </c>
      <c r="BH66" s="11" t="n">
        <v>0</v>
      </c>
      <c r="BI66" s="278" t="n"/>
      <c r="BJ66" s="11" t="n"/>
      <c r="BK66" s="280">
        <f>$G66+BI66-BG66</f>
        <v/>
      </c>
      <c r="BL66" s="277">
        <f>$G66+BJ66-BH66</f>
        <v/>
      </c>
      <c r="BM66" s="278" t="n">
        <v>0</v>
      </c>
      <c r="BN66" s="278" t="n">
        <v>0</v>
      </c>
      <c r="BO66" s="279">
        <f>ROUND((BM66+BN66)/2,0)</f>
        <v/>
      </c>
      <c r="BP66" s="11" t="n">
        <v>0</v>
      </c>
      <c r="BQ66" s="278" t="n"/>
      <c r="BR66" s="11" t="n"/>
      <c r="BS66" s="280">
        <f>$G66+BQ66-BO66</f>
        <v/>
      </c>
      <c r="BT66" s="277">
        <f>$G66+BR66-BP66</f>
        <v/>
      </c>
      <c r="BU66" s="278" t="n">
        <v>0</v>
      </c>
      <c r="BV66" s="278" t="n">
        <v>0</v>
      </c>
      <c r="BW66" s="279">
        <f>ROUND((BU66+BV66)/2,0)</f>
        <v/>
      </c>
      <c r="BX66" s="11" t="n">
        <v>0</v>
      </c>
      <c r="BY66" s="278" t="n"/>
      <c r="BZ66" s="11" t="n"/>
      <c r="CA66" s="280">
        <f>$G66+BY66-BW66</f>
        <v/>
      </c>
      <c r="CB66" s="277">
        <f>$G66+BZ66-BX66</f>
        <v/>
      </c>
      <c r="CC66" s="278" t="n">
        <v>0</v>
      </c>
      <c r="CD66" s="278" t="n">
        <v>0</v>
      </c>
      <c r="CE66" s="279">
        <f>ROUND((CC66+CD66)/2,0)</f>
        <v/>
      </c>
      <c r="CF66" s="11" t="n">
        <v>0</v>
      </c>
      <c r="CG66" s="278" t="n"/>
      <c r="CH66" s="11" t="n"/>
      <c r="CI66" s="280">
        <f>$G66+CG66-CE66</f>
        <v/>
      </c>
      <c r="CJ66" s="277">
        <f>$G66+CH66-CF66</f>
        <v/>
      </c>
      <c r="CK66" s="278" t="n">
        <v>0</v>
      </c>
      <c r="CL66" s="278" t="n">
        <v>0</v>
      </c>
      <c r="CM66" s="279">
        <f>ROUND((CK66+CL66)/2,0)</f>
        <v/>
      </c>
      <c r="CN66" s="11" t="n">
        <v>0</v>
      </c>
      <c r="CO66" s="278" t="n"/>
      <c r="CP66" s="277" t="n"/>
      <c r="CQ66" s="280">
        <f>$G66+CO66-CM66</f>
        <v/>
      </c>
      <c r="CR66" s="277">
        <f>$G66+CP66-CN66</f>
        <v/>
      </c>
      <c r="CS66" s="278" t="n">
        <v>0</v>
      </c>
      <c r="CT66" s="278" t="n">
        <v>0</v>
      </c>
      <c r="CU66" s="279">
        <f>ROUND((CS66+CT66)/2,0)</f>
        <v/>
      </c>
      <c r="CV66" s="11" t="n">
        <v>0</v>
      </c>
      <c r="CW66" s="278" t="n"/>
      <c r="CX66" s="277" t="n"/>
      <c r="CY66" s="280">
        <f>$G66+CW66-CU66</f>
        <v/>
      </c>
      <c r="CZ66" s="277">
        <f>$G66+CX66-CV66</f>
        <v/>
      </c>
    </row>
    <row r="67" ht="17.25" customHeight="1" s="480">
      <c r="A67" s="28" t="inlineStr">
        <is>
          <t>ABC64</t>
        </is>
      </c>
      <c r="B67" s="379" t="n"/>
      <c r="C67" s="27" t="n"/>
      <c r="D67" s="28">
        <f>_xlfn.XLOOKUP(A67,'ABC-XYZ분석 (2)'!C:C,'ABC-XYZ분석 (2)'!I:I)</f>
        <v/>
      </c>
      <c r="E67" s="28">
        <f>_xlfn.XLOOKUP(A67,'ABC-XYZ분석 (2)'!C:C,'ABC-XYZ분석 (2)'!AC:AC)</f>
        <v/>
      </c>
      <c r="F67" s="3">
        <f>_xlfn.XLOOKUP(A67,'ABC-XYZ분석 (2)'!C:C,'ABC-XYZ분석 (2)'!AG:AG)</f>
        <v/>
      </c>
      <c r="G67" s="14">
        <f>SUMIF(재고!C:C,PSI_메인!A67,재고!I:I)</f>
        <v/>
      </c>
      <c r="H67" s="277" t="n">
        <v>5750</v>
      </c>
      <c r="I67" s="278" t="n">
        <v>0</v>
      </c>
      <c r="J67" s="278" t="n">
        <v>0</v>
      </c>
      <c r="K67" s="279" t="n">
        <v>100</v>
      </c>
      <c r="L67" s="11" t="n">
        <v>0</v>
      </c>
      <c r="M67" s="9">
        <f>SUMIFS(입항스케줄!J:J,입항스케줄!C:C,PSI_메인!A67,입항스케줄!U:U,"2601")</f>
        <v/>
      </c>
      <c r="N67" s="11">
        <f>SUMIFS(입항스케줄!J:J,입항스케줄!C:C,PSI_메인!A67,입항스케줄!V:V,"2601")</f>
        <v/>
      </c>
      <c r="O67" s="280">
        <f>$G67+M67-K67</f>
        <v/>
      </c>
      <c r="P67" s="277">
        <f>$G67+N67-L67</f>
        <v/>
      </c>
      <c r="Q67" s="278" t="n">
        <v>0</v>
      </c>
      <c r="R67" s="278" t="n">
        <v>0</v>
      </c>
      <c r="S67" s="10" t="n">
        <v>0</v>
      </c>
      <c r="T67" s="11" t="n">
        <v>0</v>
      </c>
      <c r="U67" s="9">
        <f>SUMIFS(입항스케줄!J:J,입항스케줄!C:C,PSI_메인!A67,입항스케줄!U:U,"2602")</f>
        <v/>
      </c>
      <c r="V67" s="11">
        <f>SUMIFS(입항스케줄!J:J,입항스케줄!C:C,PSI_메인!A67,입항스케줄!V:V,"2602")</f>
        <v/>
      </c>
      <c r="W67" s="280">
        <f>$G67+U67-S67</f>
        <v/>
      </c>
      <c r="X67" s="277">
        <f>$G67+V67-T67</f>
        <v/>
      </c>
      <c r="Y67" s="278" t="n">
        <v>0</v>
      </c>
      <c r="Z67" s="278" t="n">
        <v>0</v>
      </c>
      <c r="AA67" s="279">
        <f>ROUND((Y67+Z67)/2,0)</f>
        <v/>
      </c>
      <c r="AB67" s="11" t="n">
        <v>0</v>
      </c>
      <c r="AC67" s="9">
        <f>SUMIFS(입항스케줄!J:J,입항스케줄!C:C,PSI_메인!A67,입항스케줄!U:U,"2603")</f>
        <v/>
      </c>
      <c r="AD67" s="11">
        <f>SUMIFS(입항스케줄!J:J,입항스케줄!C:C,PSI_메인!A67,입항스케줄!V:V,"2603")</f>
        <v/>
      </c>
      <c r="AE67" s="280">
        <f>$G67+AC67-AA67</f>
        <v/>
      </c>
      <c r="AF67" s="277">
        <f>$G67+AD67-AB67</f>
        <v/>
      </c>
      <c r="AG67" s="278" t="n">
        <v>0</v>
      </c>
      <c r="AH67" s="278" t="n">
        <v>0</v>
      </c>
      <c r="AI67" s="279">
        <f>ROUND((AG67+AH67)/2,0)</f>
        <v/>
      </c>
      <c r="AJ67" s="11" t="n">
        <v>0</v>
      </c>
      <c r="AK67" s="9">
        <f>SUMIFS(입항스케줄!J:J,입항스케줄!C:C,PSI_메인!A67,입항스케줄!U:U,"2604")</f>
        <v/>
      </c>
      <c r="AL67" s="11">
        <f>SUMIFS(입항스케줄!J:J,입항스케줄!C:C,PSI_메인!A67,입항스케줄!V:V,"2604")</f>
        <v/>
      </c>
      <c r="AM67" s="280">
        <f>$G67+AK67-AI67</f>
        <v/>
      </c>
      <c r="AN67" s="277">
        <f>$G67+AL67-AJ67</f>
        <v/>
      </c>
      <c r="AO67" s="278" t="n">
        <v>0</v>
      </c>
      <c r="AP67" s="278" t="n">
        <v>0</v>
      </c>
      <c r="AQ67" s="279">
        <f>ROUND((AO67+AP67)/2,0)</f>
        <v/>
      </c>
      <c r="AR67" s="11" t="n">
        <v>0</v>
      </c>
      <c r="AS67" s="9" t="n"/>
      <c r="AT67" s="277" t="n"/>
      <c r="AU67" s="280">
        <f>$G67+AS67-AQ67</f>
        <v/>
      </c>
      <c r="AV67" s="277">
        <f>$G67+AT67-AR67</f>
        <v/>
      </c>
      <c r="AW67" s="278" t="n">
        <v>0</v>
      </c>
      <c r="AX67" s="278" t="n">
        <v>0</v>
      </c>
      <c r="AY67" s="279">
        <f>ROUND((AW67+AX67)/2,0)</f>
        <v/>
      </c>
      <c r="AZ67" s="11" t="n">
        <v>0</v>
      </c>
      <c r="BA67" s="9" t="n"/>
      <c r="BB67" s="11" t="n"/>
      <c r="BC67" s="280">
        <f>$G67+BA67-AY67</f>
        <v/>
      </c>
      <c r="BD67" s="277">
        <f>$G67+BB67-AZ67</f>
        <v/>
      </c>
      <c r="BE67" s="278" t="n">
        <v>0</v>
      </c>
      <c r="BF67" s="278" t="n">
        <v>0</v>
      </c>
      <c r="BG67" s="279">
        <f>ROUND((BE67+BF67)/2,0)</f>
        <v/>
      </c>
      <c r="BH67" s="11" t="n">
        <v>0</v>
      </c>
      <c r="BI67" s="278" t="n"/>
      <c r="BJ67" s="11" t="n"/>
      <c r="BK67" s="280">
        <f>$G67+BI67-BG67</f>
        <v/>
      </c>
      <c r="BL67" s="277">
        <f>$G67+BJ67-BH67</f>
        <v/>
      </c>
      <c r="BM67" s="278" t="n">
        <v>0</v>
      </c>
      <c r="BN67" s="278" t="n">
        <v>0</v>
      </c>
      <c r="BO67" s="279">
        <f>ROUND((BM67+BN67)/2,0)</f>
        <v/>
      </c>
      <c r="BP67" s="11" t="n">
        <v>0</v>
      </c>
      <c r="BQ67" s="278" t="n"/>
      <c r="BR67" s="11" t="n"/>
      <c r="BS67" s="280">
        <f>$G67+BQ67-BO67</f>
        <v/>
      </c>
      <c r="BT67" s="277">
        <f>$G67+BR67-BP67</f>
        <v/>
      </c>
      <c r="BU67" s="278" t="n">
        <v>0</v>
      </c>
      <c r="BV67" s="278" t="n">
        <v>0</v>
      </c>
      <c r="BW67" s="279">
        <f>ROUND((BU67+BV67)/2,0)</f>
        <v/>
      </c>
      <c r="BX67" s="11" t="n">
        <v>0</v>
      </c>
      <c r="BY67" s="278" t="n"/>
      <c r="BZ67" s="11" t="n"/>
      <c r="CA67" s="280">
        <f>$G67+BY67-BW67</f>
        <v/>
      </c>
      <c r="CB67" s="277">
        <f>$G67+BZ67-BX67</f>
        <v/>
      </c>
      <c r="CC67" s="278" t="n">
        <v>0</v>
      </c>
      <c r="CD67" s="278" t="n">
        <v>0</v>
      </c>
      <c r="CE67" s="279">
        <f>ROUND((CC67+CD67)/2,0)</f>
        <v/>
      </c>
      <c r="CF67" s="11" t="n">
        <v>0</v>
      </c>
      <c r="CG67" s="278" t="n"/>
      <c r="CH67" s="11" t="n"/>
      <c r="CI67" s="280">
        <f>$G67+CG67-CE67</f>
        <v/>
      </c>
      <c r="CJ67" s="277">
        <f>$G67+CH67-CF67</f>
        <v/>
      </c>
      <c r="CK67" s="278" t="n">
        <v>0</v>
      </c>
      <c r="CL67" s="278" t="n">
        <v>0</v>
      </c>
      <c r="CM67" s="279">
        <f>ROUND((CK67+CL67)/2,0)</f>
        <v/>
      </c>
      <c r="CN67" s="11" t="n">
        <v>0</v>
      </c>
      <c r="CO67" s="278" t="n"/>
      <c r="CP67" s="277" t="n"/>
      <c r="CQ67" s="280">
        <f>$G67+CO67-CM67</f>
        <v/>
      </c>
      <c r="CR67" s="277">
        <f>$G67+CP67-CN67</f>
        <v/>
      </c>
      <c r="CS67" s="278" t="n">
        <v>0</v>
      </c>
      <c r="CT67" s="278" t="n">
        <v>0</v>
      </c>
      <c r="CU67" s="279">
        <f>ROUND((CS67+CT67)/2,0)</f>
        <v/>
      </c>
      <c r="CV67" s="11" t="n">
        <v>0</v>
      </c>
      <c r="CW67" s="278" t="n"/>
      <c r="CX67" s="277" t="n"/>
      <c r="CY67" s="280">
        <f>$G67+CW67-CU67</f>
        <v/>
      </c>
      <c r="CZ67" s="277">
        <f>$G67+CX67-CV67</f>
        <v/>
      </c>
    </row>
    <row r="68" ht="17.25" customHeight="1" s="480">
      <c r="A68" s="28" t="inlineStr">
        <is>
          <t>ABC65</t>
        </is>
      </c>
      <c r="B68" s="379" t="n"/>
      <c r="C68" s="27" t="n"/>
      <c r="D68" s="28">
        <f>_xlfn.XLOOKUP(A68,'ABC-XYZ분석 (2)'!C:C,'ABC-XYZ분석 (2)'!I:I)</f>
        <v/>
      </c>
      <c r="E68" s="28">
        <f>_xlfn.XLOOKUP(A68,'ABC-XYZ분석 (2)'!C:C,'ABC-XYZ분석 (2)'!AC:AC)</f>
        <v/>
      </c>
      <c r="F68" s="3">
        <f>_xlfn.XLOOKUP(A68,'ABC-XYZ분석 (2)'!C:C,'ABC-XYZ분석 (2)'!AG:AG)</f>
        <v/>
      </c>
      <c r="G68" s="14">
        <f>SUMIF(재고!C:C,PSI_메인!A68,재고!I:I)</f>
        <v/>
      </c>
      <c r="H68" s="277" t="n">
        <v>1205</v>
      </c>
      <c r="I68" s="278" t="n">
        <v>0</v>
      </c>
      <c r="J68" s="278" t="n">
        <v>0</v>
      </c>
      <c r="K68" s="279" t="n">
        <v>100</v>
      </c>
      <c r="L68" s="11" t="n">
        <v>0</v>
      </c>
      <c r="M68" s="9">
        <f>SUMIFS(입항스케줄!J:J,입항스케줄!C:C,PSI_메인!A68,입항스케줄!U:U,"2601")</f>
        <v/>
      </c>
      <c r="N68" s="11">
        <f>SUMIFS(입항스케줄!J:J,입항스케줄!C:C,PSI_메인!A68,입항스케줄!V:V,"2601")</f>
        <v/>
      </c>
      <c r="O68" s="280">
        <f>$G68+M68-K68</f>
        <v/>
      </c>
      <c r="P68" s="277">
        <f>$G68+N68-L68</f>
        <v/>
      </c>
      <c r="Q68" s="278" t="n">
        <v>0</v>
      </c>
      <c r="R68" s="278" t="n">
        <v>0</v>
      </c>
      <c r="S68" s="10" t="n">
        <v>600</v>
      </c>
      <c r="T68" s="11" t="n">
        <v>0</v>
      </c>
      <c r="U68" s="9">
        <f>SUMIFS(입항스케줄!J:J,입항스케줄!C:C,PSI_메인!A68,입항스케줄!U:U,"2602")</f>
        <v/>
      </c>
      <c r="V68" s="11">
        <f>SUMIFS(입항스케줄!J:J,입항스케줄!C:C,PSI_메인!A68,입항스케줄!V:V,"2602")</f>
        <v/>
      </c>
      <c r="W68" s="280">
        <f>$G68+U68-S68</f>
        <v/>
      </c>
      <c r="X68" s="277">
        <f>$G68+V68-T68</f>
        <v/>
      </c>
      <c r="Y68" s="278" t="n">
        <v>0</v>
      </c>
      <c r="Z68" s="278" t="n">
        <v>0</v>
      </c>
      <c r="AA68" s="279">
        <f>ROUND((Y68+Z68)/2,0)</f>
        <v/>
      </c>
      <c r="AB68" s="11" t="n">
        <v>0</v>
      </c>
      <c r="AC68" s="9">
        <f>SUMIFS(입항스케줄!J:J,입항스케줄!C:C,PSI_메인!A68,입항스케줄!U:U,"2603")</f>
        <v/>
      </c>
      <c r="AD68" s="11">
        <f>SUMIFS(입항스케줄!J:J,입항스케줄!C:C,PSI_메인!A68,입항스케줄!V:V,"2603")</f>
        <v/>
      </c>
      <c r="AE68" s="280">
        <f>$G68+AC68-AA68</f>
        <v/>
      </c>
      <c r="AF68" s="277">
        <f>$G68+AD68-AB68</f>
        <v/>
      </c>
      <c r="AG68" s="278" t="n">
        <v>0</v>
      </c>
      <c r="AH68" s="278" t="n">
        <v>0</v>
      </c>
      <c r="AI68" s="279">
        <f>ROUND((AG68+AH68)/2,0)</f>
        <v/>
      </c>
      <c r="AJ68" s="11" t="n">
        <v>0</v>
      </c>
      <c r="AK68" s="9">
        <f>SUMIFS(입항스케줄!J:J,입항스케줄!C:C,PSI_메인!A68,입항스케줄!U:U,"2604")</f>
        <v/>
      </c>
      <c r="AL68" s="11">
        <f>SUMIFS(입항스케줄!J:J,입항스케줄!C:C,PSI_메인!A68,입항스케줄!V:V,"2604")</f>
        <v/>
      </c>
      <c r="AM68" s="280">
        <f>$G68+AK68-AI68</f>
        <v/>
      </c>
      <c r="AN68" s="277">
        <f>$G68+AL68-AJ68</f>
        <v/>
      </c>
      <c r="AO68" s="278" t="n">
        <v>0</v>
      </c>
      <c r="AP68" s="278" t="n">
        <v>0</v>
      </c>
      <c r="AQ68" s="279">
        <f>ROUND((AO68+AP68)/2,0)</f>
        <v/>
      </c>
      <c r="AR68" s="11" t="n">
        <v>0</v>
      </c>
      <c r="AS68" s="9" t="n"/>
      <c r="AT68" s="277" t="n"/>
      <c r="AU68" s="280">
        <f>$G68+AS68-AQ68</f>
        <v/>
      </c>
      <c r="AV68" s="277">
        <f>$G68+AT68-AR68</f>
        <v/>
      </c>
      <c r="AW68" s="278" t="n">
        <v>0</v>
      </c>
      <c r="AX68" s="278" t="n">
        <v>0</v>
      </c>
      <c r="AY68" s="279">
        <f>ROUND((AW68+AX68)/2,0)</f>
        <v/>
      </c>
      <c r="AZ68" s="11" t="n">
        <v>0</v>
      </c>
      <c r="BA68" s="9" t="n"/>
      <c r="BB68" s="11" t="n"/>
      <c r="BC68" s="280">
        <f>$G68+BA68-AY68</f>
        <v/>
      </c>
      <c r="BD68" s="277">
        <f>$G68+BB68-AZ68</f>
        <v/>
      </c>
      <c r="BE68" s="278" t="n">
        <v>0</v>
      </c>
      <c r="BF68" s="278" t="n">
        <v>0</v>
      </c>
      <c r="BG68" s="279">
        <f>ROUND((BE68+BF68)/2,0)</f>
        <v/>
      </c>
      <c r="BH68" s="11" t="n">
        <v>0</v>
      </c>
      <c r="BI68" s="278" t="n"/>
      <c r="BJ68" s="11" t="n"/>
      <c r="BK68" s="280">
        <f>$G68+BI68-BG68</f>
        <v/>
      </c>
      <c r="BL68" s="277">
        <f>$G68+BJ68-BH68</f>
        <v/>
      </c>
      <c r="BM68" s="278" t="n">
        <v>0</v>
      </c>
      <c r="BN68" s="278" t="n">
        <v>0</v>
      </c>
      <c r="BO68" s="279">
        <f>ROUND((BM68+BN68)/2,0)</f>
        <v/>
      </c>
      <c r="BP68" s="11" t="n">
        <v>0</v>
      </c>
      <c r="BQ68" s="278" t="n"/>
      <c r="BR68" s="11" t="n"/>
      <c r="BS68" s="280">
        <f>$G68+BQ68-BO68</f>
        <v/>
      </c>
      <c r="BT68" s="277">
        <f>$G68+BR68-BP68</f>
        <v/>
      </c>
      <c r="BU68" s="278" t="n">
        <v>0</v>
      </c>
      <c r="BV68" s="278" t="n">
        <v>0</v>
      </c>
      <c r="BW68" s="279">
        <f>ROUND((BU68+BV68)/2,0)</f>
        <v/>
      </c>
      <c r="BX68" s="11" t="n">
        <v>0</v>
      </c>
      <c r="BY68" s="278" t="n"/>
      <c r="BZ68" s="11" t="n"/>
      <c r="CA68" s="280">
        <f>$G68+BY68-BW68</f>
        <v/>
      </c>
      <c r="CB68" s="277">
        <f>$G68+BZ68-BX68</f>
        <v/>
      </c>
      <c r="CC68" s="278" t="n">
        <v>0</v>
      </c>
      <c r="CD68" s="278" t="n">
        <v>0</v>
      </c>
      <c r="CE68" s="279">
        <f>ROUND((CC68+CD68)/2,0)</f>
        <v/>
      </c>
      <c r="CF68" s="11" t="n">
        <v>0</v>
      </c>
      <c r="CG68" s="278" t="n"/>
      <c r="CH68" s="11" t="n"/>
      <c r="CI68" s="280">
        <f>$G68+CG68-CE68</f>
        <v/>
      </c>
      <c r="CJ68" s="277">
        <f>$G68+CH68-CF68</f>
        <v/>
      </c>
      <c r="CK68" s="278" t="n">
        <v>0</v>
      </c>
      <c r="CL68" s="278" t="n">
        <v>0</v>
      </c>
      <c r="CM68" s="279">
        <f>ROUND((CK68+CL68)/2,0)</f>
        <v/>
      </c>
      <c r="CN68" s="11" t="n">
        <v>0</v>
      </c>
      <c r="CO68" s="278" t="n"/>
      <c r="CP68" s="277" t="n"/>
      <c r="CQ68" s="280">
        <f>$G68+CO68-CM68</f>
        <v/>
      </c>
      <c r="CR68" s="277">
        <f>$G68+CP68-CN68</f>
        <v/>
      </c>
      <c r="CS68" s="278" t="n">
        <v>0</v>
      </c>
      <c r="CT68" s="278" t="n">
        <v>0</v>
      </c>
      <c r="CU68" s="279">
        <f>ROUND((CS68+CT68)/2,0)</f>
        <v/>
      </c>
      <c r="CV68" s="11" t="n">
        <v>0</v>
      </c>
      <c r="CW68" s="278" t="n"/>
      <c r="CX68" s="277" t="n"/>
      <c r="CY68" s="280">
        <f>$G68+CW68-CU68</f>
        <v/>
      </c>
      <c r="CZ68" s="277">
        <f>$G68+CX68-CV68</f>
        <v/>
      </c>
    </row>
    <row r="69" ht="17.25" customHeight="1" s="480">
      <c r="A69" s="28" t="inlineStr">
        <is>
          <t>ABC66</t>
        </is>
      </c>
      <c r="B69" s="379" t="n"/>
      <c r="C69" s="27" t="n"/>
      <c r="D69" s="28">
        <f>_xlfn.XLOOKUP(A69,'ABC-XYZ분석 (2)'!C:C,'ABC-XYZ분석 (2)'!I:I)</f>
        <v/>
      </c>
      <c r="E69" s="28">
        <f>_xlfn.XLOOKUP(A69,'ABC-XYZ분석 (2)'!C:C,'ABC-XYZ분석 (2)'!AC:AC)</f>
        <v/>
      </c>
      <c r="F69" s="3">
        <f>_xlfn.XLOOKUP(A69,'ABC-XYZ분석 (2)'!C:C,'ABC-XYZ분석 (2)'!AG:AG)</f>
        <v/>
      </c>
      <c r="G69" s="14">
        <f>SUMIF(재고!C:C,PSI_메인!A69,재고!I:I)</f>
        <v/>
      </c>
      <c r="H69" s="277" t="n">
        <v>787</v>
      </c>
      <c r="I69" s="278" t="n">
        <v>0</v>
      </c>
      <c r="J69" s="278" t="n">
        <v>0</v>
      </c>
      <c r="K69" s="279" t="n">
        <v>250</v>
      </c>
      <c r="L69" s="11" t="n">
        <v>0</v>
      </c>
      <c r="M69" s="9">
        <f>SUMIFS(입항스케줄!J:J,입항스케줄!C:C,PSI_메인!A69,입항스케줄!U:U,"2601")</f>
        <v/>
      </c>
      <c r="N69" s="11">
        <f>SUMIFS(입항스케줄!J:J,입항스케줄!C:C,PSI_메인!A69,입항스케줄!V:V,"2601")</f>
        <v/>
      </c>
      <c r="O69" s="280">
        <f>$G69+M69-K69</f>
        <v/>
      </c>
      <c r="P69" s="277">
        <f>$G69+N69-L69</f>
        <v/>
      </c>
      <c r="Q69" s="278" t="n">
        <v>0</v>
      </c>
      <c r="R69" s="278" t="n">
        <v>0</v>
      </c>
      <c r="S69" s="10" t="n">
        <v>200</v>
      </c>
      <c r="T69" s="11" t="n">
        <v>0</v>
      </c>
      <c r="U69" s="9">
        <f>SUMIFS(입항스케줄!J:J,입항스케줄!C:C,PSI_메인!A69,입항스케줄!U:U,"2602")</f>
        <v/>
      </c>
      <c r="V69" s="11">
        <f>SUMIFS(입항스케줄!J:J,입항스케줄!C:C,PSI_메인!A69,입항스케줄!V:V,"2602")</f>
        <v/>
      </c>
      <c r="W69" s="280">
        <f>$G69+U69-S69</f>
        <v/>
      </c>
      <c r="X69" s="277">
        <f>$G69+V69-T69</f>
        <v/>
      </c>
      <c r="Y69" s="278" t="n">
        <v>0</v>
      </c>
      <c r="Z69" s="278" t="n">
        <v>0</v>
      </c>
      <c r="AA69" s="279">
        <f>ROUND((Y69+Z69)/2,0)</f>
        <v/>
      </c>
      <c r="AB69" s="11" t="n">
        <v>0</v>
      </c>
      <c r="AC69" s="9">
        <f>SUMIFS(입항스케줄!J:J,입항스케줄!C:C,PSI_메인!A69,입항스케줄!U:U,"2603")</f>
        <v/>
      </c>
      <c r="AD69" s="11">
        <f>SUMIFS(입항스케줄!J:J,입항스케줄!C:C,PSI_메인!A69,입항스케줄!V:V,"2603")</f>
        <v/>
      </c>
      <c r="AE69" s="280">
        <f>$G69+AC69-AA69</f>
        <v/>
      </c>
      <c r="AF69" s="277">
        <f>$G69+AD69-AB69</f>
        <v/>
      </c>
      <c r="AG69" s="278" t="n">
        <v>0</v>
      </c>
      <c r="AH69" s="278" t="n">
        <v>0</v>
      </c>
      <c r="AI69" s="279">
        <f>ROUND((AG69+AH69)/2,0)</f>
        <v/>
      </c>
      <c r="AJ69" s="11" t="n">
        <v>0</v>
      </c>
      <c r="AK69" s="9">
        <f>SUMIFS(입항스케줄!J:J,입항스케줄!C:C,PSI_메인!A69,입항스케줄!U:U,"2604")</f>
        <v/>
      </c>
      <c r="AL69" s="11">
        <f>SUMIFS(입항스케줄!J:J,입항스케줄!C:C,PSI_메인!A69,입항스케줄!V:V,"2604")</f>
        <v/>
      </c>
      <c r="AM69" s="280">
        <f>$G69+AK69-AI69</f>
        <v/>
      </c>
      <c r="AN69" s="277">
        <f>$G69+AL69-AJ69</f>
        <v/>
      </c>
      <c r="AO69" s="278" t="n">
        <v>0</v>
      </c>
      <c r="AP69" s="278" t="n">
        <v>0</v>
      </c>
      <c r="AQ69" s="279">
        <f>ROUND((AO69+AP69)/2,0)</f>
        <v/>
      </c>
      <c r="AR69" s="11" t="n">
        <v>0</v>
      </c>
      <c r="AS69" s="9" t="n"/>
      <c r="AT69" s="277" t="n"/>
      <c r="AU69" s="280">
        <f>$G69+AS69-AQ69</f>
        <v/>
      </c>
      <c r="AV69" s="277">
        <f>$G69+AT69-AR69</f>
        <v/>
      </c>
      <c r="AW69" s="278" t="n">
        <v>0</v>
      </c>
      <c r="AX69" s="278" t="n">
        <v>0</v>
      </c>
      <c r="AY69" s="279">
        <f>ROUND((AW69+AX69)/2,0)</f>
        <v/>
      </c>
      <c r="AZ69" s="11" t="n">
        <v>0</v>
      </c>
      <c r="BA69" s="9" t="n"/>
      <c r="BB69" s="11" t="n"/>
      <c r="BC69" s="280">
        <f>$G69+BA69-AY69</f>
        <v/>
      </c>
      <c r="BD69" s="277">
        <f>$G69+BB69-AZ69</f>
        <v/>
      </c>
      <c r="BE69" s="278" t="n">
        <v>0</v>
      </c>
      <c r="BF69" s="278" t="n">
        <v>0</v>
      </c>
      <c r="BG69" s="279">
        <f>ROUND((BE69+BF69)/2,0)</f>
        <v/>
      </c>
      <c r="BH69" s="11" t="n">
        <v>0</v>
      </c>
      <c r="BI69" s="278" t="n"/>
      <c r="BJ69" s="11" t="n"/>
      <c r="BK69" s="280">
        <f>$G69+BI69-BG69</f>
        <v/>
      </c>
      <c r="BL69" s="277">
        <f>$G69+BJ69-BH69</f>
        <v/>
      </c>
      <c r="BM69" s="278" t="n">
        <v>0</v>
      </c>
      <c r="BN69" s="278" t="n">
        <v>0</v>
      </c>
      <c r="BO69" s="279">
        <f>ROUND((BM69+BN69)/2,0)</f>
        <v/>
      </c>
      <c r="BP69" s="11" t="n">
        <v>0</v>
      </c>
      <c r="BQ69" s="278" t="n"/>
      <c r="BR69" s="11" t="n"/>
      <c r="BS69" s="280">
        <f>$G69+BQ69-BO69</f>
        <v/>
      </c>
      <c r="BT69" s="277">
        <f>$G69+BR69-BP69</f>
        <v/>
      </c>
      <c r="BU69" s="278" t="n">
        <v>0</v>
      </c>
      <c r="BV69" s="278" t="n">
        <v>0</v>
      </c>
      <c r="BW69" s="279">
        <f>ROUND((BU69+BV69)/2,0)</f>
        <v/>
      </c>
      <c r="BX69" s="11" t="n">
        <v>0</v>
      </c>
      <c r="BY69" s="278" t="n"/>
      <c r="BZ69" s="11" t="n"/>
      <c r="CA69" s="280">
        <f>$G69+BY69-BW69</f>
        <v/>
      </c>
      <c r="CB69" s="277">
        <f>$G69+BZ69-BX69</f>
        <v/>
      </c>
      <c r="CC69" s="278" t="n">
        <v>0</v>
      </c>
      <c r="CD69" s="278" t="n">
        <v>0</v>
      </c>
      <c r="CE69" s="279">
        <f>ROUND((CC69+CD69)/2,0)</f>
        <v/>
      </c>
      <c r="CF69" s="11" t="n">
        <v>0</v>
      </c>
      <c r="CG69" s="278" t="n"/>
      <c r="CH69" s="11" t="n"/>
      <c r="CI69" s="280">
        <f>$G69+CG69-CE69</f>
        <v/>
      </c>
      <c r="CJ69" s="277">
        <f>$G69+CH69-CF69</f>
        <v/>
      </c>
      <c r="CK69" s="278" t="n">
        <v>0</v>
      </c>
      <c r="CL69" s="278" t="n">
        <v>0</v>
      </c>
      <c r="CM69" s="279">
        <f>ROUND((CK69+CL69)/2,0)</f>
        <v/>
      </c>
      <c r="CN69" s="11" t="n">
        <v>0</v>
      </c>
      <c r="CO69" s="278" t="n"/>
      <c r="CP69" s="277" t="n"/>
      <c r="CQ69" s="280">
        <f>$G69+CO69-CM69</f>
        <v/>
      </c>
      <c r="CR69" s="277">
        <f>$G69+CP69-CN69</f>
        <v/>
      </c>
      <c r="CS69" s="278" t="n">
        <v>0</v>
      </c>
      <c r="CT69" s="278" t="n">
        <v>0</v>
      </c>
      <c r="CU69" s="279">
        <f>ROUND((CS69+CT69)/2,0)</f>
        <v/>
      </c>
      <c r="CV69" s="11" t="n">
        <v>0</v>
      </c>
      <c r="CW69" s="278" t="n"/>
      <c r="CX69" s="277" t="n"/>
      <c r="CY69" s="280">
        <f>$G69+CW69-CU69</f>
        <v/>
      </c>
      <c r="CZ69" s="277">
        <f>$G69+CX69-CV69</f>
        <v/>
      </c>
    </row>
    <row r="70" ht="17.25" customHeight="1" s="480">
      <c r="A70" s="28" t="inlineStr">
        <is>
          <t>ABC67</t>
        </is>
      </c>
      <c r="B70" s="379" t="n"/>
      <c r="C70" s="27" t="n"/>
      <c r="D70" s="28">
        <f>_xlfn.XLOOKUP(A70,'ABC-XYZ분석 (2)'!C:C,'ABC-XYZ분석 (2)'!I:I)</f>
        <v/>
      </c>
      <c r="E70" s="28">
        <f>_xlfn.XLOOKUP(A70,'ABC-XYZ분석 (2)'!C:C,'ABC-XYZ분석 (2)'!AC:AC)</f>
        <v/>
      </c>
      <c r="F70" s="3">
        <f>_xlfn.XLOOKUP(A70,'ABC-XYZ분석 (2)'!C:C,'ABC-XYZ분석 (2)'!AG:AG)</f>
        <v/>
      </c>
      <c r="G70" s="14">
        <f>SUMIF(재고!C:C,PSI_메인!A70,재고!I:I)</f>
        <v/>
      </c>
      <c r="H70" s="277" t="n">
        <v>100</v>
      </c>
      <c r="I70" s="278" t="n">
        <v>0</v>
      </c>
      <c r="J70" s="278" t="n">
        <v>0</v>
      </c>
      <c r="K70" s="279" t="n">
        <v>0</v>
      </c>
      <c r="L70" s="11" t="n">
        <v>0</v>
      </c>
      <c r="M70" s="9">
        <f>SUMIFS(입항스케줄!J:J,입항스케줄!C:C,PSI_메인!A70,입항스케줄!U:U,"2601")</f>
        <v/>
      </c>
      <c r="N70" s="11">
        <f>SUMIFS(입항스케줄!J:J,입항스케줄!C:C,PSI_메인!A70,입항스케줄!V:V,"2601")</f>
        <v/>
      </c>
      <c r="O70" s="280">
        <f>$G70+M70-K70</f>
        <v/>
      </c>
      <c r="P70" s="277">
        <f>$G70+N70-L70</f>
        <v/>
      </c>
      <c r="Q70" s="278" t="n">
        <v>0</v>
      </c>
      <c r="R70" s="278" t="n">
        <v>0</v>
      </c>
      <c r="S70" s="10" t="n">
        <v>50</v>
      </c>
      <c r="T70" s="11" t="n">
        <v>0</v>
      </c>
      <c r="U70" s="9">
        <f>SUMIFS(입항스케줄!J:J,입항스케줄!C:C,PSI_메인!A70,입항스케줄!U:U,"2602")</f>
        <v/>
      </c>
      <c r="V70" s="11">
        <f>SUMIFS(입항스케줄!J:J,입항스케줄!C:C,PSI_메인!A70,입항스케줄!V:V,"2602")</f>
        <v/>
      </c>
      <c r="W70" s="280">
        <f>$G70+U70-S70</f>
        <v/>
      </c>
      <c r="X70" s="277">
        <f>$G70+V70-T70</f>
        <v/>
      </c>
      <c r="Y70" s="278" t="n">
        <v>0</v>
      </c>
      <c r="Z70" s="278" t="n">
        <v>0</v>
      </c>
      <c r="AA70" s="279">
        <f>ROUND((Y70+Z70)/2,0)</f>
        <v/>
      </c>
      <c r="AB70" s="11" t="n">
        <v>0</v>
      </c>
      <c r="AC70" s="9">
        <f>SUMIFS(입항스케줄!J:J,입항스케줄!C:C,PSI_메인!A70,입항스케줄!U:U,"2603")</f>
        <v/>
      </c>
      <c r="AD70" s="11">
        <f>SUMIFS(입항스케줄!J:J,입항스케줄!C:C,PSI_메인!A70,입항스케줄!V:V,"2603")</f>
        <v/>
      </c>
      <c r="AE70" s="280">
        <f>$G70+AC70-AA70</f>
        <v/>
      </c>
      <c r="AF70" s="277">
        <f>$G70+AD70-AB70</f>
        <v/>
      </c>
      <c r="AG70" s="278" t="n">
        <v>0</v>
      </c>
      <c r="AH70" s="278" t="n">
        <v>0</v>
      </c>
      <c r="AI70" s="279">
        <f>ROUND((AG70+AH70)/2,0)</f>
        <v/>
      </c>
      <c r="AJ70" s="11" t="n">
        <v>0</v>
      </c>
      <c r="AK70" s="9">
        <f>SUMIFS(입항스케줄!J:J,입항스케줄!C:C,PSI_메인!A70,입항스케줄!U:U,"2604")</f>
        <v/>
      </c>
      <c r="AL70" s="11">
        <f>SUMIFS(입항스케줄!J:J,입항스케줄!C:C,PSI_메인!A70,입항스케줄!V:V,"2604")</f>
        <v/>
      </c>
      <c r="AM70" s="280">
        <f>$G70+AK70-AI70</f>
        <v/>
      </c>
      <c r="AN70" s="277">
        <f>$G70+AL70-AJ70</f>
        <v/>
      </c>
      <c r="AO70" s="278" t="n">
        <v>0</v>
      </c>
      <c r="AP70" s="278" t="n">
        <v>0</v>
      </c>
      <c r="AQ70" s="279">
        <f>ROUND((AO70+AP70)/2,0)</f>
        <v/>
      </c>
      <c r="AR70" s="11" t="n">
        <v>0</v>
      </c>
      <c r="AS70" s="9" t="n"/>
      <c r="AT70" s="277" t="n"/>
      <c r="AU70" s="280">
        <f>$G70+AS70-AQ70</f>
        <v/>
      </c>
      <c r="AV70" s="277">
        <f>$G70+AT70-AR70</f>
        <v/>
      </c>
      <c r="AW70" s="278" t="n">
        <v>0</v>
      </c>
      <c r="AX70" s="278" t="n">
        <v>0</v>
      </c>
      <c r="AY70" s="279">
        <f>ROUND((AW70+AX70)/2,0)</f>
        <v/>
      </c>
      <c r="AZ70" s="11" t="n">
        <v>0</v>
      </c>
      <c r="BA70" s="9" t="n"/>
      <c r="BB70" s="11" t="n"/>
      <c r="BC70" s="280">
        <f>$G70+BA70-AY70</f>
        <v/>
      </c>
      <c r="BD70" s="277">
        <f>$G70+BB70-AZ70</f>
        <v/>
      </c>
      <c r="BE70" s="278" t="n">
        <v>0</v>
      </c>
      <c r="BF70" s="278" t="n">
        <v>0</v>
      </c>
      <c r="BG70" s="279">
        <f>ROUND((BE70+BF70)/2,0)</f>
        <v/>
      </c>
      <c r="BH70" s="11" t="n">
        <v>0</v>
      </c>
      <c r="BI70" s="278" t="n"/>
      <c r="BJ70" s="11" t="n"/>
      <c r="BK70" s="280">
        <f>$G70+BI70-BG70</f>
        <v/>
      </c>
      <c r="BL70" s="277">
        <f>$G70+BJ70-BH70</f>
        <v/>
      </c>
      <c r="BM70" s="278" t="n">
        <v>0</v>
      </c>
      <c r="BN70" s="278" t="n">
        <v>0</v>
      </c>
      <c r="BO70" s="279">
        <f>ROUND((BM70+BN70)/2,0)</f>
        <v/>
      </c>
      <c r="BP70" s="11" t="n">
        <v>0</v>
      </c>
      <c r="BQ70" s="278" t="n"/>
      <c r="BR70" s="11" t="n"/>
      <c r="BS70" s="280">
        <f>$G70+BQ70-BO70</f>
        <v/>
      </c>
      <c r="BT70" s="277">
        <f>$G70+BR70-BP70</f>
        <v/>
      </c>
      <c r="BU70" s="278" t="n">
        <v>0</v>
      </c>
      <c r="BV70" s="278" t="n">
        <v>0</v>
      </c>
      <c r="BW70" s="279">
        <f>ROUND((BU70+BV70)/2,0)</f>
        <v/>
      </c>
      <c r="BX70" s="11" t="n">
        <v>0</v>
      </c>
      <c r="BY70" s="278" t="n"/>
      <c r="BZ70" s="11" t="n"/>
      <c r="CA70" s="280">
        <f>$G70+BY70-BW70</f>
        <v/>
      </c>
      <c r="CB70" s="277">
        <f>$G70+BZ70-BX70</f>
        <v/>
      </c>
      <c r="CC70" s="278" t="n">
        <v>0</v>
      </c>
      <c r="CD70" s="278" t="n">
        <v>0</v>
      </c>
      <c r="CE70" s="279">
        <f>ROUND((CC70+CD70)/2,0)</f>
        <v/>
      </c>
      <c r="CF70" s="11" t="n">
        <v>0</v>
      </c>
      <c r="CG70" s="278" t="n"/>
      <c r="CH70" s="11" t="n"/>
      <c r="CI70" s="280">
        <f>$G70+CG70-CE70</f>
        <v/>
      </c>
      <c r="CJ70" s="277">
        <f>$G70+CH70-CF70</f>
        <v/>
      </c>
      <c r="CK70" s="278" t="n">
        <v>0</v>
      </c>
      <c r="CL70" s="278" t="n">
        <v>0</v>
      </c>
      <c r="CM70" s="279">
        <f>ROUND((CK70+CL70)/2,0)</f>
        <v/>
      </c>
      <c r="CN70" s="11" t="n">
        <v>0</v>
      </c>
      <c r="CO70" s="278" t="n"/>
      <c r="CP70" s="277" t="n"/>
      <c r="CQ70" s="280">
        <f>$G70+CO70-CM70</f>
        <v/>
      </c>
      <c r="CR70" s="277">
        <f>$G70+CP70-CN70</f>
        <v/>
      </c>
      <c r="CS70" s="278" t="n">
        <v>0</v>
      </c>
      <c r="CT70" s="278" t="n">
        <v>0</v>
      </c>
      <c r="CU70" s="279">
        <f>ROUND((CS70+CT70)/2,0)</f>
        <v/>
      </c>
      <c r="CV70" s="11" t="n">
        <v>0</v>
      </c>
      <c r="CW70" s="278" t="n"/>
      <c r="CX70" s="277" t="n"/>
      <c r="CY70" s="280">
        <f>$G70+CW70-CU70</f>
        <v/>
      </c>
      <c r="CZ70" s="277">
        <f>$G70+CX70-CV70</f>
        <v/>
      </c>
    </row>
    <row r="71" ht="17.25" customHeight="1" s="480">
      <c r="A71" s="28" t="inlineStr">
        <is>
          <t>ABC68</t>
        </is>
      </c>
      <c r="B71" s="379" t="n"/>
      <c r="C71" s="27" t="n"/>
      <c r="D71" s="28">
        <f>_xlfn.XLOOKUP(A71,'ABC-XYZ분석 (2)'!C:C,'ABC-XYZ분석 (2)'!I:I)</f>
        <v/>
      </c>
      <c r="E71" s="28">
        <f>_xlfn.XLOOKUP(A71,'ABC-XYZ분석 (2)'!C:C,'ABC-XYZ분석 (2)'!AC:AC)</f>
        <v/>
      </c>
      <c r="F71" s="3">
        <f>_xlfn.XLOOKUP(A71,'ABC-XYZ분석 (2)'!C:C,'ABC-XYZ분석 (2)'!AG:AG)</f>
        <v/>
      </c>
      <c r="G71" s="14">
        <f>SUMIF(재고!C:C,PSI_메인!A71,재고!I:I)</f>
        <v/>
      </c>
      <c r="H71" s="277" t="n">
        <v>2962</v>
      </c>
      <c r="I71" s="278" t="n">
        <v>0</v>
      </c>
      <c r="J71" s="278" t="n">
        <v>0</v>
      </c>
      <c r="K71" s="279" t="n">
        <v>656.25</v>
      </c>
      <c r="L71" s="11" t="n">
        <v>0</v>
      </c>
      <c r="M71" s="9">
        <f>SUMIFS(입항스케줄!J:J,입항스케줄!C:C,PSI_메인!A71,입항스케줄!U:U,"2601")</f>
        <v/>
      </c>
      <c r="N71" s="11">
        <f>SUMIFS(입항스케줄!J:J,입항스케줄!C:C,PSI_메인!A71,입항스케줄!V:V,"2601")</f>
        <v/>
      </c>
      <c r="O71" s="280">
        <f>$G71+M71-K71</f>
        <v/>
      </c>
      <c r="P71" s="277">
        <f>$G71+N71-L71</f>
        <v/>
      </c>
      <c r="Q71" s="278" t="n">
        <v>0</v>
      </c>
      <c r="R71" s="278" t="n">
        <v>0</v>
      </c>
      <c r="S71" s="10" t="n">
        <v>300</v>
      </c>
      <c r="T71" s="11" t="n">
        <v>0</v>
      </c>
      <c r="U71" s="9">
        <f>SUMIFS(입항스케줄!J:J,입항스케줄!C:C,PSI_메인!A71,입항스케줄!U:U,"2602")</f>
        <v/>
      </c>
      <c r="V71" s="11">
        <f>SUMIFS(입항스케줄!J:J,입항스케줄!C:C,PSI_메인!A71,입항스케줄!V:V,"2602")</f>
        <v/>
      </c>
      <c r="W71" s="280">
        <f>$G71+U71-S71</f>
        <v/>
      </c>
      <c r="X71" s="277">
        <f>$G71+V71-T71</f>
        <v/>
      </c>
      <c r="Y71" s="278" t="n">
        <v>0</v>
      </c>
      <c r="Z71" s="278" t="n">
        <v>0</v>
      </c>
      <c r="AA71" s="279">
        <f>ROUND((Y71+Z71)/2,0)</f>
        <v/>
      </c>
      <c r="AB71" s="11" t="n">
        <v>0</v>
      </c>
      <c r="AC71" s="9">
        <f>SUMIFS(입항스케줄!J:J,입항스케줄!C:C,PSI_메인!A71,입항스케줄!U:U,"2603")</f>
        <v/>
      </c>
      <c r="AD71" s="11">
        <f>SUMIFS(입항스케줄!J:J,입항스케줄!C:C,PSI_메인!A71,입항스케줄!V:V,"2603")</f>
        <v/>
      </c>
      <c r="AE71" s="280">
        <f>$G71+AC71-AA71</f>
        <v/>
      </c>
      <c r="AF71" s="277">
        <f>$G71+AD71-AB71</f>
        <v/>
      </c>
      <c r="AG71" s="278" t="n">
        <v>0</v>
      </c>
      <c r="AH71" s="278" t="n">
        <v>0</v>
      </c>
      <c r="AI71" s="279">
        <f>ROUND((AG71+AH71)/2,0)</f>
        <v/>
      </c>
      <c r="AJ71" s="11" t="n">
        <v>0</v>
      </c>
      <c r="AK71" s="9">
        <f>SUMIFS(입항스케줄!J:J,입항스케줄!C:C,PSI_메인!A71,입항스케줄!U:U,"2604")</f>
        <v/>
      </c>
      <c r="AL71" s="11">
        <f>SUMIFS(입항스케줄!J:J,입항스케줄!C:C,PSI_메인!A71,입항스케줄!V:V,"2604")</f>
        <v/>
      </c>
      <c r="AM71" s="280">
        <f>$G71+AK71-AI71</f>
        <v/>
      </c>
      <c r="AN71" s="277">
        <f>$G71+AL71-AJ71</f>
        <v/>
      </c>
      <c r="AO71" s="278" t="n">
        <v>0</v>
      </c>
      <c r="AP71" s="278" t="n">
        <v>0</v>
      </c>
      <c r="AQ71" s="279">
        <f>ROUND((AO71+AP71)/2,0)</f>
        <v/>
      </c>
      <c r="AR71" s="11" t="n">
        <v>0</v>
      </c>
      <c r="AS71" s="9" t="n"/>
      <c r="AT71" s="277" t="n"/>
      <c r="AU71" s="280">
        <f>$G71+AS71-AQ71</f>
        <v/>
      </c>
      <c r="AV71" s="277">
        <f>$G71+AT71-AR71</f>
        <v/>
      </c>
      <c r="AW71" s="278" t="n">
        <v>0</v>
      </c>
      <c r="AX71" s="278" t="n">
        <v>0</v>
      </c>
      <c r="AY71" s="279">
        <f>ROUND((AW71+AX71)/2,0)</f>
        <v/>
      </c>
      <c r="AZ71" s="11" t="n">
        <v>0</v>
      </c>
      <c r="BA71" s="9" t="n"/>
      <c r="BB71" s="11" t="n"/>
      <c r="BC71" s="280">
        <f>$G71+BA71-AY71</f>
        <v/>
      </c>
      <c r="BD71" s="277">
        <f>$G71+BB71-AZ71</f>
        <v/>
      </c>
      <c r="BE71" s="278" t="n">
        <v>0</v>
      </c>
      <c r="BF71" s="278" t="n">
        <v>0</v>
      </c>
      <c r="BG71" s="279">
        <f>ROUND((BE71+BF71)/2,0)</f>
        <v/>
      </c>
      <c r="BH71" s="11" t="n">
        <v>0</v>
      </c>
      <c r="BI71" s="278" t="n"/>
      <c r="BJ71" s="11" t="n"/>
      <c r="BK71" s="280">
        <f>$G71+BI71-BG71</f>
        <v/>
      </c>
      <c r="BL71" s="277">
        <f>$G71+BJ71-BH71</f>
        <v/>
      </c>
      <c r="BM71" s="278" t="n">
        <v>0</v>
      </c>
      <c r="BN71" s="278" t="n">
        <v>0</v>
      </c>
      <c r="BO71" s="279">
        <f>ROUND((BM71+BN71)/2,0)</f>
        <v/>
      </c>
      <c r="BP71" s="11" t="n">
        <v>0</v>
      </c>
      <c r="BQ71" s="278" t="n"/>
      <c r="BR71" s="11" t="n"/>
      <c r="BS71" s="280">
        <f>$G71+BQ71-BO71</f>
        <v/>
      </c>
      <c r="BT71" s="277">
        <f>$G71+BR71-BP71</f>
        <v/>
      </c>
      <c r="BU71" s="278" t="n">
        <v>0</v>
      </c>
      <c r="BV71" s="278" t="n">
        <v>0</v>
      </c>
      <c r="BW71" s="279">
        <f>ROUND((BU71+BV71)/2,0)</f>
        <v/>
      </c>
      <c r="BX71" s="11" t="n">
        <v>0</v>
      </c>
      <c r="BY71" s="278" t="n"/>
      <c r="BZ71" s="11" t="n"/>
      <c r="CA71" s="280">
        <f>$G71+BY71-BW71</f>
        <v/>
      </c>
      <c r="CB71" s="277">
        <f>$G71+BZ71-BX71</f>
        <v/>
      </c>
      <c r="CC71" s="278" t="n">
        <v>0</v>
      </c>
      <c r="CD71" s="278" t="n">
        <v>0</v>
      </c>
      <c r="CE71" s="279">
        <f>ROUND((CC71+CD71)/2,0)</f>
        <v/>
      </c>
      <c r="CF71" s="11" t="n">
        <v>0</v>
      </c>
      <c r="CG71" s="278" t="n"/>
      <c r="CH71" s="11" t="n"/>
      <c r="CI71" s="280">
        <f>$G71+CG71-CE71</f>
        <v/>
      </c>
      <c r="CJ71" s="277">
        <f>$G71+CH71-CF71</f>
        <v/>
      </c>
      <c r="CK71" s="278" t="n">
        <v>0</v>
      </c>
      <c r="CL71" s="278" t="n">
        <v>0</v>
      </c>
      <c r="CM71" s="279">
        <f>ROUND((CK71+CL71)/2,0)</f>
        <v/>
      </c>
      <c r="CN71" s="11" t="n">
        <v>0</v>
      </c>
      <c r="CO71" s="278" t="n"/>
      <c r="CP71" s="277" t="n"/>
      <c r="CQ71" s="280">
        <f>$G71+CO71-CM71</f>
        <v/>
      </c>
      <c r="CR71" s="277">
        <f>$G71+CP71-CN71</f>
        <v/>
      </c>
      <c r="CS71" s="278" t="n">
        <v>0</v>
      </c>
      <c r="CT71" s="278" t="n">
        <v>0</v>
      </c>
      <c r="CU71" s="279">
        <f>ROUND((CS71+CT71)/2,0)</f>
        <v/>
      </c>
      <c r="CV71" s="11" t="n">
        <v>0</v>
      </c>
      <c r="CW71" s="278" t="n"/>
      <c r="CX71" s="277" t="n"/>
      <c r="CY71" s="280">
        <f>$G71+CW71-CU71</f>
        <v/>
      </c>
      <c r="CZ71" s="277">
        <f>$G71+CX71-CV71</f>
        <v/>
      </c>
    </row>
    <row r="72" ht="17.25" customHeight="1" s="480">
      <c r="A72" s="28" t="inlineStr">
        <is>
          <t>ABC69</t>
        </is>
      </c>
      <c r="B72" s="379" t="n"/>
      <c r="C72" s="27" t="n"/>
      <c r="D72" s="28">
        <f>_xlfn.XLOOKUP(A72,'ABC-XYZ분석 (2)'!C:C,'ABC-XYZ분석 (2)'!I:I)</f>
        <v/>
      </c>
      <c r="E72" s="28">
        <f>_xlfn.XLOOKUP(A72,'ABC-XYZ분석 (2)'!C:C,'ABC-XYZ분석 (2)'!AC:AC)</f>
        <v/>
      </c>
      <c r="F72" s="3">
        <f>_xlfn.XLOOKUP(A72,'ABC-XYZ분석 (2)'!C:C,'ABC-XYZ분석 (2)'!AG:AG)</f>
        <v/>
      </c>
      <c r="G72" s="14">
        <f>SUMIF(재고!C:C,PSI_메인!A72,재고!I:I)</f>
        <v/>
      </c>
      <c r="H72" s="277" t="n">
        <v>185</v>
      </c>
      <c r="I72" s="278" t="n">
        <v>0</v>
      </c>
      <c r="J72" s="278" t="n">
        <v>0</v>
      </c>
      <c r="K72" s="279" t="n">
        <v>0</v>
      </c>
      <c r="L72" s="11" t="n">
        <v>0</v>
      </c>
      <c r="M72" s="9">
        <f>SUMIFS(입항스케줄!J:J,입항스케줄!C:C,PSI_메인!A72,입항스케줄!U:U,"2601")</f>
        <v/>
      </c>
      <c r="N72" s="11">
        <f>SUMIFS(입항스케줄!J:J,입항스케줄!C:C,PSI_메인!A72,입항스케줄!V:V,"2601")</f>
        <v/>
      </c>
      <c r="O72" s="280">
        <f>$G72+M72-K72</f>
        <v/>
      </c>
      <c r="P72" s="277">
        <f>$G72+N72-L72</f>
        <v/>
      </c>
      <c r="Q72" s="278" t="n">
        <v>0</v>
      </c>
      <c r="R72" s="278" t="n">
        <v>0</v>
      </c>
      <c r="S72" s="10" t="n">
        <v>0</v>
      </c>
      <c r="T72" s="11" t="n">
        <v>0</v>
      </c>
      <c r="U72" s="9">
        <f>SUMIFS(입항스케줄!J:J,입항스케줄!C:C,PSI_메인!A72,입항스케줄!U:U,"2602")</f>
        <v/>
      </c>
      <c r="V72" s="11">
        <f>SUMIFS(입항스케줄!J:J,입항스케줄!C:C,PSI_메인!A72,입항스케줄!V:V,"2602")</f>
        <v/>
      </c>
      <c r="W72" s="280">
        <f>$G72+U72-S72</f>
        <v/>
      </c>
      <c r="X72" s="277">
        <f>$G72+V72-T72</f>
        <v/>
      </c>
      <c r="Y72" s="278" t="n">
        <v>0</v>
      </c>
      <c r="Z72" s="278" t="n">
        <v>0</v>
      </c>
      <c r="AA72" s="279">
        <f>ROUND((Y72+Z72)/2,0)</f>
        <v/>
      </c>
      <c r="AB72" s="11" t="n">
        <v>0</v>
      </c>
      <c r="AC72" s="9">
        <f>SUMIFS(입항스케줄!J:J,입항스케줄!C:C,PSI_메인!A72,입항스케줄!U:U,"2603")</f>
        <v/>
      </c>
      <c r="AD72" s="11">
        <f>SUMIFS(입항스케줄!J:J,입항스케줄!C:C,PSI_메인!A72,입항스케줄!V:V,"2603")</f>
        <v/>
      </c>
      <c r="AE72" s="280">
        <f>$G72+AC72-AA72</f>
        <v/>
      </c>
      <c r="AF72" s="277">
        <f>$G72+AD72-AB72</f>
        <v/>
      </c>
      <c r="AG72" s="278" t="n">
        <v>0</v>
      </c>
      <c r="AH72" s="278" t="n">
        <v>0</v>
      </c>
      <c r="AI72" s="279">
        <f>ROUND((AG72+AH72)/2,0)</f>
        <v/>
      </c>
      <c r="AJ72" s="11" t="n">
        <v>0</v>
      </c>
      <c r="AK72" s="9">
        <f>SUMIFS(입항스케줄!J:J,입항스케줄!C:C,PSI_메인!A72,입항스케줄!U:U,"2604")</f>
        <v/>
      </c>
      <c r="AL72" s="11">
        <f>SUMIFS(입항스케줄!J:J,입항스케줄!C:C,PSI_메인!A72,입항스케줄!V:V,"2604")</f>
        <v/>
      </c>
      <c r="AM72" s="280">
        <f>$G72+AK72-AI72</f>
        <v/>
      </c>
      <c r="AN72" s="277">
        <f>$G72+AL72-AJ72</f>
        <v/>
      </c>
      <c r="AO72" s="278" t="n">
        <v>0</v>
      </c>
      <c r="AP72" s="278" t="n">
        <v>0</v>
      </c>
      <c r="AQ72" s="279">
        <f>ROUND((AO72+AP72)/2,0)</f>
        <v/>
      </c>
      <c r="AR72" s="11" t="n">
        <v>0</v>
      </c>
      <c r="AS72" s="9" t="n"/>
      <c r="AT72" s="277" t="n"/>
      <c r="AU72" s="280">
        <f>$G72+AS72-AQ72</f>
        <v/>
      </c>
      <c r="AV72" s="277">
        <f>$G72+AT72-AR72</f>
        <v/>
      </c>
      <c r="AW72" s="278" t="n">
        <v>0</v>
      </c>
      <c r="AX72" s="278" t="n">
        <v>0</v>
      </c>
      <c r="AY72" s="279">
        <f>ROUND((AW72+AX72)/2,0)</f>
        <v/>
      </c>
      <c r="AZ72" s="11" t="n">
        <v>0</v>
      </c>
      <c r="BA72" s="9" t="n"/>
      <c r="BB72" s="11" t="n"/>
      <c r="BC72" s="280">
        <f>$G72+BA72-AY72</f>
        <v/>
      </c>
      <c r="BD72" s="277">
        <f>$G72+BB72-AZ72</f>
        <v/>
      </c>
      <c r="BE72" s="278" t="n">
        <v>0</v>
      </c>
      <c r="BF72" s="278" t="n">
        <v>0</v>
      </c>
      <c r="BG72" s="279">
        <f>ROUND((BE72+BF72)/2,0)</f>
        <v/>
      </c>
      <c r="BH72" s="11" t="n">
        <v>0</v>
      </c>
      <c r="BI72" s="278" t="n"/>
      <c r="BJ72" s="11" t="n"/>
      <c r="BK72" s="280">
        <f>$G72+BI72-BG72</f>
        <v/>
      </c>
      <c r="BL72" s="277">
        <f>$G72+BJ72-BH72</f>
        <v/>
      </c>
      <c r="BM72" s="278" t="n">
        <v>0</v>
      </c>
      <c r="BN72" s="278" t="n">
        <v>0</v>
      </c>
      <c r="BO72" s="279">
        <f>ROUND((BM72+BN72)/2,0)</f>
        <v/>
      </c>
      <c r="BP72" s="11" t="n">
        <v>0</v>
      </c>
      <c r="BQ72" s="278" t="n"/>
      <c r="BR72" s="11" t="n"/>
      <c r="BS72" s="280">
        <f>$G72+BQ72-BO72</f>
        <v/>
      </c>
      <c r="BT72" s="277">
        <f>$G72+BR72-BP72</f>
        <v/>
      </c>
      <c r="BU72" s="278" t="n">
        <v>0</v>
      </c>
      <c r="BV72" s="278" t="n">
        <v>0</v>
      </c>
      <c r="BW72" s="279">
        <f>ROUND((BU72+BV72)/2,0)</f>
        <v/>
      </c>
      <c r="BX72" s="11" t="n">
        <v>0</v>
      </c>
      <c r="BY72" s="278" t="n"/>
      <c r="BZ72" s="11" t="n"/>
      <c r="CA72" s="280">
        <f>$G72+BY72-BW72</f>
        <v/>
      </c>
      <c r="CB72" s="277">
        <f>$G72+BZ72-BX72</f>
        <v/>
      </c>
      <c r="CC72" s="278" t="n">
        <v>0</v>
      </c>
      <c r="CD72" s="278" t="n">
        <v>0</v>
      </c>
      <c r="CE72" s="279">
        <f>ROUND((CC72+CD72)/2,0)</f>
        <v/>
      </c>
      <c r="CF72" s="11" t="n">
        <v>0</v>
      </c>
      <c r="CG72" s="278" t="n"/>
      <c r="CH72" s="11" t="n"/>
      <c r="CI72" s="280">
        <f>$G72+CG72-CE72</f>
        <v/>
      </c>
      <c r="CJ72" s="277">
        <f>$G72+CH72-CF72</f>
        <v/>
      </c>
      <c r="CK72" s="278" t="n">
        <v>0</v>
      </c>
      <c r="CL72" s="278" t="n">
        <v>0</v>
      </c>
      <c r="CM72" s="279">
        <f>ROUND((CK72+CL72)/2,0)</f>
        <v/>
      </c>
      <c r="CN72" s="11" t="n">
        <v>0</v>
      </c>
      <c r="CO72" s="278" t="n"/>
      <c r="CP72" s="277" t="n"/>
      <c r="CQ72" s="280">
        <f>$G72+CO72-CM72</f>
        <v/>
      </c>
      <c r="CR72" s="277">
        <f>$G72+CP72-CN72</f>
        <v/>
      </c>
      <c r="CS72" s="278" t="n">
        <v>0</v>
      </c>
      <c r="CT72" s="278" t="n">
        <v>0</v>
      </c>
      <c r="CU72" s="279">
        <f>ROUND((CS72+CT72)/2,0)</f>
        <v/>
      </c>
      <c r="CV72" s="11" t="n">
        <v>0</v>
      </c>
      <c r="CW72" s="278" t="n"/>
      <c r="CX72" s="277" t="n"/>
      <c r="CY72" s="280">
        <f>$G72+CW72-CU72</f>
        <v/>
      </c>
      <c r="CZ72" s="277">
        <f>$G72+CX72-CV72</f>
        <v/>
      </c>
    </row>
    <row r="73" ht="17.25" customHeight="1" s="480">
      <c r="A73" s="28" t="inlineStr">
        <is>
          <t>ABC70</t>
        </is>
      </c>
      <c r="B73" s="379" t="n"/>
      <c r="C73" s="27" t="n"/>
      <c r="D73" s="28">
        <f>_xlfn.XLOOKUP(A73,'ABC-XYZ분석 (2)'!C:C,'ABC-XYZ분석 (2)'!I:I)</f>
        <v/>
      </c>
      <c r="E73" s="28">
        <f>_xlfn.XLOOKUP(A73,'ABC-XYZ분석 (2)'!C:C,'ABC-XYZ분석 (2)'!AC:AC)</f>
        <v/>
      </c>
      <c r="F73" s="3">
        <f>_xlfn.XLOOKUP(A73,'ABC-XYZ분석 (2)'!C:C,'ABC-XYZ분석 (2)'!AG:AG)</f>
        <v/>
      </c>
      <c r="G73" s="14">
        <f>SUMIF(재고!C:C,PSI_메인!A73,재고!I:I)</f>
        <v/>
      </c>
      <c r="H73" s="277" t="n">
        <v>807</v>
      </c>
      <c r="I73" s="278" t="n">
        <v>0</v>
      </c>
      <c r="J73" s="278" t="n">
        <v>0</v>
      </c>
      <c r="K73" s="279" t="n">
        <v>150</v>
      </c>
      <c r="L73" s="11" t="n">
        <v>0</v>
      </c>
      <c r="M73" s="9">
        <f>SUMIFS(입항스케줄!J:J,입항스케줄!C:C,PSI_메인!A73,입항스케줄!U:U,"2601")</f>
        <v/>
      </c>
      <c r="N73" s="11">
        <f>SUMIFS(입항스케줄!J:J,입항스케줄!C:C,PSI_메인!A73,입항스케줄!V:V,"2601")</f>
        <v/>
      </c>
      <c r="O73" s="280">
        <f>$G73+M73-K73</f>
        <v/>
      </c>
      <c r="P73" s="277">
        <f>$G73+N73-L73</f>
        <v/>
      </c>
      <c r="Q73" s="278" t="n">
        <v>0</v>
      </c>
      <c r="R73" s="278" t="n">
        <v>0</v>
      </c>
      <c r="S73" s="10" t="n">
        <v>200</v>
      </c>
      <c r="T73" s="11" t="n">
        <v>0</v>
      </c>
      <c r="U73" s="9">
        <f>SUMIFS(입항스케줄!J:J,입항스케줄!C:C,PSI_메인!A73,입항스케줄!U:U,"2602")</f>
        <v/>
      </c>
      <c r="V73" s="11">
        <f>SUMIFS(입항스케줄!J:J,입항스케줄!C:C,PSI_메인!A73,입항스케줄!V:V,"2602")</f>
        <v/>
      </c>
      <c r="W73" s="280">
        <f>$G73+U73-S73</f>
        <v/>
      </c>
      <c r="X73" s="277">
        <f>$G73+V73-T73</f>
        <v/>
      </c>
      <c r="Y73" s="278" t="n">
        <v>0</v>
      </c>
      <c r="Z73" s="278" t="n">
        <v>0</v>
      </c>
      <c r="AA73" s="279">
        <f>ROUND((Y73+Z73)/2,0)</f>
        <v/>
      </c>
      <c r="AB73" s="11" t="n">
        <v>0</v>
      </c>
      <c r="AC73" s="9">
        <f>SUMIFS(입항스케줄!J:J,입항스케줄!C:C,PSI_메인!A73,입항스케줄!U:U,"2603")</f>
        <v/>
      </c>
      <c r="AD73" s="11">
        <f>SUMIFS(입항스케줄!J:J,입항스케줄!C:C,PSI_메인!A73,입항스케줄!V:V,"2603")</f>
        <v/>
      </c>
      <c r="AE73" s="280">
        <f>$G73+AC73-AA73</f>
        <v/>
      </c>
      <c r="AF73" s="277">
        <f>$G73+AD73-AB73</f>
        <v/>
      </c>
      <c r="AG73" s="278" t="n">
        <v>0</v>
      </c>
      <c r="AH73" s="278" t="n">
        <v>0</v>
      </c>
      <c r="AI73" s="279">
        <f>ROUND((AG73+AH73)/2,0)</f>
        <v/>
      </c>
      <c r="AJ73" s="11" t="n">
        <v>0</v>
      </c>
      <c r="AK73" s="9">
        <f>SUMIFS(입항스케줄!J:J,입항스케줄!C:C,PSI_메인!A73,입항스케줄!U:U,"2604")</f>
        <v/>
      </c>
      <c r="AL73" s="11">
        <f>SUMIFS(입항스케줄!J:J,입항스케줄!C:C,PSI_메인!A73,입항스케줄!V:V,"2604")</f>
        <v/>
      </c>
      <c r="AM73" s="280">
        <f>$G73+AK73-AI73</f>
        <v/>
      </c>
      <c r="AN73" s="277">
        <f>$G73+AL73-AJ73</f>
        <v/>
      </c>
      <c r="AO73" s="278" t="n">
        <v>0</v>
      </c>
      <c r="AP73" s="278" t="n">
        <v>0</v>
      </c>
      <c r="AQ73" s="279">
        <f>ROUND((AO73+AP73)/2,0)</f>
        <v/>
      </c>
      <c r="AR73" s="11" t="n">
        <v>0</v>
      </c>
      <c r="AS73" s="9" t="n"/>
      <c r="AT73" s="277" t="n"/>
      <c r="AU73" s="280">
        <f>$G73+AS73-AQ73</f>
        <v/>
      </c>
      <c r="AV73" s="277">
        <f>$G73+AT73-AR73</f>
        <v/>
      </c>
      <c r="AW73" s="278" t="n">
        <v>0</v>
      </c>
      <c r="AX73" s="278" t="n">
        <v>0</v>
      </c>
      <c r="AY73" s="279">
        <f>ROUND((AW73+AX73)/2,0)</f>
        <v/>
      </c>
      <c r="AZ73" s="11" t="n">
        <v>0</v>
      </c>
      <c r="BA73" s="9" t="n"/>
      <c r="BB73" s="11" t="n"/>
      <c r="BC73" s="280">
        <f>$G73+BA73-AY73</f>
        <v/>
      </c>
      <c r="BD73" s="277">
        <f>$G73+BB73-AZ73</f>
        <v/>
      </c>
      <c r="BE73" s="278" t="n">
        <v>0</v>
      </c>
      <c r="BF73" s="278" t="n">
        <v>0</v>
      </c>
      <c r="BG73" s="279">
        <f>ROUND((BE73+BF73)/2,0)</f>
        <v/>
      </c>
      <c r="BH73" s="11" t="n">
        <v>0</v>
      </c>
      <c r="BI73" s="278" t="n"/>
      <c r="BJ73" s="11" t="n"/>
      <c r="BK73" s="280">
        <f>$G73+BI73-BG73</f>
        <v/>
      </c>
      <c r="BL73" s="277">
        <f>$G73+BJ73-BH73</f>
        <v/>
      </c>
      <c r="BM73" s="278" t="n">
        <v>0</v>
      </c>
      <c r="BN73" s="278" t="n">
        <v>0</v>
      </c>
      <c r="BO73" s="279">
        <f>ROUND((BM73+BN73)/2,0)</f>
        <v/>
      </c>
      <c r="BP73" s="11" t="n">
        <v>0</v>
      </c>
      <c r="BQ73" s="278" t="n"/>
      <c r="BR73" s="11" t="n"/>
      <c r="BS73" s="280">
        <f>$G73+BQ73-BO73</f>
        <v/>
      </c>
      <c r="BT73" s="277">
        <f>$G73+BR73-BP73</f>
        <v/>
      </c>
      <c r="BU73" s="278" t="n">
        <v>0</v>
      </c>
      <c r="BV73" s="278" t="n">
        <v>0</v>
      </c>
      <c r="BW73" s="279">
        <f>ROUND((BU73+BV73)/2,0)</f>
        <v/>
      </c>
      <c r="BX73" s="11" t="n">
        <v>0</v>
      </c>
      <c r="BY73" s="278" t="n"/>
      <c r="BZ73" s="11" t="n"/>
      <c r="CA73" s="280">
        <f>$G73+BY73-BW73</f>
        <v/>
      </c>
      <c r="CB73" s="277">
        <f>$G73+BZ73-BX73</f>
        <v/>
      </c>
      <c r="CC73" s="278" t="n">
        <v>0</v>
      </c>
      <c r="CD73" s="278" t="n">
        <v>0</v>
      </c>
      <c r="CE73" s="279">
        <f>ROUND((CC73+CD73)/2,0)</f>
        <v/>
      </c>
      <c r="CF73" s="11" t="n">
        <v>0</v>
      </c>
      <c r="CG73" s="278" t="n"/>
      <c r="CH73" s="11" t="n"/>
      <c r="CI73" s="280">
        <f>$G73+CG73-CE73</f>
        <v/>
      </c>
      <c r="CJ73" s="277">
        <f>$G73+CH73-CF73</f>
        <v/>
      </c>
      <c r="CK73" s="278" t="n">
        <v>0</v>
      </c>
      <c r="CL73" s="278" t="n">
        <v>0</v>
      </c>
      <c r="CM73" s="279">
        <f>ROUND((CK73+CL73)/2,0)</f>
        <v/>
      </c>
      <c r="CN73" s="11" t="n">
        <v>0</v>
      </c>
      <c r="CO73" s="278" t="n"/>
      <c r="CP73" s="277" t="n"/>
      <c r="CQ73" s="280">
        <f>$G73+CO73-CM73</f>
        <v/>
      </c>
      <c r="CR73" s="277">
        <f>$G73+CP73-CN73</f>
        <v/>
      </c>
      <c r="CS73" s="278" t="n">
        <v>0</v>
      </c>
      <c r="CT73" s="278" t="n">
        <v>0</v>
      </c>
      <c r="CU73" s="279">
        <f>ROUND((CS73+CT73)/2,0)</f>
        <v/>
      </c>
      <c r="CV73" s="11" t="n">
        <v>0</v>
      </c>
      <c r="CW73" s="278" t="n"/>
      <c r="CX73" s="277" t="n"/>
      <c r="CY73" s="280">
        <f>$G73+CW73-CU73</f>
        <v/>
      </c>
      <c r="CZ73" s="277">
        <f>$G73+CX73-CV73</f>
        <v/>
      </c>
    </row>
    <row r="74" ht="17.25" customHeight="1" s="480">
      <c r="A74" s="28" t="inlineStr">
        <is>
          <t>ABC71</t>
        </is>
      </c>
      <c r="B74" s="379" t="n"/>
      <c r="C74" s="27" t="n"/>
      <c r="D74" s="28">
        <f>_xlfn.XLOOKUP(A74,'ABC-XYZ분석 (2)'!C:C,'ABC-XYZ분석 (2)'!I:I)</f>
        <v/>
      </c>
      <c r="E74" s="28">
        <f>_xlfn.XLOOKUP(A74,'ABC-XYZ분석 (2)'!C:C,'ABC-XYZ분석 (2)'!AC:AC)</f>
        <v/>
      </c>
      <c r="F74" s="3">
        <f>_xlfn.XLOOKUP(A74,'ABC-XYZ분석 (2)'!C:C,'ABC-XYZ분석 (2)'!AG:AG)</f>
        <v/>
      </c>
      <c r="G74" s="14">
        <f>SUMIF(재고!C:C,PSI_메인!A74,재고!I:I)</f>
        <v/>
      </c>
      <c r="H74" s="277" t="n">
        <v>328</v>
      </c>
      <c r="I74" s="278" t="n">
        <v>0</v>
      </c>
      <c r="J74" s="278" t="n">
        <v>0</v>
      </c>
      <c r="K74" s="279" t="n">
        <v>100</v>
      </c>
      <c r="L74" s="11" t="n">
        <v>0</v>
      </c>
      <c r="M74" s="9">
        <f>SUMIFS(입항스케줄!J:J,입항스케줄!C:C,PSI_메인!A74,입항스케줄!U:U,"2601")</f>
        <v/>
      </c>
      <c r="N74" s="11">
        <f>SUMIFS(입항스케줄!J:J,입항스케줄!C:C,PSI_메인!A74,입항스케줄!V:V,"2601")</f>
        <v/>
      </c>
      <c r="O74" s="280">
        <f>$G74+M74-K74</f>
        <v/>
      </c>
      <c r="P74" s="277">
        <f>$G74+N74-L74</f>
        <v/>
      </c>
      <c r="Q74" s="278" t="n">
        <v>0</v>
      </c>
      <c r="R74" s="278" t="n">
        <v>0</v>
      </c>
      <c r="S74" s="10" t="n">
        <v>50</v>
      </c>
      <c r="T74" s="11" t="n">
        <v>0</v>
      </c>
      <c r="U74" s="9">
        <f>SUMIFS(입항스케줄!J:J,입항스케줄!C:C,PSI_메인!A74,입항스케줄!U:U,"2602")</f>
        <v/>
      </c>
      <c r="V74" s="11">
        <f>SUMIFS(입항스케줄!J:J,입항스케줄!C:C,PSI_메인!A74,입항스케줄!V:V,"2602")</f>
        <v/>
      </c>
      <c r="W74" s="280">
        <f>$G74+U74-S74</f>
        <v/>
      </c>
      <c r="X74" s="277">
        <f>$G74+V74-T74</f>
        <v/>
      </c>
      <c r="Y74" s="278" t="n">
        <v>0</v>
      </c>
      <c r="Z74" s="278" t="n">
        <v>0</v>
      </c>
      <c r="AA74" s="279">
        <f>ROUND((Y74+Z74)/2,0)</f>
        <v/>
      </c>
      <c r="AB74" s="11" t="n">
        <v>0</v>
      </c>
      <c r="AC74" s="9">
        <f>SUMIFS(입항스케줄!J:J,입항스케줄!C:C,PSI_메인!A74,입항스케줄!U:U,"2603")</f>
        <v/>
      </c>
      <c r="AD74" s="11">
        <f>SUMIFS(입항스케줄!J:J,입항스케줄!C:C,PSI_메인!A74,입항스케줄!V:V,"2603")</f>
        <v/>
      </c>
      <c r="AE74" s="280">
        <f>$G74+AC74-AA74</f>
        <v/>
      </c>
      <c r="AF74" s="277">
        <f>$G74+AD74-AB74</f>
        <v/>
      </c>
      <c r="AG74" s="278" t="n">
        <v>0</v>
      </c>
      <c r="AH74" s="278" t="n">
        <v>0</v>
      </c>
      <c r="AI74" s="279">
        <f>ROUND((AG74+AH74)/2,0)</f>
        <v/>
      </c>
      <c r="AJ74" s="11" t="n">
        <v>0</v>
      </c>
      <c r="AK74" s="9">
        <f>SUMIFS(입항스케줄!J:J,입항스케줄!C:C,PSI_메인!A74,입항스케줄!U:U,"2604")</f>
        <v/>
      </c>
      <c r="AL74" s="11">
        <f>SUMIFS(입항스케줄!J:J,입항스케줄!C:C,PSI_메인!A74,입항스케줄!V:V,"2604")</f>
        <v/>
      </c>
      <c r="AM74" s="280">
        <f>$G74+AK74-AI74</f>
        <v/>
      </c>
      <c r="AN74" s="277">
        <f>$G74+AL74-AJ74</f>
        <v/>
      </c>
      <c r="AO74" s="278" t="n">
        <v>0</v>
      </c>
      <c r="AP74" s="278" t="n">
        <v>0</v>
      </c>
      <c r="AQ74" s="279">
        <f>ROUND((AO74+AP74)/2,0)</f>
        <v/>
      </c>
      <c r="AR74" s="11" t="n">
        <v>0</v>
      </c>
      <c r="AS74" s="9" t="n"/>
      <c r="AT74" s="277" t="n"/>
      <c r="AU74" s="280">
        <f>$G74+AS74-AQ74</f>
        <v/>
      </c>
      <c r="AV74" s="277">
        <f>$G74+AT74-AR74</f>
        <v/>
      </c>
      <c r="AW74" s="278" t="n">
        <v>0</v>
      </c>
      <c r="AX74" s="278" t="n">
        <v>0</v>
      </c>
      <c r="AY74" s="279">
        <f>ROUND((AW74+AX74)/2,0)</f>
        <v/>
      </c>
      <c r="AZ74" s="11" t="n">
        <v>0</v>
      </c>
      <c r="BA74" s="9" t="n"/>
      <c r="BB74" s="11" t="n"/>
      <c r="BC74" s="280">
        <f>$G74+BA74-AY74</f>
        <v/>
      </c>
      <c r="BD74" s="277">
        <f>$G74+BB74-AZ74</f>
        <v/>
      </c>
      <c r="BE74" s="278" t="n">
        <v>0</v>
      </c>
      <c r="BF74" s="278" t="n">
        <v>0</v>
      </c>
      <c r="BG74" s="279">
        <f>ROUND((BE74+BF74)/2,0)</f>
        <v/>
      </c>
      <c r="BH74" s="11" t="n">
        <v>0</v>
      </c>
      <c r="BI74" s="278" t="n"/>
      <c r="BJ74" s="11" t="n"/>
      <c r="BK74" s="280">
        <f>$G74+BI74-BG74</f>
        <v/>
      </c>
      <c r="BL74" s="277">
        <f>$G74+BJ74-BH74</f>
        <v/>
      </c>
      <c r="BM74" s="278" t="n">
        <v>0</v>
      </c>
      <c r="BN74" s="278" t="n">
        <v>0</v>
      </c>
      <c r="BO74" s="279">
        <f>ROUND((BM74+BN74)/2,0)</f>
        <v/>
      </c>
      <c r="BP74" s="11" t="n">
        <v>0</v>
      </c>
      <c r="BQ74" s="278" t="n"/>
      <c r="BR74" s="11" t="n"/>
      <c r="BS74" s="280">
        <f>$G74+BQ74-BO74</f>
        <v/>
      </c>
      <c r="BT74" s="277">
        <f>$G74+BR74-BP74</f>
        <v/>
      </c>
      <c r="BU74" s="278" t="n">
        <v>0</v>
      </c>
      <c r="BV74" s="278" t="n">
        <v>0</v>
      </c>
      <c r="BW74" s="279">
        <f>ROUND((BU74+BV74)/2,0)</f>
        <v/>
      </c>
      <c r="BX74" s="11" t="n">
        <v>0</v>
      </c>
      <c r="BY74" s="278" t="n"/>
      <c r="BZ74" s="11" t="n"/>
      <c r="CA74" s="280">
        <f>$G74+BY74-BW74</f>
        <v/>
      </c>
      <c r="CB74" s="277">
        <f>$G74+BZ74-BX74</f>
        <v/>
      </c>
      <c r="CC74" s="278" t="n">
        <v>0</v>
      </c>
      <c r="CD74" s="278" t="n">
        <v>0</v>
      </c>
      <c r="CE74" s="279">
        <f>ROUND((CC74+CD74)/2,0)</f>
        <v/>
      </c>
      <c r="CF74" s="11" t="n">
        <v>0</v>
      </c>
      <c r="CG74" s="278" t="n"/>
      <c r="CH74" s="11" t="n"/>
      <c r="CI74" s="280">
        <f>$G74+CG74-CE74</f>
        <v/>
      </c>
      <c r="CJ74" s="277">
        <f>$G74+CH74-CF74</f>
        <v/>
      </c>
      <c r="CK74" s="278" t="n">
        <v>0</v>
      </c>
      <c r="CL74" s="278" t="n">
        <v>0</v>
      </c>
      <c r="CM74" s="279">
        <f>ROUND((CK74+CL74)/2,0)</f>
        <v/>
      </c>
      <c r="CN74" s="11" t="n">
        <v>0</v>
      </c>
      <c r="CO74" s="278" t="n"/>
      <c r="CP74" s="277" t="n"/>
      <c r="CQ74" s="280">
        <f>$G74+CO74-CM74</f>
        <v/>
      </c>
      <c r="CR74" s="277">
        <f>$G74+CP74-CN74</f>
        <v/>
      </c>
      <c r="CS74" s="278" t="n">
        <v>0</v>
      </c>
      <c r="CT74" s="278" t="n">
        <v>0</v>
      </c>
      <c r="CU74" s="279">
        <f>ROUND((CS74+CT74)/2,0)</f>
        <v/>
      </c>
      <c r="CV74" s="11" t="n">
        <v>0</v>
      </c>
      <c r="CW74" s="278" t="n"/>
      <c r="CX74" s="277" t="n"/>
      <c r="CY74" s="280">
        <f>$G74+CW74-CU74</f>
        <v/>
      </c>
      <c r="CZ74" s="277">
        <f>$G74+CX74-CV74</f>
        <v/>
      </c>
    </row>
    <row r="75" ht="17.25" customHeight="1" s="480">
      <c r="A75" s="28" t="inlineStr">
        <is>
          <t>ABC72</t>
        </is>
      </c>
      <c r="B75" s="379" t="n"/>
      <c r="C75" s="27" t="n"/>
      <c r="D75" s="28">
        <f>_xlfn.XLOOKUP(A75,'ABC-XYZ분석 (2)'!C:C,'ABC-XYZ분석 (2)'!I:I)</f>
        <v/>
      </c>
      <c r="E75" s="28">
        <f>_xlfn.XLOOKUP(A75,'ABC-XYZ분석 (2)'!C:C,'ABC-XYZ분석 (2)'!AC:AC)</f>
        <v/>
      </c>
      <c r="F75" s="3">
        <f>_xlfn.XLOOKUP(A75,'ABC-XYZ분석 (2)'!C:C,'ABC-XYZ분석 (2)'!AG:AG)</f>
        <v/>
      </c>
      <c r="G75" s="14">
        <f>SUMIF(재고!C:C,PSI_메인!A75,재고!I:I)</f>
        <v/>
      </c>
      <c r="H75" s="277" t="n">
        <v>418</v>
      </c>
      <c r="I75" s="278" t="n">
        <v>0</v>
      </c>
      <c r="J75" s="278" t="n">
        <v>0</v>
      </c>
      <c r="K75" s="279" t="n">
        <v>75</v>
      </c>
      <c r="L75" s="11" t="n">
        <v>0</v>
      </c>
      <c r="M75" s="9">
        <f>SUMIFS(입항스케줄!J:J,입항스케줄!C:C,PSI_메인!A75,입항스케줄!U:U,"2601")</f>
        <v/>
      </c>
      <c r="N75" s="11">
        <f>SUMIFS(입항스케줄!J:J,입항스케줄!C:C,PSI_메인!A75,입항스케줄!V:V,"2601")</f>
        <v/>
      </c>
      <c r="O75" s="280">
        <f>$G75+M75-K75</f>
        <v/>
      </c>
      <c r="P75" s="277">
        <f>$G75+N75-L75</f>
        <v/>
      </c>
      <c r="Q75" s="278" t="n">
        <v>0</v>
      </c>
      <c r="R75" s="278" t="n">
        <v>0</v>
      </c>
      <c r="S75" s="10" t="n">
        <v>150</v>
      </c>
      <c r="T75" s="11" t="n">
        <v>0</v>
      </c>
      <c r="U75" s="9">
        <f>SUMIFS(입항스케줄!J:J,입항스케줄!C:C,PSI_메인!A75,입항스케줄!U:U,"2602")</f>
        <v/>
      </c>
      <c r="V75" s="11">
        <f>SUMIFS(입항스케줄!J:J,입항스케줄!C:C,PSI_메인!A75,입항스케줄!V:V,"2602")</f>
        <v/>
      </c>
      <c r="W75" s="280">
        <f>$G75+U75-S75</f>
        <v/>
      </c>
      <c r="X75" s="277">
        <f>$G75+V75-T75</f>
        <v/>
      </c>
      <c r="Y75" s="278" t="n">
        <v>0</v>
      </c>
      <c r="Z75" s="278" t="n">
        <v>0</v>
      </c>
      <c r="AA75" s="279">
        <f>ROUND((Y75+Z75)/2,0)</f>
        <v/>
      </c>
      <c r="AB75" s="11" t="n">
        <v>0</v>
      </c>
      <c r="AC75" s="9">
        <f>SUMIFS(입항스케줄!J:J,입항스케줄!C:C,PSI_메인!A75,입항스케줄!U:U,"2603")</f>
        <v/>
      </c>
      <c r="AD75" s="11">
        <f>SUMIFS(입항스케줄!J:J,입항스케줄!C:C,PSI_메인!A75,입항스케줄!V:V,"2603")</f>
        <v/>
      </c>
      <c r="AE75" s="280">
        <f>$G75+AC75-AA75</f>
        <v/>
      </c>
      <c r="AF75" s="277">
        <f>$G75+AD75-AB75</f>
        <v/>
      </c>
      <c r="AG75" s="278" t="n">
        <v>0</v>
      </c>
      <c r="AH75" s="278" t="n">
        <v>0</v>
      </c>
      <c r="AI75" s="279">
        <f>ROUND((AG75+AH75)/2,0)</f>
        <v/>
      </c>
      <c r="AJ75" s="11" t="n">
        <v>0</v>
      </c>
      <c r="AK75" s="9">
        <f>SUMIFS(입항스케줄!J:J,입항스케줄!C:C,PSI_메인!A75,입항스케줄!U:U,"2604")</f>
        <v/>
      </c>
      <c r="AL75" s="11">
        <f>SUMIFS(입항스케줄!J:J,입항스케줄!C:C,PSI_메인!A75,입항스케줄!V:V,"2604")</f>
        <v/>
      </c>
      <c r="AM75" s="280">
        <f>$G75+AK75-AI75</f>
        <v/>
      </c>
      <c r="AN75" s="277">
        <f>$G75+AL75-AJ75</f>
        <v/>
      </c>
      <c r="AO75" s="278" t="n">
        <v>0</v>
      </c>
      <c r="AP75" s="278" t="n">
        <v>0</v>
      </c>
      <c r="AQ75" s="279">
        <f>ROUND((AO75+AP75)/2,0)</f>
        <v/>
      </c>
      <c r="AR75" s="11" t="n">
        <v>0</v>
      </c>
      <c r="AS75" s="9" t="n"/>
      <c r="AT75" s="277" t="n"/>
      <c r="AU75" s="280">
        <f>$G75+AS75-AQ75</f>
        <v/>
      </c>
      <c r="AV75" s="277">
        <f>$G75+AT75-AR75</f>
        <v/>
      </c>
      <c r="AW75" s="278" t="n">
        <v>0</v>
      </c>
      <c r="AX75" s="278" t="n">
        <v>0</v>
      </c>
      <c r="AY75" s="279">
        <f>ROUND((AW75+AX75)/2,0)</f>
        <v/>
      </c>
      <c r="AZ75" s="11" t="n">
        <v>0</v>
      </c>
      <c r="BA75" s="9" t="n"/>
      <c r="BB75" s="11" t="n"/>
      <c r="BC75" s="280">
        <f>$G75+BA75-AY75</f>
        <v/>
      </c>
      <c r="BD75" s="277">
        <f>$G75+BB75-AZ75</f>
        <v/>
      </c>
      <c r="BE75" s="278" t="n">
        <v>0</v>
      </c>
      <c r="BF75" s="278" t="n">
        <v>0</v>
      </c>
      <c r="BG75" s="279">
        <f>ROUND((BE75+BF75)/2,0)</f>
        <v/>
      </c>
      <c r="BH75" s="11" t="n">
        <v>0</v>
      </c>
      <c r="BI75" s="278" t="n"/>
      <c r="BJ75" s="11" t="n"/>
      <c r="BK75" s="280">
        <f>$G75+BI75-BG75</f>
        <v/>
      </c>
      <c r="BL75" s="277">
        <f>$G75+BJ75-BH75</f>
        <v/>
      </c>
      <c r="BM75" s="278" t="n">
        <v>0</v>
      </c>
      <c r="BN75" s="278" t="n">
        <v>0</v>
      </c>
      <c r="BO75" s="279">
        <f>ROUND((BM75+BN75)/2,0)</f>
        <v/>
      </c>
      <c r="BP75" s="11" t="n">
        <v>0</v>
      </c>
      <c r="BQ75" s="278" t="n"/>
      <c r="BR75" s="11" t="n"/>
      <c r="BS75" s="280">
        <f>$G75+BQ75-BO75</f>
        <v/>
      </c>
      <c r="BT75" s="277">
        <f>$G75+BR75-BP75</f>
        <v/>
      </c>
      <c r="BU75" s="278" t="n">
        <v>0</v>
      </c>
      <c r="BV75" s="278" t="n">
        <v>0</v>
      </c>
      <c r="BW75" s="279">
        <f>ROUND((BU75+BV75)/2,0)</f>
        <v/>
      </c>
      <c r="BX75" s="11" t="n">
        <v>0</v>
      </c>
      <c r="BY75" s="278" t="n"/>
      <c r="BZ75" s="11" t="n"/>
      <c r="CA75" s="280">
        <f>$G75+BY75-BW75</f>
        <v/>
      </c>
      <c r="CB75" s="277">
        <f>$G75+BZ75-BX75</f>
        <v/>
      </c>
      <c r="CC75" s="278" t="n">
        <v>0</v>
      </c>
      <c r="CD75" s="278" t="n">
        <v>0</v>
      </c>
      <c r="CE75" s="279">
        <f>ROUND((CC75+CD75)/2,0)</f>
        <v/>
      </c>
      <c r="CF75" s="11" t="n">
        <v>0</v>
      </c>
      <c r="CG75" s="278" t="n"/>
      <c r="CH75" s="11" t="n"/>
      <c r="CI75" s="280">
        <f>$G75+CG75-CE75</f>
        <v/>
      </c>
      <c r="CJ75" s="277">
        <f>$G75+CH75-CF75</f>
        <v/>
      </c>
      <c r="CK75" s="278" t="n">
        <v>0</v>
      </c>
      <c r="CL75" s="278" t="n">
        <v>0</v>
      </c>
      <c r="CM75" s="279">
        <f>ROUND((CK75+CL75)/2,0)</f>
        <v/>
      </c>
      <c r="CN75" s="11" t="n">
        <v>0</v>
      </c>
      <c r="CO75" s="278" t="n"/>
      <c r="CP75" s="277" t="n"/>
      <c r="CQ75" s="280">
        <f>$G75+CO75-CM75</f>
        <v/>
      </c>
      <c r="CR75" s="277">
        <f>$G75+CP75-CN75</f>
        <v/>
      </c>
      <c r="CS75" s="278" t="n">
        <v>0</v>
      </c>
      <c r="CT75" s="278" t="n">
        <v>0</v>
      </c>
      <c r="CU75" s="279">
        <f>ROUND((CS75+CT75)/2,0)</f>
        <v/>
      </c>
      <c r="CV75" s="11" t="n">
        <v>0</v>
      </c>
      <c r="CW75" s="278" t="n"/>
      <c r="CX75" s="277" t="n"/>
      <c r="CY75" s="280">
        <f>$G75+CW75-CU75</f>
        <v/>
      </c>
      <c r="CZ75" s="277">
        <f>$G75+CX75-CV75</f>
        <v/>
      </c>
    </row>
    <row r="76" ht="17.25" customHeight="1" s="480">
      <c r="A76" s="28" t="inlineStr">
        <is>
          <t>ABC73</t>
        </is>
      </c>
      <c r="B76" s="379" t="n"/>
      <c r="C76" s="27" t="n"/>
      <c r="D76" s="28">
        <f>_xlfn.XLOOKUP(A76,'ABC-XYZ분석 (2)'!C:C,'ABC-XYZ분석 (2)'!I:I)</f>
        <v/>
      </c>
      <c r="E76" s="28">
        <f>_xlfn.XLOOKUP(A76,'ABC-XYZ분석 (2)'!C:C,'ABC-XYZ분석 (2)'!AC:AC)</f>
        <v/>
      </c>
      <c r="F76" s="3">
        <f>_xlfn.XLOOKUP(A76,'ABC-XYZ분석 (2)'!C:C,'ABC-XYZ분석 (2)'!AG:AG)</f>
        <v/>
      </c>
      <c r="G76" s="14">
        <f>SUMIF(재고!C:C,PSI_메인!A76,재고!I:I)</f>
        <v/>
      </c>
      <c r="H76" s="277" t="n">
        <v>8</v>
      </c>
      <c r="I76" s="278" t="n">
        <v>0</v>
      </c>
      <c r="J76" s="278" t="n">
        <v>0</v>
      </c>
      <c r="K76" s="279" t="n">
        <v>0</v>
      </c>
      <c r="L76" s="11" t="n">
        <v>0</v>
      </c>
      <c r="M76" s="9">
        <f>SUMIFS(입항스케줄!J:J,입항스케줄!C:C,PSI_메인!A76,입항스케줄!U:U,"2601")</f>
        <v/>
      </c>
      <c r="N76" s="11">
        <f>SUMIFS(입항스케줄!J:J,입항스케줄!C:C,PSI_메인!A76,입항스케줄!V:V,"2601")</f>
        <v/>
      </c>
      <c r="O76" s="280">
        <f>$G76+M76-K76</f>
        <v/>
      </c>
      <c r="P76" s="277">
        <f>$G76+N76-L76</f>
        <v/>
      </c>
      <c r="Q76" s="278" t="n">
        <v>0</v>
      </c>
      <c r="R76" s="278" t="n">
        <v>0</v>
      </c>
      <c r="S76" s="10" t="n">
        <v>0</v>
      </c>
      <c r="T76" s="11" t="n">
        <v>0</v>
      </c>
      <c r="U76" s="9">
        <f>SUMIFS(입항스케줄!J:J,입항스케줄!C:C,PSI_메인!A76,입항스케줄!U:U,"2602")</f>
        <v/>
      </c>
      <c r="V76" s="11">
        <f>SUMIFS(입항스케줄!J:J,입항스케줄!C:C,PSI_메인!A76,입항스케줄!V:V,"2602")</f>
        <v/>
      </c>
      <c r="W76" s="280">
        <f>$G76+U76-S76</f>
        <v/>
      </c>
      <c r="X76" s="277">
        <f>$G76+V76-T76</f>
        <v/>
      </c>
      <c r="Y76" s="278" t="n">
        <v>0</v>
      </c>
      <c r="Z76" s="278" t="n">
        <v>0</v>
      </c>
      <c r="AA76" s="279">
        <f>ROUND((Y76+Z76)/2,0)</f>
        <v/>
      </c>
      <c r="AB76" s="11" t="n">
        <v>0</v>
      </c>
      <c r="AC76" s="9">
        <f>SUMIFS(입항스케줄!J:J,입항스케줄!C:C,PSI_메인!A76,입항스케줄!U:U,"2603")</f>
        <v/>
      </c>
      <c r="AD76" s="11">
        <f>SUMIFS(입항스케줄!J:J,입항스케줄!C:C,PSI_메인!A76,입항스케줄!V:V,"2603")</f>
        <v/>
      </c>
      <c r="AE76" s="280">
        <f>$G76+AC76-AA76</f>
        <v/>
      </c>
      <c r="AF76" s="277">
        <f>$G76+AD76-AB76</f>
        <v/>
      </c>
      <c r="AG76" s="278" t="n">
        <v>0</v>
      </c>
      <c r="AH76" s="278" t="n">
        <v>0</v>
      </c>
      <c r="AI76" s="279">
        <f>ROUND((AG76+AH76)/2,0)</f>
        <v/>
      </c>
      <c r="AJ76" s="11" t="n">
        <v>0</v>
      </c>
      <c r="AK76" s="9">
        <f>SUMIFS(입항스케줄!J:J,입항스케줄!C:C,PSI_메인!A76,입항스케줄!U:U,"2604")</f>
        <v/>
      </c>
      <c r="AL76" s="11">
        <f>SUMIFS(입항스케줄!J:J,입항스케줄!C:C,PSI_메인!A76,입항스케줄!V:V,"2604")</f>
        <v/>
      </c>
      <c r="AM76" s="280">
        <f>$G76+AK76-AI76</f>
        <v/>
      </c>
      <c r="AN76" s="277">
        <f>$G76+AL76-AJ76</f>
        <v/>
      </c>
      <c r="AO76" s="278" t="n">
        <v>0</v>
      </c>
      <c r="AP76" s="278" t="n">
        <v>0</v>
      </c>
      <c r="AQ76" s="279">
        <f>ROUND((AO76+AP76)/2,0)</f>
        <v/>
      </c>
      <c r="AR76" s="11" t="n">
        <v>0</v>
      </c>
      <c r="AS76" s="9" t="n"/>
      <c r="AT76" s="277" t="n"/>
      <c r="AU76" s="280">
        <f>$G76+AS76-AQ76</f>
        <v/>
      </c>
      <c r="AV76" s="277">
        <f>$G76+AT76-AR76</f>
        <v/>
      </c>
      <c r="AW76" s="278" t="n">
        <v>0</v>
      </c>
      <c r="AX76" s="278" t="n">
        <v>0</v>
      </c>
      <c r="AY76" s="279">
        <f>ROUND((AW76+AX76)/2,0)</f>
        <v/>
      </c>
      <c r="AZ76" s="11" t="n">
        <v>0</v>
      </c>
      <c r="BA76" s="9" t="n"/>
      <c r="BB76" s="11" t="n"/>
      <c r="BC76" s="280">
        <f>$G76+BA76-AY76</f>
        <v/>
      </c>
      <c r="BD76" s="277">
        <f>$G76+BB76-AZ76</f>
        <v/>
      </c>
      <c r="BE76" s="278" t="n">
        <v>0</v>
      </c>
      <c r="BF76" s="278" t="n">
        <v>0</v>
      </c>
      <c r="BG76" s="279">
        <f>ROUND((BE76+BF76)/2,0)</f>
        <v/>
      </c>
      <c r="BH76" s="11" t="n">
        <v>0</v>
      </c>
      <c r="BI76" s="278" t="n"/>
      <c r="BJ76" s="11" t="n"/>
      <c r="BK76" s="280">
        <f>$G76+BI76-BG76</f>
        <v/>
      </c>
      <c r="BL76" s="277">
        <f>$G76+BJ76-BH76</f>
        <v/>
      </c>
      <c r="BM76" s="278" t="n">
        <v>0</v>
      </c>
      <c r="BN76" s="278" t="n">
        <v>0</v>
      </c>
      <c r="BO76" s="279">
        <f>ROUND((BM76+BN76)/2,0)</f>
        <v/>
      </c>
      <c r="BP76" s="11" t="n">
        <v>0</v>
      </c>
      <c r="BQ76" s="278" t="n"/>
      <c r="BR76" s="11" t="n"/>
      <c r="BS76" s="280">
        <f>$G76+BQ76-BO76</f>
        <v/>
      </c>
      <c r="BT76" s="277">
        <f>$G76+BR76-BP76</f>
        <v/>
      </c>
      <c r="BU76" s="278" t="n">
        <v>0</v>
      </c>
      <c r="BV76" s="278" t="n">
        <v>0</v>
      </c>
      <c r="BW76" s="279">
        <f>ROUND((BU76+BV76)/2,0)</f>
        <v/>
      </c>
      <c r="BX76" s="11" t="n">
        <v>0</v>
      </c>
      <c r="BY76" s="278" t="n"/>
      <c r="BZ76" s="11" t="n"/>
      <c r="CA76" s="280">
        <f>$G76+BY76-BW76</f>
        <v/>
      </c>
      <c r="CB76" s="277">
        <f>$G76+BZ76-BX76</f>
        <v/>
      </c>
      <c r="CC76" s="278" t="n">
        <v>0</v>
      </c>
      <c r="CD76" s="278" t="n">
        <v>0</v>
      </c>
      <c r="CE76" s="279">
        <f>ROUND((CC76+CD76)/2,0)</f>
        <v/>
      </c>
      <c r="CF76" s="11" t="n">
        <v>0</v>
      </c>
      <c r="CG76" s="278" t="n"/>
      <c r="CH76" s="11" t="n"/>
      <c r="CI76" s="280">
        <f>$G76+CG76-CE76</f>
        <v/>
      </c>
      <c r="CJ76" s="277">
        <f>$G76+CH76-CF76</f>
        <v/>
      </c>
      <c r="CK76" s="278" t="n">
        <v>0</v>
      </c>
      <c r="CL76" s="278" t="n">
        <v>0</v>
      </c>
      <c r="CM76" s="279">
        <f>ROUND((CK76+CL76)/2,0)</f>
        <v/>
      </c>
      <c r="CN76" s="11" t="n">
        <v>0</v>
      </c>
      <c r="CO76" s="278" t="n"/>
      <c r="CP76" s="277" t="n"/>
      <c r="CQ76" s="280">
        <f>$G76+CO76-CM76</f>
        <v/>
      </c>
      <c r="CR76" s="277">
        <f>$G76+CP76-CN76</f>
        <v/>
      </c>
      <c r="CS76" s="278" t="n">
        <v>0</v>
      </c>
      <c r="CT76" s="278" t="n">
        <v>0</v>
      </c>
      <c r="CU76" s="279">
        <f>ROUND((CS76+CT76)/2,0)</f>
        <v/>
      </c>
      <c r="CV76" s="11" t="n">
        <v>0</v>
      </c>
      <c r="CW76" s="278" t="n"/>
      <c r="CX76" s="277" t="n"/>
      <c r="CY76" s="280">
        <f>$G76+CW76-CU76</f>
        <v/>
      </c>
      <c r="CZ76" s="277">
        <f>$G76+CX76-CV76</f>
        <v/>
      </c>
    </row>
    <row r="77" ht="17.25" customHeight="1" s="480">
      <c r="A77" s="28" t="inlineStr">
        <is>
          <t>ABC74</t>
        </is>
      </c>
      <c r="B77" s="379" t="n"/>
      <c r="C77" s="27" t="n"/>
      <c r="D77" s="28">
        <f>_xlfn.XLOOKUP(A77,'ABC-XYZ분석 (2)'!C:C,'ABC-XYZ분석 (2)'!I:I)</f>
        <v/>
      </c>
      <c r="E77" s="28">
        <f>_xlfn.XLOOKUP(A77,'ABC-XYZ분석 (2)'!C:C,'ABC-XYZ분석 (2)'!AC:AC)</f>
        <v/>
      </c>
      <c r="F77" s="3">
        <f>_xlfn.XLOOKUP(A77,'ABC-XYZ분석 (2)'!C:C,'ABC-XYZ분석 (2)'!AG:AG)</f>
        <v/>
      </c>
      <c r="G77" s="14">
        <f>SUMIF(재고!C:C,PSI_메인!A77,재고!I:I)</f>
        <v/>
      </c>
      <c r="H77" s="277" t="n">
        <v>689</v>
      </c>
      <c r="I77" s="278" t="n">
        <v>0</v>
      </c>
      <c r="J77" s="278" t="n">
        <v>0</v>
      </c>
      <c r="K77" s="279" t="n">
        <v>250</v>
      </c>
      <c r="L77" s="11" t="n">
        <v>0</v>
      </c>
      <c r="M77" s="9">
        <f>SUMIFS(입항스케줄!J:J,입항스케줄!C:C,PSI_메인!A77,입항스케줄!U:U,"2601")</f>
        <v/>
      </c>
      <c r="N77" s="11">
        <f>SUMIFS(입항스케줄!J:J,입항스케줄!C:C,PSI_메인!A77,입항스케줄!V:V,"2601")</f>
        <v/>
      </c>
      <c r="O77" s="280">
        <f>$G77+M77-K77</f>
        <v/>
      </c>
      <c r="P77" s="277">
        <f>$G77+N77-L77</f>
        <v/>
      </c>
      <c r="Q77" s="278" t="n">
        <v>0</v>
      </c>
      <c r="R77" s="278" t="n">
        <v>0</v>
      </c>
      <c r="S77" s="10" t="n">
        <v>0</v>
      </c>
      <c r="T77" s="11" t="n">
        <v>0</v>
      </c>
      <c r="U77" s="9">
        <f>SUMIFS(입항스케줄!J:J,입항스케줄!C:C,PSI_메인!A77,입항스케줄!U:U,"2602")</f>
        <v/>
      </c>
      <c r="V77" s="11">
        <f>SUMIFS(입항스케줄!J:J,입항스케줄!C:C,PSI_메인!A77,입항스케줄!V:V,"2602")</f>
        <v/>
      </c>
      <c r="W77" s="280">
        <f>$G77+U77-S77</f>
        <v/>
      </c>
      <c r="X77" s="277">
        <f>$G77+V77-T77</f>
        <v/>
      </c>
      <c r="Y77" s="278" t="n">
        <v>0</v>
      </c>
      <c r="Z77" s="278" t="n">
        <v>0</v>
      </c>
      <c r="AA77" s="279">
        <f>ROUND((Y77+Z77)/2,0)</f>
        <v/>
      </c>
      <c r="AB77" s="11" t="n">
        <v>0</v>
      </c>
      <c r="AC77" s="9">
        <f>SUMIFS(입항스케줄!J:J,입항스케줄!C:C,PSI_메인!A77,입항스케줄!U:U,"2603")</f>
        <v/>
      </c>
      <c r="AD77" s="11">
        <f>SUMIFS(입항스케줄!J:J,입항스케줄!C:C,PSI_메인!A77,입항스케줄!V:V,"2603")</f>
        <v/>
      </c>
      <c r="AE77" s="280">
        <f>$G77+AC77-AA77</f>
        <v/>
      </c>
      <c r="AF77" s="277">
        <f>$G77+AD77-AB77</f>
        <v/>
      </c>
      <c r="AG77" s="278" t="n">
        <v>0</v>
      </c>
      <c r="AH77" s="278" t="n">
        <v>0</v>
      </c>
      <c r="AI77" s="279">
        <f>ROUND((AG77+AH77)/2,0)</f>
        <v/>
      </c>
      <c r="AJ77" s="11" t="n">
        <v>0</v>
      </c>
      <c r="AK77" s="9">
        <f>SUMIFS(입항스케줄!J:J,입항스케줄!C:C,PSI_메인!A77,입항스케줄!U:U,"2604")</f>
        <v/>
      </c>
      <c r="AL77" s="11">
        <f>SUMIFS(입항스케줄!J:J,입항스케줄!C:C,PSI_메인!A77,입항스케줄!V:V,"2604")</f>
        <v/>
      </c>
      <c r="AM77" s="280">
        <f>$G77+AK77-AI77</f>
        <v/>
      </c>
      <c r="AN77" s="277">
        <f>$G77+AL77-AJ77</f>
        <v/>
      </c>
      <c r="AO77" s="278" t="n">
        <v>0</v>
      </c>
      <c r="AP77" s="278" t="n">
        <v>0</v>
      </c>
      <c r="AQ77" s="279">
        <f>ROUND((AO77+AP77)/2,0)</f>
        <v/>
      </c>
      <c r="AR77" s="11" t="n">
        <v>0</v>
      </c>
      <c r="AS77" s="9" t="n"/>
      <c r="AT77" s="277" t="n"/>
      <c r="AU77" s="280">
        <f>$G77+AS77-AQ77</f>
        <v/>
      </c>
      <c r="AV77" s="277">
        <f>$G77+AT77-AR77</f>
        <v/>
      </c>
      <c r="AW77" s="278" t="n">
        <v>0</v>
      </c>
      <c r="AX77" s="278" t="n">
        <v>0</v>
      </c>
      <c r="AY77" s="279">
        <f>ROUND((AW77+AX77)/2,0)</f>
        <v/>
      </c>
      <c r="AZ77" s="11" t="n">
        <v>0</v>
      </c>
      <c r="BA77" s="9" t="n"/>
      <c r="BB77" s="11" t="n"/>
      <c r="BC77" s="280">
        <f>$G77+BA77-AY77</f>
        <v/>
      </c>
      <c r="BD77" s="277">
        <f>$G77+BB77-AZ77</f>
        <v/>
      </c>
      <c r="BE77" s="278" t="n">
        <v>0</v>
      </c>
      <c r="BF77" s="278" t="n">
        <v>0</v>
      </c>
      <c r="BG77" s="279">
        <f>ROUND((BE77+BF77)/2,0)</f>
        <v/>
      </c>
      <c r="BH77" s="11" t="n">
        <v>0</v>
      </c>
      <c r="BI77" s="278" t="n"/>
      <c r="BJ77" s="11" t="n"/>
      <c r="BK77" s="280">
        <f>$G77+BI77-BG77</f>
        <v/>
      </c>
      <c r="BL77" s="277">
        <f>$G77+BJ77-BH77</f>
        <v/>
      </c>
      <c r="BM77" s="278" t="n">
        <v>0</v>
      </c>
      <c r="BN77" s="278" t="n">
        <v>0</v>
      </c>
      <c r="BO77" s="279">
        <f>ROUND((BM77+BN77)/2,0)</f>
        <v/>
      </c>
      <c r="BP77" s="11" t="n">
        <v>0</v>
      </c>
      <c r="BQ77" s="278" t="n"/>
      <c r="BR77" s="11" t="n"/>
      <c r="BS77" s="280">
        <f>$G77+BQ77-BO77</f>
        <v/>
      </c>
      <c r="BT77" s="277">
        <f>$G77+BR77-BP77</f>
        <v/>
      </c>
      <c r="BU77" s="278" t="n">
        <v>0</v>
      </c>
      <c r="BV77" s="278" t="n">
        <v>0</v>
      </c>
      <c r="BW77" s="279">
        <f>ROUND((BU77+BV77)/2,0)</f>
        <v/>
      </c>
      <c r="BX77" s="11" t="n">
        <v>0</v>
      </c>
      <c r="BY77" s="278" t="n"/>
      <c r="BZ77" s="11" t="n"/>
      <c r="CA77" s="280">
        <f>$G77+BY77-BW77</f>
        <v/>
      </c>
      <c r="CB77" s="277">
        <f>$G77+BZ77-BX77</f>
        <v/>
      </c>
      <c r="CC77" s="278" t="n">
        <v>0</v>
      </c>
      <c r="CD77" s="278" t="n">
        <v>0</v>
      </c>
      <c r="CE77" s="279">
        <f>ROUND((CC77+CD77)/2,0)</f>
        <v/>
      </c>
      <c r="CF77" s="11" t="n">
        <v>0</v>
      </c>
      <c r="CG77" s="278" t="n"/>
      <c r="CH77" s="11" t="n"/>
      <c r="CI77" s="280">
        <f>$G77+CG77-CE77</f>
        <v/>
      </c>
      <c r="CJ77" s="277">
        <f>$G77+CH77-CF77</f>
        <v/>
      </c>
      <c r="CK77" s="278" t="n">
        <v>0</v>
      </c>
      <c r="CL77" s="278" t="n">
        <v>0</v>
      </c>
      <c r="CM77" s="279">
        <f>ROUND((CK77+CL77)/2,0)</f>
        <v/>
      </c>
      <c r="CN77" s="11" t="n">
        <v>0</v>
      </c>
      <c r="CO77" s="278" t="n"/>
      <c r="CP77" s="277" t="n"/>
      <c r="CQ77" s="280">
        <f>$G77+CO77-CM77</f>
        <v/>
      </c>
      <c r="CR77" s="277">
        <f>$G77+CP77-CN77</f>
        <v/>
      </c>
      <c r="CS77" s="278" t="n">
        <v>0</v>
      </c>
      <c r="CT77" s="278" t="n">
        <v>0</v>
      </c>
      <c r="CU77" s="279">
        <f>ROUND((CS77+CT77)/2,0)</f>
        <v/>
      </c>
      <c r="CV77" s="11" t="n">
        <v>0</v>
      </c>
      <c r="CW77" s="278" t="n"/>
      <c r="CX77" s="277" t="n"/>
      <c r="CY77" s="280">
        <f>$G77+CW77-CU77</f>
        <v/>
      </c>
      <c r="CZ77" s="277">
        <f>$G77+CX77-CV77</f>
        <v/>
      </c>
    </row>
    <row r="78" ht="17.25" customHeight="1" s="480">
      <c r="A78" s="28" t="inlineStr">
        <is>
          <t>ABC75</t>
        </is>
      </c>
      <c r="B78" s="379" t="n"/>
      <c r="C78" s="27" t="n"/>
      <c r="D78" s="28">
        <f>_xlfn.XLOOKUP(A78,'ABC-XYZ분석 (2)'!C:C,'ABC-XYZ분석 (2)'!I:I)</f>
        <v/>
      </c>
      <c r="E78" s="28">
        <f>_xlfn.XLOOKUP(A78,'ABC-XYZ분석 (2)'!C:C,'ABC-XYZ분석 (2)'!AC:AC)</f>
        <v/>
      </c>
      <c r="F78" s="3">
        <f>_xlfn.XLOOKUP(A78,'ABC-XYZ분석 (2)'!C:C,'ABC-XYZ분석 (2)'!AG:AG)</f>
        <v/>
      </c>
      <c r="G78" s="14">
        <f>SUMIF(재고!C:C,PSI_메인!A78,재고!I:I)</f>
        <v/>
      </c>
      <c r="H78" s="277" t="n">
        <v>77</v>
      </c>
      <c r="I78" s="278" t="n">
        <v>0</v>
      </c>
      <c r="J78" s="278" t="n">
        <v>0</v>
      </c>
      <c r="K78" s="279" t="n">
        <v>0</v>
      </c>
      <c r="L78" s="11" t="n">
        <v>0</v>
      </c>
      <c r="M78" s="9">
        <f>SUMIFS(입항스케줄!J:J,입항스케줄!C:C,PSI_메인!A78,입항스케줄!U:U,"2601")</f>
        <v/>
      </c>
      <c r="N78" s="11">
        <f>SUMIFS(입항스케줄!J:J,입항스케줄!C:C,PSI_메인!A78,입항스케줄!V:V,"2601")</f>
        <v/>
      </c>
      <c r="O78" s="280">
        <f>$G78+M78-K78</f>
        <v/>
      </c>
      <c r="P78" s="277">
        <f>$G78+N78-L78</f>
        <v/>
      </c>
      <c r="Q78" s="278" t="n">
        <v>0</v>
      </c>
      <c r="R78" s="278" t="n">
        <v>0</v>
      </c>
      <c r="S78" s="10" t="n">
        <v>0</v>
      </c>
      <c r="T78" s="11" t="n">
        <v>0</v>
      </c>
      <c r="U78" s="9">
        <f>SUMIFS(입항스케줄!J:J,입항스케줄!C:C,PSI_메인!A78,입항스케줄!U:U,"2602")</f>
        <v/>
      </c>
      <c r="V78" s="11">
        <f>SUMIFS(입항스케줄!J:J,입항스케줄!C:C,PSI_메인!A78,입항스케줄!V:V,"2602")</f>
        <v/>
      </c>
      <c r="W78" s="280">
        <f>$G78+U78-S78</f>
        <v/>
      </c>
      <c r="X78" s="277">
        <f>$G78+V78-T78</f>
        <v/>
      </c>
      <c r="Y78" s="278" t="n">
        <v>0</v>
      </c>
      <c r="Z78" s="278" t="n">
        <v>0</v>
      </c>
      <c r="AA78" s="279">
        <f>ROUND((Y78+Z78)/2,0)</f>
        <v/>
      </c>
      <c r="AB78" s="11" t="n">
        <v>0</v>
      </c>
      <c r="AC78" s="9">
        <f>SUMIFS(입항스케줄!J:J,입항스케줄!C:C,PSI_메인!A78,입항스케줄!U:U,"2603")</f>
        <v/>
      </c>
      <c r="AD78" s="11">
        <f>SUMIFS(입항스케줄!J:J,입항스케줄!C:C,PSI_메인!A78,입항스케줄!V:V,"2603")</f>
        <v/>
      </c>
      <c r="AE78" s="280">
        <f>$G78+AC78-AA78</f>
        <v/>
      </c>
      <c r="AF78" s="277">
        <f>$G78+AD78-AB78</f>
        <v/>
      </c>
      <c r="AG78" s="278" t="n">
        <v>0</v>
      </c>
      <c r="AH78" s="278" t="n">
        <v>0</v>
      </c>
      <c r="AI78" s="279">
        <f>ROUND((AG78+AH78)/2,0)</f>
        <v/>
      </c>
      <c r="AJ78" s="11" t="n">
        <v>0</v>
      </c>
      <c r="AK78" s="9">
        <f>SUMIFS(입항스케줄!J:J,입항스케줄!C:C,PSI_메인!A78,입항스케줄!U:U,"2604")</f>
        <v/>
      </c>
      <c r="AL78" s="11">
        <f>SUMIFS(입항스케줄!J:J,입항스케줄!C:C,PSI_메인!A78,입항스케줄!V:V,"2604")</f>
        <v/>
      </c>
      <c r="AM78" s="280">
        <f>$G78+AK78-AI78</f>
        <v/>
      </c>
      <c r="AN78" s="277">
        <f>$G78+AL78-AJ78</f>
        <v/>
      </c>
      <c r="AO78" s="278" t="n">
        <v>0</v>
      </c>
      <c r="AP78" s="278" t="n">
        <v>0</v>
      </c>
      <c r="AQ78" s="279">
        <f>ROUND((AO78+AP78)/2,0)</f>
        <v/>
      </c>
      <c r="AR78" s="11" t="n">
        <v>0</v>
      </c>
      <c r="AS78" s="9" t="n"/>
      <c r="AT78" s="277" t="n"/>
      <c r="AU78" s="280">
        <f>$G78+AS78-AQ78</f>
        <v/>
      </c>
      <c r="AV78" s="277">
        <f>$G78+AT78-AR78</f>
        <v/>
      </c>
      <c r="AW78" s="278" t="n">
        <v>0</v>
      </c>
      <c r="AX78" s="278" t="n">
        <v>0</v>
      </c>
      <c r="AY78" s="279">
        <f>ROUND((AW78+AX78)/2,0)</f>
        <v/>
      </c>
      <c r="AZ78" s="11" t="n">
        <v>0</v>
      </c>
      <c r="BA78" s="9" t="n"/>
      <c r="BB78" s="11" t="n"/>
      <c r="BC78" s="280">
        <f>$G78+BA78-AY78</f>
        <v/>
      </c>
      <c r="BD78" s="277">
        <f>$G78+BB78-AZ78</f>
        <v/>
      </c>
      <c r="BE78" s="278" t="n">
        <v>0</v>
      </c>
      <c r="BF78" s="278" t="n">
        <v>0</v>
      </c>
      <c r="BG78" s="279">
        <f>ROUND((BE78+BF78)/2,0)</f>
        <v/>
      </c>
      <c r="BH78" s="11" t="n">
        <v>0</v>
      </c>
      <c r="BI78" s="278" t="n"/>
      <c r="BJ78" s="11" t="n"/>
      <c r="BK78" s="280">
        <f>$G78+BI78-BG78</f>
        <v/>
      </c>
      <c r="BL78" s="277">
        <f>$G78+BJ78-BH78</f>
        <v/>
      </c>
      <c r="BM78" s="278" t="n">
        <v>0</v>
      </c>
      <c r="BN78" s="278" t="n">
        <v>0</v>
      </c>
      <c r="BO78" s="279">
        <f>ROUND((BM78+BN78)/2,0)</f>
        <v/>
      </c>
      <c r="BP78" s="11" t="n">
        <v>0</v>
      </c>
      <c r="BQ78" s="278" t="n"/>
      <c r="BR78" s="11" t="n"/>
      <c r="BS78" s="280">
        <f>$G78+BQ78-BO78</f>
        <v/>
      </c>
      <c r="BT78" s="277">
        <f>$G78+BR78-BP78</f>
        <v/>
      </c>
      <c r="BU78" s="278" t="n">
        <v>0</v>
      </c>
      <c r="BV78" s="278" t="n">
        <v>0</v>
      </c>
      <c r="BW78" s="279">
        <f>ROUND((BU78+BV78)/2,0)</f>
        <v/>
      </c>
      <c r="BX78" s="11" t="n">
        <v>0</v>
      </c>
      <c r="BY78" s="278" t="n"/>
      <c r="BZ78" s="11" t="n"/>
      <c r="CA78" s="280">
        <f>$G78+BY78-BW78</f>
        <v/>
      </c>
      <c r="CB78" s="277">
        <f>$G78+BZ78-BX78</f>
        <v/>
      </c>
      <c r="CC78" s="278" t="n">
        <v>0</v>
      </c>
      <c r="CD78" s="278" t="n">
        <v>0</v>
      </c>
      <c r="CE78" s="279">
        <f>ROUND((CC78+CD78)/2,0)</f>
        <v/>
      </c>
      <c r="CF78" s="11" t="n">
        <v>0</v>
      </c>
      <c r="CG78" s="278" t="n"/>
      <c r="CH78" s="11" t="n"/>
      <c r="CI78" s="280">
        <f>$G78+CG78-CE78</f>
        <v/>
      </c>
      <c r="CJ78" s="277">
        <f>$G78+CH78-CF78</f>
        <v/>
      </c>
      <c r="CK78" s="278" t="n">
        <v>0</v>
      </c>
      <c r="CL78" s="278" t="n">
        <v>0</v>
      </c>
      <c r="CM78" s="279">
        <f>ROUND((CK78+CL78)/2,0)</f>
        <v/>
      </c>
      <c r="CN78" s="11" t="n">
        <v>0</v>
      </c>
      <c r="CO78" s="278" t="n"/>
      <c r="CP78" s="277" t="n"/>
      <c r="CQ78" s="280">
        <f>$G78+CO78-CM78</f>
        <v/>
      </c>
      <c r="CR78" s="277">
        <f>$G78+CP78-CN78</f>
        <v/>
      </c>
      <c r="CS78" s="278" t="n">
        <v>0</v>
      </c>
      <c r="CT78" s="278" t="n">
        <v>0</v>
      </c>
      <c r="CU78" s="279">
        <f>ROUND((CS78+CT78)/2,0)</f>
        <v/>
      </c>
      <c r="CV78" s="11" t="n">
        <v>0</v>
      </c>
      <c r="CW78" s="278" t="n"/>
      <c r="CX78" s="277" t="n"/>
      <c r="CY78" s="280">
        <f>$G78+CW78-CU78</f>
        <v/>
      </c>
      <c r="CZ78" s="277">
        <f>$G78+CX78-CV78</f>
        <v/>
      </c>
    </row>
    <row r="79" ht="17.25" customHeight="1" s="480">
      <c r="A79" s="28" t="inlineStr">
        <is>
          <t>ABC76</t>
        </is>
      </c>
      <c r="B79" s="379" t="n"/>
      <c r="C79" s="27" t="n"/>
      <c r="D79" s="28">
        <f>_xlfn.XLOOKUP(A79,'ABC-XYZ분석 (2)'!C:C,'ABC-XYZ분석 (2)'!I:I)</f>
        <v/>
      </c>
      <c r="E79" s="28">
        <f>_xlfn.XLOOKUP(A79,'ABC-XYZ분석 (2)'!C:C,'ABC-XYZ분석 (2)'!AC:AC)</f>
        <v/>
      </c>
      <c r="F79" s="3">
        <f>_xlfn.XLOOKUP(A79,'ABC-XYZ분석 (2)'!C:C,'ABC-XYZ분석 (2)'!AG:AG)</f>
        <v/>
      </c>
      <c r="G79" s="14">
        <f>SUMIF(재고!C:C,PSI_메인!A79,재고!I:I)</f>
        <v/>
      </c>
      <c r="H79" s="277" t="n">
        <v>5231</v>
      </c>
      <c r="I79" s="278" t="n">
        <v>0</v>
      </c>
      <c r="J79" s="278" t="n">
        <v>0</v>
      </c>
      <c r="K79" s="279" t="n">
        <v>650</v>
      </c>
      <c r="L79" s="11" t="n">
        <v>0</v>
      </c>
      <c r="M79" s="9">
        <f>SUMIFS(입항스케줄!J:J,입항스케줄!C:C,PSI_메인!A79,입항스케줄!U:U,"2601")</f>
        <v/>
      </c>
      <c r="N79" s="11">
        <f>SUMIFS(입항스케줄!J:J,입항스케줄!C:C,PSI_메인!A79,입항스케줄!V:V,"2601")</f>
        <v/>
      </c>
      <c r="O79" s="280">
        <f>$G79+M79-K79</f>
        <v/>
      </c>
      <c r="P79" s="277">
        <f>$G79+N79-L79</f>
        <v/>
      </c>
      <c r="Q79" s="278" t="n">
        <v>0</v>
      </c>
      <c r="R79" s="278" t="n">
        <v>0</v>
      </c>
      <c r="S79" s="10" t="n">
        <v>350</v>
      </c>
      <c r="T79" s="11" t="n">
        <v>0</v>
      </c>
      <c r="U79" s="9">
        <f>SUMIFS(입항스케줄!J:J,입항스케줄!C:C,PSI_메인!A79,입항스케줄!U:U,"2602")</f>
        <v/>
      </c>
      <c r="V79" s="11">
        <f>SUMIFS(입항스케줄!J:J,입항스케줄!C:C,PSI_메인!A79,입항스케줄!V:V,"2602")</f>
        <v/>
      </c>
      <c r="W79" s="280">
        <f>$G79+U79-S79</f>
        <v/>
      </c>
      <c r="X79" s="277">
        <f>$G79+V79-T79</f>
        <v/>
      </c>
      <c r="Y79" s="278" t="n">
        <v>0</v>
      </c>
      <c r="Z79" s="278" t="n">
        <v>0</v>
      </c>
      <c r="AA79" s="279">
        <f>ROUND((Y79+Z79)/2,0)</f>
        <v/>
      </c>
      <c r="AB79" s="11" t="n">
        <v>0</v>
      </c>
      <c r="AC79" s="9">
        <f>SUMIFS(입항스케줄!J:J,입항스케줄!C:C,PSI_메인!A79,입항스케줄!U:U,"2603")</f>
        <v/>
      </c>
      <c r="AD79" s="11">
        <f>SUMIFS(입항스케줄!J:J,입항스케줄!C:C,PSI_메인!A79,입항스케줄!V:V,"2603")</f>
        <v/>
      </c>
      <c r="AE79" s="280">
        <f>$G79+AC79-AA79</f>
        <v/>
      </c>
      <c r="AF79" s="277">
        <f>$G79+AD79-AB79</f>
        <v/>
      </c>
      <c r="AG79" s="278" t="n">
        <v>0</v>
      </c>
      <c r="AH79" s="278" t="n">
        <v>0</v>
      </c>
      <c r="AI79" s="279">
        <f>ROUND((AG79+AH79)/2,0)</f>
        <v/>
      </c>
      <c r="AJ79" s="11" t="n">
        <v>0</v>
      </c>
      <c r="AK79" s="9">
        <f>SUMIFS(입항스케줄!J:J,입항스케줄!C:C,PSI_메인!A79,입항스케줄!U:U,"2604")</f>
        <v/>
      </c>
      <c r="AL79" s="11">
        <f>SUMIFS(입항스케줄!J:J,입항스케줄!C:C,PSI_메인!A79,입항스케줄!V:V,"2604")</f>
        <v/>
      </c>
      <c r="AM79" s="280">
        <f>$G79+AK79-AI79</f>
        <v/>
      </c>
      <c r="AN79" s="277">
        <f>$G79+AL79-AJ79</f>
        <v/>
      </c>
      <c r="AO79" s="278" t="n">
        <v>0</v>
      </c>
      <c r="AP79" s="278" t="n">
        <v>0</v>
      </c>
      <c r="AQ79" s="279">
        <f>ROUND((AO79+AP79)/2,0)</f>
        <v/>
      </c>
      <c r="AR79" s="11" t="n">
        <v>0</v>
      </c>
      <c r="AS79" s="9" t="n"/>
      <c r="AT79" s="277" t="n"/>
      <c r="AU79" s="280">
        <f>$G79+AS79-AQ79</f>
        <v/>
      </c>
      <c r="AV79" s="277">
        <f>$G79+AT79-AR79</f>
        <v/>
      </c>
      <c r="AW79" s="278" t="n">
        <v>0</v>
      </c>
      <c r="AX79" s="278" t="n">
        <v>0</v>
      </c>
      <c r="AY79" s="279">
        <f>ROUND((AW79+AX79)/2,0)</f>
        <v/>
      </c>
      <c r="AZ79" s="11" t="n">
        <v>0</v>
      </c>
      <c r="BA79" s="9" t="n"/>
      <c r="BB79" s="11" t="n"/>
      <c r="BC79" s="280">
        <f>$G79+BA79-AY79</f>
        <v/>
      </c>
      <c r="BD79" s="277">
        <f>$G79+BB79-AZ79</f>
        <v/>
      </c>
      <c r="BE79" s="278" t="n">
        <v>0</v>
      </c>
      <c r="BF79" s="278" t="n">
        <v>0</v>
      </c>
      <c r="BG79" s="279">
        <f>ROUND((BE79+BF79)/2,0)</f>
        <v/>
      </c>
      <c r="BH79" s="11" t="n">
        <v>0</v>
      </c>
      <c r="BI79" s="278" t="n"/>
      <c r="BJ79" s="11" t="n"/>
      <c r="BK79" s="280">
        <f>$G79+BI79-BG79</f>
        <v/>
      </c>
      <c r="BL79" s="277">
        <f>$G79+BJ79-BH79</f>
        <v/>
      </c>
      <c r="BM79" s="278" t="n">
        <v>0</v>
      </c>
      <c r="BN79" s="278" t="n">
        <v>0</v>
      </c>
      <c r="BO79" s="279">
        <f>ROUND((BM79+BN79)/2,0)</f>
        <v/>
      </c>
      <c r="BP79" s="11" t="n">
        <v>0</v>
      </c>
      <c r="BQ79" s="278" t="n"/>
      <c r="BR79" s="11" t="n"/>
      <c r="BS79" s="280">
        <f>$G79+BQ79-BO79</f>
        <v/>
      </c>
      <c r="BT79" s="277">
        <f>$G79+BR79-BP79</f>
        <v/>
      </c>
      <c r="BU79" s="278" t="n">
        <v>0</v>
      </c>
      <c r="BV79" s="278" t="n">
        <v>0</v>
      </c>
      <c r="BW79" s="279">
        <f>ROUND((BU79+BV79)/2,0)</f>
        <v/>
      </c>
      <c r="BX79" s="11" t="n">
        <v>0</v>
      </c>
      <c r="BY79" s="278" t="n"/>
      <c r="BZ79" s="11" t="n"/>
      <c r="CA79" s="280">
        <f>$G79+BY79-BW79</f>
        <v/>
      </c>
      <c r="CB79" s="277">
        <f>$G79+BZ79-BX79</f>
        <v/>
      </c>
      <c r="CC79" s="278" t="n">
        <v>0</v>
      </c>
      <c r="CD79" s="278" t="n">
        <v>0</v>
      </c>
      <c r="CE79" s="279">
        <f>ROUND((CC79+CD79)/2,0)</f>
        <v/>
      </c>
      <c r="CF79" s="11" t="n">
        <v>0</v>
      </c>
      <c r="CG79" s="278" t="n"/>
      <c r="CH79" s="11" t="n"/>
      <c r="CI79" s="280">
        <f>$G79+CG79-CE79</f>
        <v/>
      </c>
      <c r="CJ79" s="277">
        <f>$G79+CH79-CF79</f>
        <v/>
      </c>
      <c r="CK79" s="278" t="n">
        <v>0</v>
      </c>
      <c r="CL79" s="278" t="n">
        <v>0</v>
      </c>
      <c r="CM79" s="279">
        <f>ROUND((CK79+CL79)/2,0)</f>
        <v/>
      </c>
      <c r="CN79" s="11" t="n">
        <v>0</v>
      </c>
      <c r="CO79" s="278" t="n"/>
      <c r="CP79" s="277" t="n"/>
      <c r="CQ79" s="280">
        <f>$G79+CO79-CM79</f>
        <v/>
      </c>
      <c r="CR79" s="277">
        <f>$G79+CP79-CN79</f>
        <v/>
      </c>
      <c r="CS79" s="278" t="n">
        <v>0</v>
      </c>
      <c r="CT79" s="278" t="n">
        <v>0</v>
      </c>
      <c r="CU79" s="279">
        <f>ROUND((CS79+CT79)/2,0)</f>
        <v/>
      </c>
      <c r="CV79" s="11" t="n">
        <v>0</v>
      </c>
      <c r="CW79" s="278" t="n"/>
      <c r="CX79" s="277" t="n"/>
      <c r="CY79" s="280">
        <f>$G79+CW79-CU79</f>
        <v/>
      </c>
      <c r="CZ79" s="277">
        <f>$G79+CX79-CV79</f>
        <v/>
      </c>
    </row>
    <row r="80" ht="17.25" customHeight="1" s="480">
      <c r="A80" s="28" t="inlineStr">
        <is>
          <t>ABC77</t>
        </is>
      </c>
      <c r="B80" s="379" t="n"/>
      <c r="C80" s="27" t="n"/>
      <c r="D80" s="28">
        <f>_xlfn.XLOOKUP(A80,'ABC-XYZ분석 (2)'!C:C,'ABC-XYZ분석 (2)'!I:I)</f>
        <v/>
      </c>
      <c r="E80" s="28">
        <f>_xlfn.XLOOKUP(A80,'ABC-XYZ분석 (2)'!C:C,'ABC-XYZ분석 (2)'!AC:AC)</f>
        <v/>
      </c>
      <c r="F80" s="3">
        <f>_xlfn.XLOOKUP(A80,'ABC-XYZ분석 (2)'!C:C,'ABC-XYZ분석 (2)'!AG:AG)</f>
        <v/>
      </c>
      <c r="G80" s="14">
        <f>SUMIF(재고!C:C,PSI_메인!A80,재고!I:I)</f>
        <v/>
      </c>
      <c r="H80" s="277" t="n">
        <v>2086</v>
      </c>
      <c r="I80" s="278" t="n">
        <v>0</v>
      </c>
      <c r="J80" s="278" t="n">
        <v>0</v>
      </c>
      <c r="K80" s="279" t="n">
        <v>2000</v>
      </c>
      <c r="L80" s="11" t="n">
        <v>0</v>
      </c>
      <c r="M80" s="9">
        <f>SUMIFS(입항스케줄!J:J,입항스케줄!C:C,PSI_메인!A80,입항스케줄!U:U,"2601")</f>
        <v/>
      </c>
      <c r="N80" s="11">
        <f>SUMIFS(입항스케줄!J:J,입항스케줄!C:C,PSI_메인!A80,입항스케줄!V:V,"2601")</f>
        <v/>
      </c>
      <c r="O80" s="280">
        <f>$G80+M80-K80</f>
        <v/>
      </c>
      <c r="P80" s="277">
        <f>$G80+N80-L80</f>
        <v/>
      </c>
      <c r="Q80" s="278" t="n">
        <v>0</v>
      </c>
      <c r="R80" s="278" t="n">
        <v>0</v>
      </c>
      <c r="S80" s="10" t="n">
        <v>0</v>
      </c>
      <c r="T80" s="11" t="n">
        <v>0</v>
      </c>
      <c r="U80" s="9">
        <f>SUMIFS(입항스케줄!J:J,입항스케줄!C:C,PSI_메인!A80,입항스케줄!U:U,"2602")</f>
        <v/>
      </c>
      <c r="V80" s="11">
        <f>SUMIFS(입항스케줄!J:J,입항스케줄!C:C,PSI_메인!A80,입항스케줄!V:V,"2602")</f>
        <v/>
      </c>
      <c r="W80" s="280">
        <f>$G80+U80-S80</f>
        <v/>
      </c>
      <c r="X80" s="277">
        <f>$G80+V80-T80</f>
        <v/>
      </c>
      <c r="Y80" s="278" t="n">
        <v>0</v>
      </c>
      <c r="Z80" s="278" t="n">
        <v>0</v>
      </c>
      <c r="AA80" s="279">
        <f>ROUND((Y80+Z80)/2,0)</f>
        <v/>
      </c>
      <c r="AB80" s="11" t="n">
        <v>0</v>
      </c>
      <c r="AC80" s="9">
        <f>SUMIFS(입항스케줄!J:J,입항스케줄!C:C,PSI_메인!A80,입항스케줄!U:U,"2603")</f>
        <v/>
      </c>
      <c r="AD80" s="11">
        <f>SUMIFS(입항스케줄!J:J,입항스케줄!C:C,PSI_메인!A80,입항스케줄!V:V,"2603")</f>
        <v/>
      </c>
      <c r="AE80" s="280">
        <f>$G80+AC80-AA80</f>
        <v/>
      </c>
      <c r="AF80" s="277">
        <f>$G80+AD80-AB80</f>
        <v/>
      </c>
      <c r="AG80" s="278" t="n">
        <v>0</v>
      </c>
      <c r="AH80" s="278" t="n">
        <v>0</v>
      </c>
      <c r="AI80" s="279">
        <f>ROUND((AG80+AH80)/2,0)</f>
        <v/>
      </c>
      <c r="AJ80" s="11" t="n">
        <v>0</v>
      </c>
      <c r="AK80" s="9">
        <f>SUMIFS(입항스케줄!J:J,입항스케줄!C:C,PSI_메인!A80,입항스케줄!U:U,"2604")</f>
        <v/>
      </c>
      <c r="AL80" s="11">
        <f>SUMIFS(입항스케줄!J:J,입항스케줄!C:C,PSI_메인!A80,입항스케줄!V:V,"2604")</f>
        <v/>
      </c>
      <c r="AM80" s="280">
        <f>$G80+AK80-AI80</f>
        <v/>
      </c>
      <c r="AN80" s="277">
        <f>$G80+AL80-AJ80</f>
        <v/>
      </c>
      <c r="AO80" s="278" t="n">
        <v>0</v>
      </c>
      <c r="AP80" s="278" t="n">
        <v>0</v>
      </c>
      <c r="AQ80" s="279">
        <f>ROUND((AO80+AP80)/2,0)</f>
        <v/>
      </c>
      <c r="AR80" s="11" t="n">
        <v>0</v>
      </c>
      <c r="AS80" s="9" t="n"/>
      <c r="AT80" s="277" t="n"/>
      <c r="AU80" s="280">
        <f>$G80+AS80-AQ80</f>
        <v/>
      </c>
      <c r="AV80" s="277">
        <f>$G80+AT80-AR80</f>
        <v/>
      </c>
      <c r="AW80" s="278" t="n">
        <v>0</v>
      </c>
      <c r="AX80" s="278" t="n">
        <v>0</v>
      </c>
      <c r="AY80" s="279">
        <f>ROUND((AW80+AX80)/2,0)</f>
        <v/>
      </c>
      <c r="AZ80" s="11" t="n">
        <v>0</v>
      </c>
      <c r="BA80" s="9" t="n"/>
      <c r="BB80" s="11" t="n"/>
      <c r="BC80" s="280">
        <f>$G80+BA80-AY80</f>
        <v/>
      </c>
      <c r="BD80" s="277">
        <f>$G80+BB80-AZ80</f>
        <v/>
      </c>
      <c r="BE80" s="278" t="n">
        <v>0</v>
      </c>
      <c r="BF80" s="278" t="n">
        <v>0</v>
      </c>
      <c r="BG80" s="279">
        <f>ROUND((BE80+BF80)/2,0)</f>
        <v/>
      </c>
      <c r="BH80" s="11" t="n">
        <v>0</v>
      </c>
      <c r="BI80" s="278" t="n"/>
      <c r="BJ80" s="11" t="n"/>
      <c r="BK80" s="280">
        <f>$G80+BI80-BG80</f>
        <v/>
      </c>
      <c r="BL80" s="277">
        <f>$G80+BJ80-BH80</f>
        <v/>
      </c>
      <c r="BM80" s="278" t="n">
        <v>0</v>
      </c>
      <c r="BN80" s="278" t="n">
        <v>0</v>
      </c>
      <c r="BO80" s="279">
        <f>ROUND((BM80+BN80)/2,0)</f>
        <v/>
      </c>
      <c r="BP80" s="11" t="n">
        <v>0</v>
      </c>
      <c r="BQ80" s="278" t="n"/>
      <c r="BR80" s="11" t="n"/>
      <c r="BS80" s="280">
        <f>$G80+BQ80-BO80</f>
        <v/>
      </c>
      <c r="BT80" s="277">
        <f>$G80+BR80-BP80</f>
        <v/>
      </c>
      <c r="BU80" s="278" t="n">
        <v>0</v>
      </c>
      <c r="BV80" s="278" t="n">
        <v>0</v>
      </c>
      <c r="BW80" s="279">
        <f>ROUND((BU80+BV80)/2,0)</f>
        <v/>
      </c>
      <c r="BX80" s="11" t="n">
        <v>0</v>
      </c>
      <c r="BY80" s="278" t="n"/>
      <c r="BZ80" s="11" t="n"/>
      <c r="CA80" s="280">
        <f>$G80+BY80-BW80</f>
        <v/>
      </c>
      <c r="CB80" s="277">
        <f>$G80+BZ80-BX80</f>
        <v/>
      </c>
      <c r="CC80" s="278" t="n">
        <v>0</v>
      </c>
      <c r="CD80" s="278" t="n">
        <v>0</v>
      </c>
      <c r="CE80" s="279">
        <f>ROUND((CC80+CD80)/2,0)</f>
        <v/>
      </c>
      <c r="CF80" s="11" t="n">
        <v>0</v>
      </c>
      <c r="CG80" s="278" t="n"/>
      <c r="CH80" s="11" t="n"/>
      <c r="CI80" s="280">
        <f>$G80+CG80-CE80</f>
        <v/>
      </c>
      <c r="CJ80" s="277">
        <f>$G80+CH80-CF80</f>
        <v/>
      </c>
      <c r="CK80" s="278" t="n">
        <v>0</v>
      </c>
      <c r="CL80" s="278" t="n">
        <v>0</v>
      </c>
      <c r="CM80" s="279">
        <f>ROUND((CK80+CL80)/2,0)</f>
        <v/>
      </c>
      <c r="CN80" s="11" t="n">
        <v>0</v>
      </c>
      <c r="CO80" s="278" t="n"/>
      <c r="CP80" s="277" t="n"/>
      <c r="CQ80" s="280">
        <f>$G80+CO80-CM80</f>
        <v/>
      </c>
      <c r="CR80" s="277">
        <f>$G80+CP80-CN80</f>
        <v/>
      </c>
      <c r="CS80" s="278" t="n">
        <v>0</v>
      </c>
      <c r="CT80" s="278" t="n">
        <v>0</v>
      </c>
      <c r="CU80" s="279">
        <f>ROUND((CS80+CT80)/2,0)</f>
        <v/>
      </c>
      <c r="CV80" s="11" t="n">
        <v>0</v>
      </c>
      <c r="CW80" s="278" t="n"/>
      <c r="CX80" s="277" t="n"/>
      <c r="CY80" s="280">
        <f>$G80+CW80-CU80</f>
        <v/>
      </c>
      <c r="CZ80" s="277">
        <f>$G80+CX80-CV80</f>
        <v/>
      </c>
    </row>
    <row r="81" ht="17.25" customHeight="1" s="480">
      <c r="A81" s="28" t="inlineStr">
        <is>
          <t>ABC78</t>
        </is>
      </c>
      <c r="B81" s="379" t="n"/>
      <c r="C81" s="27" t="n"/>
      <c r="D81" s="28">
        <f>_xlfn.XLOOKUP(A81,'ABC-XYZ분석 (2)'!C:C,'ABC-XYZ분석 (2)'!I:I)</f>
        <v/>
      </c>
      <c r="E81" s="28">
        <f>_xlfn.XLOOKUP(A81,'ABC-XYZ분석 (2)'!C:C,'ABC-XYZ분석 (2)'!AC:AC)</f>
        <v/>
      </c>
      <c r="F81" s="3">
        <f>_xlfn.XLOOKUP(A81,'ABC-XYZ분석 (2)'!C:C,'ABC-XYZ분석 (2)'!AG:AG)</f>
        <v/>
      </c>
      <c r="G81" s="14">
        <f>SUMIF(재고!C:C,PSI_메인!A81,재고!I:I)</f>
        <v/>
      </c>
      <c r="H81" s="277" t="n">
        <v>191</v>
      </c>
      <c r="I81" s="278" t="n">
        <v>0</v>
      </c>
      <c r="J81" s="278" t="n">
        <v>0</v>
      </c>
      <c r="K81" s="279" t="n">
        <v>0</v>
      </c>
      <c r="L81" s="11" t="n">
        <v>0</v>
      </c>
      <c r="M81" s="9">
        <f>SUMIFS(입항스케줄!J:J,입항스케줄!C:C,PSI_메인!A81,입항스케줄!U:U,"2601")</f>
        <v/>
      </c>
      <c r="N81" s="11">
        <f>SUMIFS(입항스케줄!J:J,입항스케줄!C:C,PSI_메인!A81,입항스케줄!V:V,"2601")</f>
        <v/>
      </c>
      <c r="O81" s="280">
        <f>$G81+M81-K81</f>
        <v/>
      </c>
      <c r="P81" s="277">
        <f>$G81+N81-L81</f>
        <v/>
      </c>
      <c r="Q81" s="278" t="n">
        <v>0</v>
      </c>
      <c r="R81" s="278" t="n">
        <v>0</v>
      </c>
      <c r="S81" s="10" t="n">
        <v>0</v>
      </c>
      <c r="T81" s="11" t="n">
        <v>0</v>
      </c>
      <c r="U81" s="9">
        <f>SUMIFS(입항스케줄!J:J,입항스케줄!C:C,PSI_메인!A81,입항스케줄!U:U,"2602")</f>
        <v/>
      </c>
      <c r="V81" s="11">
        <f>SUMIFS(입항스케줄!J:J,입항스케줄!C:C,PSI_메인!A81,입항스케줄!V:V,"2602")</f>
        <v/>
      </c>
      <c r="W81" s="280">
        <f>$G81+U81-S81</f>
        <v/>
      </c>
      <c r="X81" s="277">
        <f>$G81+V81-T81</f>
        <v/>
      </c>
      <c r="Y81" s="278" t="n">
        <v>0</v>
      </c>
      <c r="Z81" s="278" t="n">
        <v>0</v>
      </c>
      <c r="AA81" s="279">
        <f>ROUND((Y81+Z81)/2,0)</f>
        <v/>
      </c>
      <c r="AB81" s="11" t="n">
        <v>0</v>
      </c>
      <c r="AC81" s="9">
        <f>SUMIFS(입항스케줄!J:J,입항스케줄!C:C,PSI_메인!A81,입항스케줄!U:U,"2603")</f>
        <v/>
      </c>
      <c r="AD81" s="11">
        <f>SUMIFS(입항스케줄!J:J,입항스케줄!C:C,PSI_메인!A81,입항스케줄!V:V,"2603")</f>
        <v/>
      </c>
      <c r="AE81" s="280">
        <f>$G81+AC81-AA81</f>
        <v/>
      </c>
      <c r="AF81" s="277">
        <f>$G81+AD81-AB81</f>
        <v/>
      </c>
      <c r="AG81" s="278" t="n">
        <v>0</v>
      </c>
      <c r="AH81" s="278" t="n">
        <v>0</v>
      </c>
      <c r="AI81" s="279">
        <f>ROUND((AG81+AH81)/2,0)</f>
        <v/>
      </c>
      <c r="AJ81" s="11" t="n">
        <v>0</v>
      </c>
      <c r="AK81" s="9">
        <f>SUMIFS(입항스케줄!J:J,입항스케줄!C:C,PSI_메인!A81,입항스케줄!U:U,"2604")</f>
        <v/>
      </c>
      <c r="AL81" s="11">
        <f>SUMIFS(입항스케줄!J:J,입항스케줄!C:C,PSI_메인!A81,입항스케줄!V:V,"2604")</f>
        <v/>
      </c>
      <c r="AM81" s="280">
        <f>$G81+AK81-AI81</f>
        <v/>
      </c>
      <c r="AN81" s="277">
        <f>$G81+AL81-AJ81</f>
        <v/>
      </c>
      <c r="AO81" s="278" t="n">
        <v>0</v>
      </c>
      <c r="AP81" s="278" t="n">
        <v>0</v>
      </c>
      <c r="AQ81" s="279">
        <f>ROUND((AO81+AP81)/2,0)</f>
        <v/>
      </c>
      <c r="AR81" s="11" t="n">
        <v>0</v>
      </c>
      <c r="AS81" s="9" t="n"/>
      <c r="AT81" s="277" t="n"/>
      <c r="AU81" s="280">
        <f>$G81+AS81-AQ81</f>
        <v/>
      </c>
      <c r="AV81" s="277">
        <f>$G81+AT81-AR81</f>
        <v/>
      </c>
      <c r="AW81" s="278" t="n">
        <v>0</v>
      </c>
      <c r="AX81" s="278" t="n">
        <v>0</v>
      </c>
      <c r="AY81" s="279">
        <f>ROUND((AW81+AX81)/2,0)</f>
        <v/>
      </c>
      <c r="AZ81" s="11" t="n">
        <v>0</v>
      </c>
      <c r="BA81" s="9" t="n"/>
      <c r="BB81" s="11" t="n"/>
      <c r="BC81" s="280">
        <f>$G81+BA81-AY81</f>
        <v/>
      </c>
      <c r="BD81" s="277">
        <f>$G81+BB81-AZ81</f>
        <v/>
      </c>
      <c r="BE81" s="278" t="n">
        <v>0</v>
      </c>
      <c r="BF81" s="278" t="n">
        <v>0</v>
      </c>
      <c r="BG81" s="279">
        <f>ROUND((BE81+BF81)/2,0)</f>
        <v/>
      </c>
      <c r="BH81" s="11" t="n">
        <v>0</v>
      </c>
      <c r="BI81" s="278" t="n"/>
      <c r="BJ81" s="11" t="n"/>
      <c r="BK81" s="280">
        <f>$G81+BI81-BG81</f>
        <v/>
      </c>
      <c r="BL81" s="277">
        <f>$G81+BJ81-BH81</f>
        <v/>
      </c>
      <c r="BM81" s="278" t="n">
        <v>0</v>
      </c>
      <c r="BN81" s="278" t="n">
        <v>0</v>
      </c>
      <c r="BO81" s="279">
        <f>ROUND((BM81+BN81)/2,0)</f>
        <v/>
      </c>
      <c r="BP81" s="11" t="n">
        <v>0</v>
      </c>
      <c r="BQ81" s="278" t="n"/>
      <c r="BR81" s="11" t="n"/>
      <c r="BS81" s="280">
        <f>$G81+BQ81-BO81</f>
        <v/>
      </c>
      <c r="BT81" s="277">
        <f>$G81+BR81-BP81</f>
        <v/>
      </c>
      <c r="BU81" s="278" t="n">
        <v>0</v>
      </c>
      <c r="BV81" s="278" t="n">
        <v>0</v>
      </c>
      <c r="BW81" s="279">
        <f>ROUND((BU81+BV81)/2,0)</f>
        <v/>
      </c>
      <c r="BX81" s="11" t="n">
        <v>0</v>
      </c>
      <c r="BY81" s="278" t="n"/>
      <c r="BZ81" s="11" t="n"/>
      <c r="CA81" s="280">
        <f>$G81+BY81-BW81</f>
        <v/>
      </c>
      <c r="CB81" s="277">
        <f>$G81+BZ81-BX81</f>
        <v/>
      </c>
      <c r="CC81" s="278" t="n">
        <v>0</v>
      </c>
      <c r="CD81" s="278" t="n">
        <v>0</v>
      </c>
      <c r="CE81" s="279">
        <f>ROUND((CC81+CD81)/2,0)</f>
        <v/>
      </c>
      <c r="CF81" s="11" t="n">
        <v>0</v>
      </c>
      <c r="CG81" s="278" t="n"/>
      <c r="CH81" s="11" t="n"/>
      <c r="CI81" s="280">
        <f>$G81+CG81-CE81</f>
        <v/>
      </c>
      <c r="CJ81" s="277">
        <f>$G81+CH81-CF81</f>
        <v/>
      </c>
      <c r="CK81" s="278" t="n">
        <v>0</v>
      </c>
      <c r="CL81" s="278" t="n">
        <v>0</v>
      </c>
      <c r="CM81" s="279">
        <f>ROUND((CK81+CL81)/2,0)</f>
        <v/>
      </c>
      <c r="CN81" s="11" t="n">
        <v>0</v>
      </c>
      <c r="CO81" s="278" t="n"/>
      <c r="CP81" s="277" t="n"/>
      <c r="CQ81" s="280">
        <f>$G81+CO81-CM81</f>
        <v/>
      </c>
      <c r="CR81" s="277">
        <f>$G81+CP81-CN81</f>
        <v/>
      </c>
      <c r="CS81" s="278" t="n">
        <v>0</v>
      </c>
      <c r="CT81" s="278" t="n">
        <v>0</v>
      </c>
      <c r="CU81" s="279">
        <f>ROUND((CS81+CT81)/2,0)</f>
        <v/>
      </c>
      <c r="CV81" s="11" t="n">
        <v>0</v>
      </c>
      <c r="CW81" s="278" t="n"/>
      <c r="CX81" s="277" t="n"/>
      <c r="CY81" s="280">
        <f>$G81+CW81-CU81</f>
        <v/>
      </c>
      <c r="CZ81" s="277">
        <f>$G81+CX81-CV81</f>
        <v/>
      </c>
    </row>
    <row r="82" ht="17.25" customHeight="1" s="480">
      <c r="A82" s="28" t="inlineStr">
        <is>
          <t>ABC79</t>
        </is>
      </c>
      <c r="B82" s="379" t="n"/>
      <c r="C82" s="27" t="n"/>
      <c r="D82" s="28">
        <f>_xlfn.XLOOKUP(A82,'ABC-XYZ분석 (2)'!C:C,'ABC-XYZ분석 (2)'!I:I)</f>
        <v/>
      </c>
      <c r="E82" s="28">
        <f>_xlfn.XLOOKUP(A82,'ABC-XYZ분석 (2)'!C:C,'ABC-XYZ분석 (2)'!AC:AC)</f>
        <v/>
      </c>
      <c r="F82" s="3">
        <f>_xlfn.XLOOKUP(A82,'ABC-XYZ분석 (2)'!C:C,'ABC-XYZ분석 (2)'!AG:AG)</f>
        <v/>
      </c>
      <c r="G82" s="14">
        <f>SUMIF(재고!C:C,PSI_메인!A82,재고!I:I)</f>
        <v/>
      </c>
      <c r="H82" s="277" t="n">
        <v>7261</v>
      </c>
      <c r="I82" s="278" t="n">
        <v>0</v>
      </c>
      <c r="J82" s="278" t="n">
        <v>0</v>
      </c>
      <c r="K82" s="279" t="n">
        <v>0</v>
      </c>
      <c r="L82" s="11" t="n">
        <v>0</v>
      </c>
      <c r="M82" s="9">
        <f>SUMIFS(입항스케줄!J:J,입항스케줄!C:C,PSI_메인!A82,입항스케줄!U:U,"2601")</f>
        <v/>
      </c>
      <c r="N82" s="11">
        <f>SUMIFS(입항스케줄!J:J,입항스케줄!C:C,PSI_메인!A82,입항스케줄!V:V,"2601")</f>
        <v/>
      </c>
      <c r="O82" s="280">
        <f>$G82+M82-K82</f>
        <v/>
      </c>
      <c r="P82" s="277">
        <f>$G82+N82-L82</f>
        <v/>
      </c>
      <c r="Q82" s="278" t="n">
        <v>0</v>
      </c>
      <c r="R82" s="278" t="n">
        <v>0</v>
      </c>
      <c r="S82" s="10" t="n">
        <v>0</v>
      </c>
      <c r="T82" s="11" t="n">
        <v>0</v>
      </c>
      <c r="U82" s="9">
        <f>SUMIFS(입항스케줄!J:J,입항스케줄!C:C,PSI_메인!A82,입항스케줄!U:U,"2602")</f>
        <v/>
      </c>
      <c r="V82" s="11">
        <f>SUMIFS(입항스케줄!J:J,입항스케줄!C:C,PSI_메인!A82,입항스케줄!V:V,"2602")</f>
        <v/>
      </c>
      <c r="W82" s="280">
        <f>$G82+U82-S82</f>
        <v/>
      </c>
      <c r="X82" s="277">
        <f>$G82+V82-T82</f>
        <v/>
      </c>
      <c r="Y82" s="278" t="n">
        <v>0</v>
      </c>
      <c r="Z82" s="278" t="n">
        <v>0</v>
      </c>
      <c r="AA82" s="279">
        <f>ROUND((Y82+Z82)/2,0)</f>
        <v/>
      </c>
      <c r="AB82" s="11" t="n">
        <v>0</v>
      </c>
      <c r="AC82" s="9">
        <f>SUMIFS(입항스케줄!J:J,입항스케줄!C:C,PSI_메인!A82,입항스케줄!U:U,"2603")</f>
        <v/>
      </c>
      <c r="AD82" s="11">
        <f>SUMIFS(입항스케줄!J:J,입항스케줄!C:C,PSI_메인!A82,입항스케줄!V:V,"2603")</f>
        <v/>
      </c>
      <c r="AE82" s="280">
        <f>$G82+AC82-AA82</f>
        <v/>
      </c>
      <c r="AF82" s="277">
        <f>$G82+AD82-AB82</f>
        <v/>
      </c>
      <c r="AG82" s="278" t="n">
        <v>0</v>
      </c>
      <c r="AH82" s="278" t="n">
        <v>0</v>
      </c>
      <c r="AI82" s="279">
        <f>ROUND((AG82+AH82)/2,0)</f>
        <v/>
      </c>
      <c r="AJ82" s="11" t="n">
        <v>0</v>
      </c>
      <c r="AK82" s="9">
        <f>SUMIFS(입항스케줄!J:J,입항스케줄!C:C,PSI_메인!A82,입항스케줄!U:U,"2604")</f>
        <v/>
      </c>
      <c r="AL82" s="11">
        <f>SUMIFS(입항스케줄!J:J,입항스케줄!C:C,PSI_메인!A82,입항스케줄!V:V,"2604")</f>
        <v/>
      </c>
      <c r="AM82" s="280">
        <f>$G82+AK82-AI82</f>
        <v/>
      </c>
      <c r="AN82" s="277">
        <f>$G82+AL82-AJ82</f>
        <v/>
      </c>
      <c r="AO82" s="278" t="n">
        <v>0</v>
      </c>
      <c r="AP82" s="278" t="n">
        <v>0</v>
      </c>
      <c r="AQ82" s="279">
        <f>ROUND((AO82+AP82)/2,0)</f>
        <v/>
      </c>
      <c r="AR82" s="11" t="n">
        <v>0</v>
      </c>
      <c r="AS82" s="9" t="n"/>
      <c r="AT82" s="277" t="n"/>
      <c r="AU82" s="280">
        <f>$G82+AS82-AQ82</f>
        <v/>
      </c>
      <c r="AV82" s="277">
        <f>$G82+AT82-AR82</f>
        <v/>
      </c>
      <c r="AW82" s="278" t="n">
        <v>0</v>
      </c>
      <c r="AX82" s="278" t="n">
        <v>0</v>
      </c>
      <c r="AY82" s="279">
        <f>ROUND((AW82+AX82)/2,0)</f>
        <v/>
      </c>
      <c r="AZ82" s="11" t="n">
        <v>0</v>
      </c>
      <c r="BA82" s="9" t="n"/>
      <c r="BB82" s="11" t="n"/>
      <c r="BC82" s="280">
        <f>$G82+BA82-AY82</f>
        <v/>
      </c>
      <c r="BD82" s="277">
        <f>$G82+BB82-AZ82</f>
        <v/>
      </c>
      <c r="BE82" s="278" t="n">
        <v>0</v>
      </c>
      <c r="BF82" s="278" t="n">
        <v>0</v>
      </c>
      <c r="BG82" s="279">
        <f>ROUND((BE82+BF82)/2,0)</f>
        <v/>
      </c>
      <c r="BH82" s="11" t="n">
        <v>0</v>
      </c>
      <c r="BI82" s="278" t="n"/>
      <c r="BJ82" s="11" t="n"/>
      <c r="BK82" s="280">
        <f>$G82+BI82-BG82</f>
        <v/>
      </c>
      <c r="BL82" s="277">
        <f>$G82+BJ82-BH82</f>
        <v/>
      </c>
      <c r="BM82" s="278" t="n">
        <v>0</v>
      </c>
      <c r="BN82" s="278" t="n">
        <v>0</v>
      </c>
      <c r="BO82" s="279">
        <f>ROUND((BM82+BN82)/2,0)</f>
        <v/>
      </c>
      <c r="BP82" s="11" t="n">
        <v>0</v>
      </c>
      <c r="BQ82" s="278" t="n"/>
      <c r="BR82" s="11" t="n"/>
      <c r="BS82" s="280">
        <f>$G82+BQ82-BO82</f>
        <v/>
      </c>
      <c r="BT82" s="277">
        <f>$G82+BR82-BP82</f>
        <v/>
      </c>
      <c r="BU82" s="278" t="n">
        <v>0</v>
      </c>
      <c r="BV82" s="278" t="n">
        <v>0</v>
      </c>
      <c r="BW82" s="279">
        <f>ROUND((BU82+BV82)/2,0)</f>
        <v/>
      </c>
      <c r="BX82" s="11" t="n">
        <v>0</v>
      </c>
      <c r="BY82" s="278" t="n"/>
      <c r="BZ82" s="11" t="n"/>
      <c r="CA82" s="280">
        <f>$G82+BY82-BW82</f>
        <v/>
      </c>
      <c r="CB82" s="277">
        <f>$G82+BZ82-BX82</f>
        <v/>
      </c>
      <c r="CC82" s="278" t="n">
        <v>0</v>
      </c>
      <c r="CD82" s="278" t="n">
        <v>0</v>
      </c>
      <c r="CE82" s="279">
        <f>ROUND((CC82+CD82)/2,0)</f>
        <v/>
      </c>
      <c r="CF82" s="11" t="n">
        <v>0</v>
      </c>
      <c r="CG82" s="278" t="n"/>
      <c r="CH82" s="11" t="n"/>
      <c r="CI82" s="280">
        <f>$G82+CG82-CE82</f>
        <v/>
      </c>
      <c r="CJ82" s="277">
        <f>$G82+CH82-CF82</f>
        <v/>
      </c>
      <c r="CK82" s="278" t="n">
        <v>0</v>
      </c>
      <c r="CL82" s="278" t="n">
        <v>0</v>
      </c>
      <c r="CM82" s="279">
        <f>ROUND((CK82+CL82)/2,0)</f>
        <v/>
      </c>
      <c r="CN82" s="11" t="n">
        <v>0</v>
      </c>
      <c r="CO82" s="278" t="n"/>
      <c r="CP82" s="277" t="n"/>
      <c r="CQ82" s="280">
        <f>$G82+CO82-CM82</f>
        <v/>
      </c>
      <c r="CR82" s="277">
        <f>$G82+CP82-CN82</f>
        <v/>
      </c>
      <c r="CS82" s="278" t="n">
        <v>0</v>
      </c>
      <c r="CT82" s="278" t="n">
        <v>0</v>
      </c>
      <c r="CU82" s="279">
        <f>ROUND((CS82+CT82)/2,0)</f>
        <v/>
      </c>
      <c r="CV82" s="11" t="n">
        <v>0</v>
      </c>
      <c r="CW82" s="278" t="n"/>
      <c r="CX82" s="277" t="n"/>
      <c r="CY82" s="280">
        <f>$G82+CW82-CU82</f>
        <v/>
      </c>
      <c r="CZ82" s="277">
        <f>$G82+CX82-CV82</f>
        <v/>
      </c>
    </row>
    <row r="83" ht="17.25" customHeight="1" s="480">
      <c r="A83" s="28" t="inlineStr">
        <is>
          <t>ABC80</t>
        </is>
      </c>
      <c r="B83" s="379" t="n"/>
      <c r="C83" s="27" t="n"/>
      <c r="D83" s="28">
        <f>_xlfn.XLOOKUP(A83,'ABC-XYZ분석 (2)'!C:C,'ABC-XYZ분석 (2)'!I:I)</f>
        <v/>
      </c>
      <c r="E83" s="28">
        <f>_xlfn.XLOOKUP(A83,'ABC-XYZ분석 (2)'!C:C,'ABC-XYZ분석 (2)'!AC:AC)</f>
        <v/>
      </c>
      <c r="F83" s="3">
        <f>_xlfn.XLOOKUP(A83,'ABC-XYZ분석 (2)'!C:C,'ABC-XYZ분석 (2)'!AG:AG)</f>
        <v/>
      </c>
      <c r="G83" s="14">
        <f>SUMIF(재고!C:C,PSI_메인!A83,재고!I:I)</f>
        <v/>
      </c>
      <c r="H83" s="277" t="n">
        <v>708</v>
      </c>
      <c r="I83" s="278" t="n">
        <v>0</v>
      </c>
      <c r="J83" s="278" t="n">
        <v>0</v>
      </c>
      <c r="K83" s="279" t="n">
        <v>0</v>
      </c>
      <c r="L83" s="11" t="n">
        <v>0</v>
      </c>
      <c r="M83" s="9">
        <f>SUMIFS(입항스케줄!J:J,입항스케줄!C:C,PSI_메인!A83,입항스케줄!U:U,"2601")</f>
        <v/>
      </c>
      <c r="N83" s="11">
        <f>SUMIFS(입항스케줄!J:J,입항스케줄!C:C,PSI_메인!A83,입항스케줄!V:V,"2601")</f>
        <v/>
      </c>
      <c r="O83" s="280">
        <f>$G83+M83-K83</f>
        <v/>
      </c>
      <c r="P83" s="277">
        <f>$G83+N83-L83</f>
        <v/>
      </c>
      <c r="Q83" s="278" t="n">
        <v>0</v>
      </c>
      <c r="R83" s="278" t="n">
        <v>0</v>
      </c>
      <c r="S83" s="10" t="n">
        <v>0</v>
      </c>
      <c r="T83" s="11" t="n">
        <v>0</v>
      </c>
      <c r="U83" s="9">
        <f>SUMIFS(입항스케줄!J:J,입항스케줄!C:C,PSI_메인!A83,입항스케줄!U:U,"2602")</f>
        <v/>
      </c>
      <c r="V83" s="11">
        <f>SUMIFS(입항스케줄!J:J,입항스케줄!C:C,PSI_메인!A83,입항스케줄!V:V,"2602")</f>
        <v/>
      </c>
      <c r="W83" s="280">
        <f>$G83+U83-S83</f>
        <v/>
      </c>
      <c r="X83" s="277">
        <f>$G83+V83-T83</f>
        <v/>
      </c>
      <c r="Y83" s="278" t="n">
        <v>0</v>
      </c>
      <c r="Z83" s="278" t="n">
        <v>0</v>
      </c>
      <c r="AA83" s="279">
        <f>ROUND((Y83+Z83)/2,0)</f>
        <v/>
      </c>
      <c r="AB83" s="11" t="n">
        <v>0</v>
      </c>
      <c r="AC83" s="9">
        <f>SUMIFS(입항스케줄!J:J,입항스케줄!C:C,PSI_메인!A83,입항스케줄!U:U,"2603")</f>
        <v/>
      </c>
      <c r="AD83" s="11">
        <f>SUMIFS(입항스케줄!J:J,입항스케줄!C:C,PSI_메인!A83,입항스케줄!V:V,"2603")</f>
        <v/>
      </c>
      <c r="AE83" s="280">
        <f>$G83+AC83-AA83</f>
        <v/>
      </c>
      <c r="AF83" s="277">
        <f>$G83+AD83-AB83</f>
        <v/>
      </c>
      <c r="AG83" s="278" t="n">
        <v>0</v>
      </c>
      <c r="AH83" s="278" t="n">
        <v>0</v>
      </c>
      <c r="AI83" s="279">
        <f>ROUND((AG83+AH83)/2,0)</f>
        <v/>
      </c>
      <c r="AJ83" s="11" t="n">
        <v>0</v>
      </c>
      <c r="AK83" s="9">
        <f>SUMIFS(입항스케줄!J:J,입항스케줄!C:C,PSI_메인!A83,입항스케줄!U:U,"2604")</f>
        <v/>
      </c>
      <c r="AL83" s="11">
        <f>SUMIFS(입항스케줄!J:J,입항스케줄!C:C,PSI_메인!A83,입항스케줄!V:V,"2604")</f>
        <v/>
      </c>
      <c r="AM83" s="280">
        <f>$G83+AK83-AI83</f>
        <v/>
      </c>
      <c r="AN83" s="277">
        <f>$G83+AL83-AJ83</f>
        <v/>
      </c>
      <c r="AO83" s="278" t="n">
        <v>0</v>
      </c>
      <c r="AP83" s="278" t="n">
        <v>0</v>
      </c>
      <c r="AQ83" s="279">
        <f>ROUND((AO83+AP83)/2,0)</f>
        <v/>
      </c>
      <c r="AR83" s="11" t="n">
        <v>0</v>
      </c>
      <c r="AS83" s="9" t="n"/>
      <c r="AT83" s="277" t="n"/>
      <c r="AU83" s="280">
        <f>$G83+AS83-AQ83</f>
        <v/>
      </c>
      <c r="AV83" s="277">
        <f>$G83+AT83-AR83</f>
        <v/>
      </c>
      <c r="AW83" s="278" t="n">
        <v>0</v>
      </c>
      <c r="AX83" s="278" t="n">
        <v>0</v>
      </c>
      <c r="AY83" s="279">
        <f>ROUND((AW83+AX83)/2,0)</f>
        <v/>
      </c>
      <c r="AZ83" s="11" t="n">
        <v>0</v>
      </c>
      <c r="BA83" s="9" t="n"/>
      <c r="BB83" s="11" t="n"/>
      <c r="BC83" s="280">
        <f>$G83+BA83-AY83</f>
        <v/>
      </c>
      <c r="BD83" s="277">
        <f>$G83+BB83-AZ83</f>
        <v/>
      </c>
      <c r="BE83" s="278" t="n">
        <v>0</v>
      </c>
      <c r="BF83" s="278" t="n">
        <v>0</v>
      </c>
      <c r="BG83" s="279">
        <f>ROUND((BE83+BF83)/2,0)</f>
        <v/>
      </c>
      <c r="BH83" s="11" t="n">
        <v>0</v>
      </c>
      <c r="BI83" s="278" t="n"/>
      <c r="BJ83" s="11" t="n"/>
      <c r="BK83" s="280">
        <f>$G83+BI83-BG83</f>
        <v/>
      </c>
      <c r="BL83" s="277">
        <f>$G83+BJ83-BH83</f>
        <v/>
      </c>
      <c r="BM83" s="278" t="n">
        <v>0</v>
      </c>
      <c r="BN83" s="278" t="n">
        <v>0</v>
      </c>
      <c r="BO83" s="279">
        <f>ROUND((BM83+BN83)/2,0)</f>
        <v/>
      </c>
      <c r="BP83" s="11" t="n">
        <v>0</v>
      </c>
      <c r="BQ83" s="278" t="n"/>
      <c r="BR83" s="11" t="n"/>
      <c r="BS83" s="280">
        <f>$G83+BQ83-BO83</f>
        <v/>
      </c>
      <c r="BT83" s="277">
        <f>$G83+BR83-BP83</f>
        <v/>
      </c>
      <c r="BU83" s="278" t="n">
        <v>0</v>
      </c>
      <c r="BV83" s="278" t="n">
        <v>0</v>
      </c>
      <c r="BW83" s="279">
        <f>ROUND((BU83+BV83)/2,0)</f>
        <v/>
      </c>
      <c r="BX83" s="11" t="n">
        <v>0</v>
      </c>
      <c r="BY83" s="278" t="n"/>
      <c r="BZ83" s="11" t="n"/>
      <c r="CA83" s="280">
        <f>$G83+BY83-BW83</f>
        <v/>
      </c>
      <c r="CB83" s="277">
        <f>$G83+BZ83-BX83</f>
        <v/>
      </c>
      <c r="CC83" s="278" t="n">
        <v>0</v>
      </c>
      <c r="CD83" s="278" t="n">
        <v>0</v>
      </c>
      <c r="CE83" s="279">
        <f>ROUND((CC83+CD83)/2,0)</f>
        <v/>
      </c>
      <c r="CF83" s="11" t="n">
        <v>0</v>
      </c>
      <c r="CG83" s="278" t="n"/>
      <c r="CH83" s="11" t="n"/>
      <c r="CI83" s="280">
        <f>$G83+CG83-CE83</f>
        <v/>
      </c>
      <c r="CJ83" s="277">
        <f>$G83+CH83-CF83</f>
        <v/>
      </c>
      <c r="CK83" s="278" t="n">
        <v>0</v>
      </c>
      <c r="CL83" s="278" t="n">
        <v>0</v>
      </c>
      <c r="CM83" s="279">
        <f>ROUND((CK83+CL83)/2,0)</f>
        <v/>
      </c>
      <c r="CN83" s="11" t="n">
        <v>0</v>
      </c>
      <c r="CO83" s="278" t="n"/>
      <c r="CP83" s="277" t="n"/>
      <c r="CQ83" s="280">
        <f>$G83+CO83-CM83</f>
        <v/>
      </c>
      <c r="CR83" s="277">
        <f>$G83+CP83-CN83</f>
        <v/>
      </c>
      <c r="CS83" s="278" t="n">
        <v>0</v>
      </c>
      <c r="CT83" s="278" t="n">
        <v>0</v>
      </c>
      <c r="CU83" s="279">
        <f>ROUND((CS83+CT83)/2,0)</f>
        <v/>
      </c>
      <c r="CV83" s="11" t="n">
        <v>0</v>
      </c>
      <c r="CW83" s="278" t="n"/>
      <c r="CX83" s="277" t="n"/>
      <c r="CY83" s="280">
        <f>$G83+CW83-CU83</f>
        <v/>
      </c>
      <c r="CZ83" s="277">
        <f>$G83+CX83-CV83</f>
        <v/>
      </c>
    </row>
    <row r="84" ht="17.25" customHeight="1" s="480">
      <c r="A84" s="28" t="inlineStr">
        <is>
          <t>ABC81</t>
        </is>
      </c>
      <c r="B84" s="379" t="n"/>
      <c r="C84" s="27" t="n"/>
      <c r="D84" s="28">
        <f>_xlfn.XLOOKUP(A84,'ABC-XYZ분석 (2)'!C:C,'ABC-XYZ분석 (2)'!I:I)</f>
        <v/>
      </c>
      <c r="E84" s="28">
        <f>_xlfn.XLOOKUP(A84,'ABC-XYZ분석 (2)'!C:C,'ABC-XYZ분석 (2)'!AC:AC)</f>
        <v/>
      </c>
      <c r="F84" s="3">
        <f>_xlfn.XLOOKUP(A84,'ABC-XYZ분석 (2)'!C:C,'ABC-XYZ분석 (2)'!AG:AG)</f>
        <v/>
      </c>
      <c r="G84" s="14">
        <f>SUMIF(재고!C:C,PSI_메인!A84,재고!I:I)</f>
        <v/>
      </c>
      <c r="H84" s="277" t="n">
        <v>838</v>
      </c>
      <c r="I84" s="278" t="n">
        <v>0</v>
      </c>
      <c r="J84" s="278" t="n">
        <v>0</v>
      </c>
      <c r="K84" s="279" t="n">
        <v>450</v>
      </c>
      <c r="L84" s="11" t="n">
        <v>0</v>
      </c>
      <c r="M84" s="9">
        <f>SUMIFS(입항스케줄!J:J,입항스케줄!C:C,PSI_메인!A84,입항스케줄!U:U,"2601")</f>
        <v/>
      </c>
      <c r="N84" s="11">
        <f>SUMIFS(입항스케줄!J:J,입항스케줄!C:C,PSI_메인!A84,입항스케줄!V:V,"2601")</f>
        <v/>
      </c>
      <c r="O84" s="280">
        <f>$G84+M84-K84</f>
        <v/>
      </c>
      <c r="P84" s="277">
        <f>$G84+N84-L84</f>
        <v/>
      </c>
      <c r="Q84" s="278" t="n">
        <v>0</v>
      </c>
      <c r="R84" s="278" t="n">
        <v>0</v>
      </c>
      <c r="S84" s="10" t="n">
        <v>300</v>
      </c>
      <c r="T84" s="11" t="n">
        <v>0</v>
      </c>
      <c r="U84" s="9">
        <f>SUMIFS(입항스케줄!J:J,입항스케줄!C:C,PSI_메인!A84,입항스케줄!U:U,"2602")</f>
        <v/>
      </c>
      <c r="V84" s="11">
        <f>SUMIFS(입항스케줄!J:J,입항스케줄!C:C,PSI_메인!A84,입항스케줄!V:V,"2602")</f>
        <v/>
      </c>
      <c r="W84" s="280">
        <f>$G84+U84-S84</f>
        <v/>
      </c>
      <c r="X84" s="277">
        <f>$G84+V84-T84</f>
        <v/>
      </c>
      <c r="Y84" s="278" t="n">
        <v>0</v>
      </c>
      <c r="Z84" s="278" t="n">
        <v>0</v>
      </c>
      <c r="AA84" s="279">
        <f>ROUND((Y84+Z84)/2,0)</f>
        <v/>
      </c>
      <c r="AB84" s="11" t="n">
        <v>0</v>
      </c>
      <c r="AC84" s="9">
        <f>SUMIFS(입항스케줄!J:J,입항스케줄!C:C,PSI_메인!A84,입항스케줄!U:U,"2603")</f>
        <v/>
      </c>
      <c r="AD84" s="11">
        <f>SUMIFS(입항스케줄!J:J,입항스케줄!C:C,PSI_메인!A84,입항스케줄!V:V,"2603")</f>
        <v/>
      </c>
      <c r="AE84" s="280">
        <f>$G84+AC84-AA84</f>
        <v/>
      </c>
      <c r="AF84" s="277">
        <f>$G84+AD84-AB84</f>
        <v/>
      </c>
      <c r="AG84" s="278" t="n">
        <v>0</v>
      </c>
      <c r="AH84" s="278" t="n">
        <v>0</v>
      </c>
      <c r="AI84" s="279">
        <f>ROUND((AG84+AH84)/2,0)</f>
        <v/>
      </c>
      <c r="AJ84" s="11" t="n">
        <v>0</v>
      </c>
      <c r="AK84" s="9">
        <f>SUMIFS(입항스케줄!J:J,입항스케줄!C:C,PSI_메인!A84,입항스케줄!U:U,"2604")</f>
        <v/>
      </c>
      <c r="AL84" s="11">
        <f>SUMIFS(입항스케줄!J:J,입항스케줄!C:C,PSI_메인!A84,입항스케줄!V:V,"2604")</f>
        <v/>
      </c>
      <c r="AM84" s="280">
        <f>$G84+AK84-AI84</f>
        <v/>
      </c>
      <c r="AN84" s="277">
        <f>$G84+AL84-AJ84</f>
        <v/>
      </c>
      <c r="AO84" s="278" t="n">
        <v>0</v>
      </c>
      <c r="AP84" s="278" t="n">
        <v>0</v>
      </c>
      <c r="AQ84" s="279">
        <f>ROUND((AO84+AP84)/2,0)</f>
        <v/>
      </c>
      <c r="AR84" s="11" t="n">
        <v>0</v>
      </c>
      <c r="AS84" s="9" t="n"/>
      <c r="AT84" s="277" t="n"/>
      <c r="AU84" s="280">
        <f>$G84+AS84-AQ84</f>
        <v/>
      </c>
      <c r="AV84" s="277">
        <f>$G84+AT84-AR84</f>
        <v/>
      </c>
      <c r="AW84" s="278" t="n">
        <v>0</v>
      </c>
      <c r="AX84" s="278" t="n">
        <v>0</v>
      </c>
      <c r="AY84" s="279">
        <f>ROUND((AW84+AX84)/2,0)</f>
        <v/>
      </c>
      <c r="AZ84" s="11" t="n">
        <v>0</v>
      </c>
      <c r="BA84" s="9" t="n"/>
      <c r="BB84" s="11" t="n"/>
      <c r="BC84" s="280">
        <f>$G84+BA84-AY84</f>
        <v/>
      </c>
      <c r="BD84" s="277">
        <f>$G84+BB84-AZ84</f>
        <v/>
      </c>
      <c r="BE84" s="278" t="n">
        <v>0</v>
      </c>
      <c r="BF84" s="278" t="n">
        <v>0</v>
      </c>
      <c r="BG84" s="279">
        <f>ROUND((BE84+BF84)/2,0)</f>
        <v/>
      </c>
      <c r="BH84" s="11" t="n">
        <v>0</v>
      </c>
      <c r="BI84" s="278" t="n"/>
      <c r="BJ84" s="11" t="n"/>
      <c r="BK84" s="280">
        <f>$G84+BI84-BG84</f>
        <v/>
      </c>
      <c r="BL84" s="277">
        <f>$G84+BJ84-BH84</f>
        <v/>
      </c>
      <c r="BM84" s="278" t="n">
        <v>0</v>
      </c>
      <c r="BN84" s="278" t="n">
        <v>0</v>
      </c>
      <c r="BO84" s="279">
        <f>ROUND((BM84+BN84)/2,0)</f>
        <v/>
      </c>
      <c r="BP84" s="11" t="n">
        <v>0</v>
      </c>
      <c r="BQ84" s="278" t="n"/>
      <c r="BR84" s="11" t="n"/>
      <c r="BS84" s="280">
        <f>$G84+BQ84-BO84</f>
        <v/>
      </c>
      <c r="BT84" s="277">
        <f>$G84+BR84-BP84</f>
        <v/>
      </c>
      <c r="BU84" s="278" t="n">
        <v>0</v>
      </c>
      <c r="BV84" s="278" t="n">
        <v>0</v>
      </c>
      <c r="BW84" s="279">
        <f>ROUND((BU84+BV84)/2,0)</f>
        <v/>
      </c>
      <c r="BX84" s="11" t="n">
        <v>0</v>
      </c>
      <c r="BY84" s="278" t="n"/>
      <c r="BZ84" s="11" t="n"/>
      <c r="CA84" s="280">
        <f>$G84+BY84-BW84</f>
        <v/>
      </c>
      <c r="CB84" s="277">
        <f>$G84+BZ84-BX84</f>
        <v/>
      </c>
      <c r="CC84" s="278" t="n">
        <v>0</v>
      </c>
      <c r="CD84" s="278" t="n">
        <v>0</v>
      </c>
      <c r="CE84" s="279">
        <f>ROUND((CC84+CD84)/2,0)</f>
        <v/>
      </c>
      <c r="CF84" s="11" t="n">
        <v>0</v>
      </c>
      <c r="CG84" s="278" t="n"/>
      <c r="CH84" s="11" t="n"/>
      <c r="CI84" s="280">
        <f>$G84+CG84-CE84</f>
        <v/>
      </c>
      <c r="CJ84" s="277">
        <f>$G84+CH84-CF84</f>
        <v/>
      </c>
      <c r="CK84" s="278" t="n">
        <v>0</v>
      </c>
      <c r="CL84" s="278" t="n">
        <v>0</v>
      </c>
      <c r="CM84" s="279">
        <f>ROUND((CK84+CL84)/2,0)</f>
        <v/>
      </c>
      <c r="CN84" s="11" t="n">
        <v>0</v>
      </c>
      <c r="CO84" s="278" t="n"/>
      <c r="CP84" s="277" t="n"/>
      <c r="CQ84" s="280">
        <f>$G84+CO84-CM84</f>
        <v/>
      </c>
      <c r="CR84" s="277">
        <f>$G84+CP84-CN84</f>
        <v/>
      </c>
      <c r="CS84" s="278" t="n">
        <v>0</v>
      </c>
      <c r="CT84" s="278" t="n">
        <v>0</v>
      </c>
      <c r="CU84" s="279">
        <f>ROUND((CS84+CT84)/2,0)</f>
        <v/>
      </c>
      <c r="CV84" s="11" t="n">
        <v>0</v>
      </c>
      <c r="CW84" s="278" t="n"/>
      <c r="CX84" s="277" t="n"/>
      <c r="CY84" s="280">
        <f>$G84+CW84-CU84</f>
        <v/>
      </c>
      <c r="CZ84" s="277">
        <f>$G84+CX84-CV84</f>
        <v/>
      </c>
    </row>
    <row r="85" ht="17.25" customHeight="1" s="480">
      <c r="A85" s="28" t="inlineStr">
        <is>
          <t>ABC82</t>
        </is>
      </c>
      <c r="B85" s="379" t="n"/>
      <c r="C85" s="27" t="n"/>
      <c r="D85" s="28">
        <f>_xlfn.XLOOKUP(A85,'ABC-XYZ분석 (2)'!C:C,'ABC-XYZ분석 (2)'!I:I)</f>
        <v/>
      </c>
      <c r="E85" s="28">
        <f>_xlfn.XLOOKUP(A85,'ABC-XYZ분석 (2)'!C:C,'ABC-XYZ분석 (2)'!AC:AC)</f>
        <v/>
      </c>
      <c r="F85" s="3">
        <f>_xlfn.XLOOKUP(A85,'ABC-XYZ분석 (2)'!C:C,'ABC-XYZ분석 (2)'!AG:AG)</f>
        <v/>
      </c>
      <c r="G85" s="14">
        <f>SUMIF(재고!C:C,PSI_메인!A85,재고!I:I)</f>
        <v/>
      </c>
      <c r="H85" s="277" t="n">
        <v>1292</v>
      </c>
      <c r="I85" s="278" t="n">
        <v>0</v>
      </c>
      <c r="J85" s="278" t="n">
        <v>0</v>
      </c>
      <c r="K85" s="279" t="n">
        <v>100</v>
      </c>
      <c r="L85" s="11" t="n">
        <v>0</v>
      </c>
      <c r="M85" s="9">
        <f>SUMIFS(입항스케줄!J:J,입항스케줄!C:C,PSI_메인!A85,입항스케줄!U:U,"2601")</f>
        <v/>
      </c>
      <c r="N85" s="11">
        <f>SUMIFS(입항스케줄!J:J,입항스케줄!C:C,PSI_메인!A85,입항스케줄!V:V,"2601")</f>
        <v/>
      </c>
      <c r="O85" s="280">
        <f>$G85+M85-K85</f>
        <v/>
      </c>
      <c r="P85" s="277">
        <f>$G85+N85-L85</f>
        <v/>
      </c>
      <c r="Q85" s="278" t="n">
        <v>0</v>
      </c>
      <c r="R85" s="278" t="n">
        <v>0</v>
      </c>
      <c r="S85" s="10" t="n">
        <v>300</v>
      </c>
      <c r="T85" s="11" t="n">
        <v>0</v>
      </c>
      <c r="U85" s="9">
        <f>SUMIFS(입항스케줄!J:J,입항스케줄!C:C,PSI_메인!A85,입항스케줄!U:U,"2602")</f>
        <v/>
      </c>
      <c r="V85" s="11">
        <f>SUMIFS(입항스케줄!J:J,입항스케줄!C:C,PSI_메인!A85,입항스케줄!V:V,"2602")</f>
        <v/>
      </c>
      <c r="W85" s="280">
        <f>$G85+U85-S85</f>
        <v/>
      </c>
      <c r="X85" s="277">
        <f>$G85+V85-T85</f>
        <v/>
      </c>
      <c r="Y85" s="278" t="n">
        <v>0</v>
      </c>
      <c r="Z85" s="278" t="n">
        <v>0</v>
      </c>
      <c r="AA85" s="279">
        <f>ROUND((Y85+Z85)/2,0)</f>
        <v/>
      </c>
      <c r="AB85" s="11" t="n">
        <v>0</v>
      </c>
      <c r="AC85" s="9">
        <f>SUMIFS(입항스케줄!J:J,입항스케줄!C:C,PSI_메인!A85,입항스케줄!U:U,"2603")</f>
        <v/>
      </c>
      <c r="AD85" s="11">
        <f>SUMIFS(입항스케줄!J:J,입항스케줄!C:C,PSI_메인!A85,입항스케줄!V:V,"2603")</f>
        <v/>
      </c>
      <c r="AE85" s="280">
        <f>$G85+AC85-AA85</f>
        <v/>
      </c>
      <c r="AF85" s="277">
        <f>$G85+AD85-AB85</f>
        <v/>
      </c>
      <c r="AG85" s="278" t="n">
        <v>0</v>
      </c>
      <c r="AH85" s="278" t="n">
        <v>0</v>
      </c>
      <c r="AI85" s="279">
        <f>ROUND((AG85+AH85)/2,0)</f>
        <v/>
      </c>
      <c r="AJ85" s="11" t="n">
        <v>0</v>
      </c>
      <c r="AK85" s="9">
        <f>SUMIFS(입항스케줄!J:J,입항스케줄!C:C,PSI_메인!A85,입항스케줄!U:U,"2604")</f>
        <v/>
      </c>
      <c r="AL85" s="11">
        <f>SUMIFS(입항스케줄!J:J,입항스케줄!C:C,PSI_메인!A85,입항스케줄!V:V,"2604")</f>
        <v/>
      </c>
      <c r="AM85" s="280">
        <f>$G85+AK85-AI85</f>
        <v/>
      </c>
      <c r="AN85" s="277">
        <f>$G85+AL85-AJ85</f>
        <v/>
      </c>
      <c r="AO85" s="278" t="n">
        <v>0</v>
      </c>
      <c r="AP85" s="278" t="n">
        <v>0</v>
      </c>
      <c r="AQ85" s="279">
        <f>ROUND((AO85+AP85)/2,0)</f>
        <v/>
      </c>
      <c r="AR85" s="11" t="n">
        <v>0</v>
      </c>
      <c r="AS85" s="9" t="n"/>
      <c r="AT85" s="277" t="n"/>
      <c r="AU85" s="280">
        <f>$G85+AS85-AQ85</f>
        <v/>
      </c>
      <c r="AV85" s="277">
        <f>$G85+AT85-AR85</f>
        <v/>
      </c>
      <c r="AW85" s="278" t="n">
        <v>0</v>
      </c>
      <c r="AX85" s="278" t="n">
        <v>0</v>
      </c>
      <c r="AY85" s="279">
        <f>ROUND((AW85+AX85)/2,0)</f>
        <v/>
      </c>
      <c r="AZ85" s="11" t="n">
        <v>0</v>
      </c>
      <c r="BA85" s="9" t="n"/>
      <c r="BB85" s="11" t="n"/>
      <c r="BC85" s="280">
        <f>$G85+BA85-AY85</f>
        <v/>
      </c>
      <c r="BD85" s="277">
        <f>$G85+BB85-AZ85</f>
        <v/>
      </c>
      <c r="BE85" s="278" t="n">
        <v>0</v>
      </c>
      <c r="BF85" s="278" t="n">
        <v>0</v>
      </c>
      <c r="BG85" s="279">
        <f>ROUND((BE85+BF85)/2,0)</f>
        <v/>
      </c>
      <c r="BH85" s="11" t="n">
        <v>0</v>
      </c>
      <c r="BI85" s="278" t="n"/>
      <c r="BJ85" s="11" t="n"/>
      <c r="BK85" s="280">
        <f>$G85+BI85-BG85</f>
        <v/>
      </c>
      <c r="BL85" s="277">
        <f>$G85+BJ85-BH85</f>
        <v/>
      </c>
      <c r="BM85" s="278" t="n">
        <v>0</v>
      </c>
      <c r="BN85" s="278" t="n">
        <v>0</v>
      </c>
      <c r="BO85" s="279">
        <f>ROUND((BM85+BN85)/2,0)</f>
        <v/>
      </c>
      <c r="BP85" s="11" t="n">
        <v>0</v>
      </c>
      <c r="BQ85" s="278" t="n"/>
      <c r="BR85" s="11" t="n"/>
      <c r="BS85" s="280">
        <f>$G85+BQ85-BO85</f>
        <v/>
      </c>
      <c r="BT85" s="277">
        <f>$G85+BR85-BP85</f>
        <v/>
      </c>
      <c r="BU85" s="278" t="n">
        <v>0</v>
      </c>
      <c r="BV85" s="278" t="n">
        <v>0</v>
      </c>
      <c r="BW85" s="279">
        <f>ROUND((BU85+BV85)/2,0)</f>
        <v/>
      </c>
      <c r="BX85" s="11" t="n">
        <v>0</v>
      </c>
      <c r="BY85" s="278" t="n"/>
      <c r="BZ85" s="11" t="n"/>
      <c r="CA85" s="280">
        <f>$G85+BY85-BW85</f>
        <v/>
      </c>
      <c r="CB85" s="277">
        <f>$G85+BZ85-BX85</f>
        <v/>
      </c>
      <c r="CC85" s="278" t="n">
        <v>0</v>
      </c>
      <c r="CD85" s="278" t="n">
        <v>0</v>
      </c>
      <c r="CE85" s="279">
        <f>ROUND((CC85+CD85)/2,0)</f>
        <v/>
      </c>
      <c r="CF85" s="11" t="n">
        <v>0</v>
      </c>
      <c r="CG85" s="278" t="n"/>
      <c r="CH85" s="11" t="n"/>
      <c r="CI85" s="280">
        <f>$G85+CG85-CE85</f>
        <v/>
      </c>
      <c r="CJ85" s="277">
        <f>$G85+CH85-CF85</f>
        <v/>
      </c>
      <c r="CK85" s="278" t="n">
        <v>0</v>
      </c>
      <c r="CL85" s="278" t="n">
        <v>0</v>
      </c>
      <c r="CM85" s="279">
        <f>ROUND((CK85+CL85)/2,0)</f>
        <v/>
      </c>
      <c r="CN85" s="11" t="n">
        <v>0</v>
      </c>
      <c r="CO85" s="278" t="n"/>
      <c r="CP85" s="277" t="n"/>
      <c r="CQ85" s="280">
        <f>$G85+CO85-CM85</f>
        <v/>
      </c>
      <c r="CR85" s="277">
        <f>$G85+CP85-CN85</f>
        <v/>
      </c>
      <c r="CS85" s="278" t="n">
        <v>0</v>
      </c>
      <c r="CT85" s="278" t="n">
        <v>0</v>
      </c>
      <c r="CU85" s="279">
        <f>ROUND((CS85+CT85)/2,0)</f>
        <v/>
      </c>
      <c r="CV85" s="11" t="n">
        <v>0</v>
      </c>
      <c r="CW85" s="278" t="n"/>
      <c r="CX85" s="277" t="n"/>
      <c r="CY85" s="280">
        <f>$G85+CW85-CU85</f>
        <v/>
      </c>
      <c r="CZ85" s="277">
        <f>$G85+CX85-CV85</f>
        <v/>
      </c>
    </row>
    <row r="86" ht="17.25" customHeight="1" s="480">
      <c r="A86" s="28" t="inlineStr">
        <is>
          <t>ABC83</t>
        </is>
      </c>
      <c r="B86" s="379" t="n"/>
      <c r="C86" s="27" t="n"/>
      <c r="D86" s="28">
        <f>_xlfn.XLOOKUP(A86,'ABC-XYZ분석 (2)'!C:C,'ABC-XYZ분석 (2)'!I:I)</f>
        <v/>
      </c>
      <c r="E86" s="28">
        <f>_xlfn.XLOOKUP(A86,'ABC-XYZ분석 (2)'!C:C,'ABC-XYZ분석 (2)'!AC:AC)</f>
        <v/>
      </c>
      <c r="F86" s="3">
        <f>_xlfn.XLOOKUP(A86,'ABC-XYZ분석 (2)'!C:C,'ABC-XYZ분석 (2)'!AG:AG)</f>
        <v/>
      </c>
      <c r="G86" s="14">
        <f>SUMIF(재고!C:C,PSI_메인!A86,재고!I:I)</f>
        <v/>
      </c>
      <c r="H86" s="277" t="n">
        <v>3336</v>
      </c>
      <c r="I86" s="278" t="n">
        <v>0</v>
      </c>
      <c r="J86" s="278" t="n">
        <v>0</v>
      </c>
      <c r="K86" s="279" t="n">
        <v>2000</v>
      </c>
      <c r="L86" s="11" t="n">
        <v>0</v>
      </c>
      <c r="M86" s="9">
        <f>SUMIFS(입항스케줄!J:J,입항스케줄!C:C,PSI_메인!A86,입항스케줄!U:U,"2601")</f>
        <v/>
      </c>
      <c r="N86" s="11">
        <f>SUMIFS(입항스케줄!J:J,입항스케줄!C:C,PSI_메인!A86,입항스케줄!V:V,"2601")</f>
        <v/>
      </c>
      <c r="O86" s="280">
        <f>$G86+M86-K86</f>
        <v/>
      </c>
      <c r="P86" s="277">
        <f>$G86+N86-L86</f>
        <v/>
      </c>
      <c r="Q86" s="278" t="n">
        <v>0</v>
      </c>
      <c r="R86" s="278" t="n">
        <v>0</v>
      </c>
      <c r="S86" s="10" t="n">
        <v>0</v>
      </c>
      <c r="T86" s="11" t="n">
        <v>0</v>
      </c>
      <c r="U86" s="9">
        <f>SUMIFS(입항스케줄!J:J,입항스케줄!C:C,PSI_메인!A86,입항스케줄!U:U,"2602")</f>
        <v/>
      </c>
      <c r="V86" s="11">
        <f>SUMIFS(입항스케줄!J:J,입항스케줄!C:C,PSI_메인!A86,입항스케줄!V:V,"2602")</f>
        <v/>
      </c>
      <c r="W86" s="280">
        <f>$G86+U86-S86</f>
        <v/>
      </c>
      <c r="X86" s="277">
        <f>$G86+V86-T86</f>
        <v/>
      </c>
      <c r="Y86" s="278" t="n">
        <v>0</v>
      </c>
      <c r="Z86" s="278" t="n">
        <v>0</v>
      </c>
      <c r="AA86" s="279">
        <f>ROUND((Y86+Z86)/2,0)</f>
        <v/>
      </c>
      <c r="AB86" s="11" t="n">
        <v>0</v>
      </c>
      <c r="AC86" s="9">
        <f>SUMIFS(입항스케줄!J:J,입항스케줄!C:C,PSI_메인!A86,입항스케줄!U:U,"2603")</f>
        <v/>
      </c>
      <c r="AD86" s="11">
        <f>SUMIFS(입항스케줄!J:J,입항스케줄!C:C,PSI_메인!A86,입항스케줄!V:V,"2603")</f>
        <v/>
      </c>
      <c r="AE86" s="280">
        <f>$G86+AC86-AA86</f>
        <v/>
      </c>
      <c r="AF86" s="277">
        <f>$G86+AD86-AB86</f>
        <v/>
      </c>
      <c r="AG86" s="278" t="n">
        <v>0</v>
      </c>
      <c r="AH86" s="278" t="n">
        <v>0</v>
      </c>
      <c r="AI86" s="279">
        <f>ROUND((AG86+AH86)/2,0)</f>
        <v/>
      </c>
      <c r="AJ86" s="11" t="n">
        <v>0</v>
      </c>
      <c r="AK86" s="9">
        <f>SUMIFS(입항스케줄!J:J,입항스케줄!C:C,PSI_메인!A86,입항스케줄!U:U,"2604")</f>
        <v/>
      </c>
      <c r="AL86" s="11">
        <f>SUMIFS(입항스케줄!J:J,입항스케줄!C:C,PSI_메인!A86,입항스케줄!V:V,"2604")</f>
        <v/>
      </c>
      <c r="AM86" s="280">
        <f>$G86+AK86-AI86</f>
        <v/>
      </c>
      <c r="AN86" s="277">
        <f>$G86+AL86-AJ86</f>
        <v/>
      </c>
      <c r="AO86" s="278" t="n">
        <v>0</v>
      </c>
      <c r="AP86" s="278" t="n">
        <v>0</v>
      </c>
      <c r="AQ86" s="279">
        <f>ROUND((AO86+AP86)/2,0)</f>
        <v/>
      </c>
      <c r="AR86" s="11" t="n">
        <v>0</v>
      </c>
      <c r="AS86" s="9" t="n"/>
      <c r="AT86" s="277" t="n"/>
      <c r="AU86" s="280">
        <f>$G86+AS86-AQ86</f>
        <v/>
      </c>
      <c r="AV86" s="277">
        <f>$G86+AT86-AR86</f>
        <v/>
      </c>
      <c r="AW86" s="278" t="n">
        <v>0</v>
      </c>
      <c r="AX86" s="278" t="n">
        <v>0</v>
      </c>
      <c r="AY86" s="279">
        <f>ROUND((AW86+AX86)/2,0)</f>
        <v/>
      </c>
      <c r="AZ86" s="11" t="n">
        <v>0</v>
      </c>
      <c r="BA86" s="9" t="n"/>
      <c r="BB86" s="11" t="n"/>
      <c r="BC86" s="280">
        <f>$G86+BA86-AY86</f>
        <v/>
      </c>
      <c r="BD86" s="277">
        <f>$G86+BB86-AZ86</f>
        <v/>
      </c>
      <c r="BE86" s="278" t="n">
        <v>0</v>
      </c>
      <c r="BF86" s="278" t="n">
        <v>0</v>
      </c>
      <c r="BG86" s="279">
        <f>ROUND((BE86+BF86)/2,0)</f>
        <v/>
      </c>
      <c r="BH86" s="11" t="n">
        <v>0</v>
      </c>
      <c r="BI86" s="278" t="n"/>
      <c r="BJ86" s="11" t="n"/>
      <c r="BK86" s="280">
        <f>$G86+BI86-BG86</f>
        <v/>
      </c>
      <c r="BL86" s="277">
        <f>$G86+BJ86-BH86</f>
        <v/>
      </c>
      <c r="BM86" s="278" t="n">
        <v>0</v>
      </c>
      <c r="BN86" s="278" t="n">
        <v>0</v>
      </c>
      <c r="BO86" s="279">
        <f>ROUND((BM86+BN86)/2,0)</f>
        <v/>
      </c>
      <c r="BP86" s="11" t="n">
        <v>0</v>
      </c>
      <c r="BQ86" s="278" t="n"/>
      <c r="BR86" s="11" t="n"/>
      <c r="BS86" s="280">
        <f>$G86+BQ86-BO86</f>
        <v/>
      </c>
      <c r="BT86" s="277">
        <f>$G86+BR86-BP86</f>
        <v/>
      </c>
      <c r="BU86" s="278" t="n">
        <v>0</v>
      </c>
      <c r="BV86" s="278" t="n">
        <v>0</v>
      </c>
      <c r="BW86" s="279">
        <f>ROUND((BU86+BV86)/2,0)</f>
        <v/>
      </c>
      <c r="BX86" s="11" t="n">
        <v>0</v>
      </c>
      <c r="BY86" s="278" t="n"/>
      <c r="BZ86" s="11" t="n"/>
      <c r="CA86" s="280">
        <f>$G86+BY86-BW86</f>
        <v/>
      </c>
      <c r="CB86" s="277">
        <f>$G86+BZ86-BX86</f>
        <v/>
      </c>
      <c r="CC86" s="278" t="n">
        <v>0</v>
      </c>
      <c r="CD86" s="278" t="n">
        <v>0</v>
      </c>
      <c r="CE86" s="279">
        <f>ROUND((CC86+CD86)/2,0)</f>
        <v/>
      </c>
      <c r="CF86" s="11" t="n">
        <v>0</v>
      </c>
      <c r="CG86" s="278" t="n"/>
      <c r="CH86" s="11" t="n"/>
      <c r="CI86" s="280">
        <f>$G86+CG86-CE86</f>
        <v/>
      </c>
      <c r="CJ86" s="277">
        <f>$G86+CH86-CF86</f>
        <v/>
      </c>
      <c r="CK86" s="278" t="n">
        <v>0</v>
      </c>
      <c r="CL86" s="278" t="n">
        <v>0</v>
      </c>
      <c r="CM86" s="279">
        <f>ROUND((CK86+CL86)/2,0)</f>
        <v/>
      </c>
      <c r="CN86" s="11" t="n">
        <v>0</v>
      </c>
      <c r="CO86" s="278" t="n"/>
      <c r="CP86" s="277" t="n"/>
      <c r="CQ86" s="280">
        <f>$G86+CO86-CM86</f>
        <v/>
      </c>
      <c r="CR86" s="277">
        <f>$G86+CP86-CN86</f>
        <v/>
      </c>
      <c r="CS86" s="278" t="n">
        <v>0</v>
      </c>
      <c r="CT86" s="278" t="n">
        <v>0</v>
      </c>
      <c r="CU86" s="279">
        <f>ROUND((CS86+CT86)/2,0)</f>
        <v/>
      </c>
      <c r="CV86" s="11" t="n">
        <v>0</v>
      </c>
      <c r="CW86" s="278" t="n"/>
      <c r="CX86" s="277" t="n"/>
      <c r="CY86" s="280">
        <f>$G86+CW86-CU86</f>
        <v/>
      </c>
      <c r="CZ86" s="277">
        <f>$G86+CX86-CV86</f>
        <v/>
      </c>
    </row>
    <row r="87" ht="17.25" customHeight="1" s="480">
      <c r="A87" s="28" t="inlineStr">
        <is>
          <t>ABC84</t>
        </is>
      </c>
      <c r="B87" s="379" t="n"/>
      <c r="C87" s="27" t="n"/>
      <c r="D87" s="28">
        <f>_xlfn.XLOOKUP(A87,'ABC-XYZ분석 (2)'!C:C,'ABC-XYZ분석 (2)'!I:I)</f>
        <v/>
      </c>
      <c r="E87" s="28">
        <f>_xlfn.XLOOKUP(A87,'ABC-XYZ분석 (2)'!C:C,'ABC-XYZ분석 (2)'!AC:AC)</f>
        <v/>
      </c>
      <c r="F87" s="3">
        <f>_xlfn.XLOOKUP(A87,'ABC-XYZ분석 (2)'!C:C,'ABC-XYZ분석 (2)'!AG:AG)</f>
        <v/>
      </c>
      <c r="G87" s="14">
        <f>SUMIF(재고!C:C,PSI_메인!A87,재고!I:I)</f>
        <v/>
      </c>
      <c r="H87" s="277" t="n">
        <v>53</v>
      </c>
      <c r="I87" s="278" t="n">
        <v>0</v>
      </c>
      <c r="J87" s="278" t="n">
        <v>0</v>
      </c>
      <c r="K87" s="279" t="n">
        <v>73</v>
      </c>
      <c r="L87" s="11" t="n">
        <v>0</v>
      </c>
      <c r="M87" s="9">
        <f>SUMIFS(입항스케줄!J:J,입항스케줄!C:C,PSI_메인!A87,입항스케줄!U:U,"2601")</f>
        <v/>
      </c>
      <c r="N87" s="11">
        <f>SUMIFS(입항스케줄!J:J,입항스케줄!C:C,PSI_메인!A87,입항스케줄!V:V,"2601")</f>
        <v/>
      </c>
      <c r="O87" s="280">
        <f>$G87+M87-K87</f>
        <v/>
      </c>
      <c r="P87" s="277">
        <f>$G87+N87-L87</f>
        <v/>
      </c>
      <c r="Q87" s="278" t="n">
        <v>0</v>
      </c>
      <c r="R87" s="278" t="n">
        <v>0</v>
      </c>
      <c r="S87" s="10" t="n">
        <v>50</v>
      </c>
      <c r="T87" s="11" t="n">
        <v>0</v>
      </c>
      <c r="U87" s="9">
        <f>SUMIFS(입항스케줄!J:J,입항스케줄!C:C,PSI_메인!A87,입항스케줄!U:U,"2602")</f>
        <v/>
      </c>
      <c r="V87" s="11">
        <f>SUMIFS(입항스케줄!J:J,입항스케줄!C:C,PSI_메인!A87,입항스케줄!V:V,"2602")</f>
        <v/>
      </c>
      <c r="W87" s="280">
        <f>$G87+U87-S87</f>
        <v/>
      </c>
      <c r="X87" s="277">
        <f>$G87+V87-T87</f>
        <v/>
      </c>
      <c r="Y87" s="278" t="n">
        <v>0</v>
      </c>
      <c r="Z87" s="278" t="n">
        <v>0</v>
      </c>
      <c r="AA87" s="279">
        <f>ROUND((Y87+Z87)/2,0)</f>
        <v/>
      </c>
      <c r="AB87" s="11" t="n">
        <v>0</v>
      </c>
      <c r="AC87" s="9">
        <f>SUMIFS(입항스케줄!J:J,입항스케줄!C:C,PSI_메인!A87,입항스케줄!U:U,"2603")</f>
        <v/>
      </c>
      <c r="AD87" s="11">
        <f>SUMIFS(입항스케줄!J:J,입항스케줄!C:C,PSI_메인!A87,입항스케줄!V:V,"2603")</f>
        <v/>
      </c>
      <c r="AE87" s="280">
        <f>$G87+AC87-AA87</f>
        <v/>
      </c>
      <c r="AF87" s="277">
        <f>$G87+AD87-AB87</f>
        <v/>
      </c>
      <c r="AG87" s="278" t="n">
        <v>0</v>
      </c>
      <c r="AH87" s="278" t="n">
        <v>0</v>
      </c>
      <c r="AI87" s="279">
        <f>ROUND((AG87+AH87)/2,0)</f>
        <v/>
      </c>
      <c r="AJ87" s="11" t="n">
        <v>0</v>
      </c>
      <c r="AK87" s="9">
        <f>SUMIFS(입항스케줄!J:J,입항스케줄!C:C,PSI_메인!A87,입항스케줄!U:U,"2604")</f>
        <v/>
      </c>
      <c r="AL87" s="11">
        <f>SUMIFS(입항스케줄!J:J,입항스케줄!C:C,PSI_메인!A87,입항스케줄!V:V,"2604")</f>
        <v/>
      </c>
      <c r="AM87" s="280">
        <f>$G87+AK87-AI87</f>
        <v/>
      </c>
      <c r="AN87" s="277">
        <f>$G87+AL87-AJ87</f>
        <v/>
      </c>
      <c r="AO87" s="278" t="n">
        <v>0</v>
      </c>
      <c r="AP87" s="278" t="n">
        <v>0</v>
      </c>
      <c r="AQ87" s="279">
        <f>ROUND((AO87+AP87)/2,0)</f>
        <v/>
      </c>
      <c r="AR87" s="11" t="n">
        <v>0</v>
      </c>
      <c r="AS87" s="9" t="n"/>
      <c r="AT87" s="277" t="n"/>
      <c r="AU87" s="280">
        <f>$G87+AS87-AQ87</f>
        <v/>
      </c>
      <c r="AV87" s="277">
        <f>$G87+AT87-AR87</f>
        <v/>
      </c>
      <c r="AW87" s="278" t="n">
        <v>0</v>
      </c>
      <c r="AX87" s="278" t="n">
        <v>0</v>
      </c>
      <c r="AY87" s="279">
        <f>ROUND((AW87+AX87)/2,0)</f>
        <v/>
      </c>
      <c r="AZ87" s="11" t="n">
        <v>0</v>
      </c>
      <c r="BA87" s="9" t="n"/>
      <c r="BB87" s="11" t="n"/>
      <c r="BC87" s="280">
        <f>$G87+BA87-AY87</f>
        <v/>
      </c>
      <c r="BD87" s="277">
        <f>$G87+BB87-AZ87</f>
        <v/>
      </c>
      <c r="BE87" s="278" t="n">
        <v>0</v>
      </c>
      <c r="BF87" s="278" t="n">
        <v>0</v>
      </c>
      <c r="BG87" s="279">
        <f>ROUND((BE87+BF87)/2,0)</f>
        <v/>
      </c>
      <c r="BH87" s="11" t="n">
        <v>0</v>
      </c>
      <c r="BI87" s="278" t="n"/>
      <c r="BJ87" s="11" t="n"/>
      <c r="BK87" s="280">
        <f>$G87+BI87-BG87</f>
        <v/>
      </c>
      <c r="BL87" s="277">
        <f>$G87+BJ87-BH87</f>
        <v/>
      </c>
      <c r="BM87" s="278" t="n">
        <v>0</v>
      </c>
      <c r="BN87" s="278" t="n">
        <v>0</v>
      </c>
      <c r="BO87" s="279">
        <f>ROUND((BM87+BN87)/2,0)</f>
        <v/>
      </c>
      <c r="BP87" s="11" t="n">
        <v>0</v>
      </c>
      <c r="BQ87" s="278" t="n"/>
      <c r="BR87" s="11" t="n"/>
      <c r="BS87" s="280">
        <f>$G87+BQ87-BO87</f>
        <v/>
      </c>
      <c r="BT87" s="277">
        <f>$G87+BR87-BP87</f>
        <v/>
      </c>
      <c r="BU87" s="278" t="n">
        <v>0</v>
      </c>
      <c r="BV87" s="278" t="n">
        <v>0</v>
      </c>
      <c r="BW87" s="279">
        <f>ROUND((BU87+BV87)/2,0)</f>
        <v/>
      </c>
      <c r="BX87" s="11" t="n">
        <v>0</v>
      </c>
      <c r="BY87" s="278" t="n"/>
      <c r="BZ87" s="11" t="n"/>
      <c r="CA87" s="280">
        <f>$G87+BY87-BW87</f>
        <v/>
      </c>
      <c r="CB87" s="277">
        <f>$G87+BZ87-BX87</f>
        <v/>
      </c>
      <c r="CC87" s="278" t="n">
        <v>0</v>
      </c>
      <c r="CD87" s="278" t="n">
        <v>0</v>
      </c>
      <c r="CE87" s="279">
        <f>ROUND((CC87+CD87)/2,0)</f>
        <v/>
      </c>
      <c r="CF87" s="11" t="n">
        <v>0</v>
      </c>
      <c r="CG87" s="278" t="n"/>
      <c r="CH87" s="11" t="n"/>
      <c r="CI87" s="280">
        <f>$G87+CG87-CE87</f>
        <v/>
      </c>
      <c r="CJ87" s="277">
        <f>$G87+CH87-CF87</f>
        <v/>
      </c>
      <c r="CK87" s="278" t="n">
        <v>0</v>
      </c>
      <c r="CL87" s="278" t="n">
        <v>0</v>
      </c>
      <c r="CM87" s="279">
        <f>ROUND((CK87+CL87)/2,0)</f>
        <v/>
      </c>
      <c r="CN87" s="11" t="n">
        <v>0</v>
      </c>
      <c r="CO87" s="278" t="n"/>
      <c r="CP87" s="277" t="n"/>
      <c r="CQ87" s="280">
        <f>$G87+CO87-CM87</f>
        <v/>
      </c>
      <c r="CR87" s="277">
        <f>$G87+CP87-CN87</f>
        <v/>
      </c>
      <c r="CS87" s="278" t="n">
        <v>0</v>
      </c>
      <c r="CT87" s="278" t="n">
        <v>0</v>
      </c>
      <c r="CU87" s="279">
        <f>ROUND((CS87+CT87)/2,0)</f>
        <v/>
      </c>
      <c r="CV87" s="11" t="n">
        <v>0</v>
      </c>
      <c r="CW87" s="278" t="n"/>
      <c r="CX87" s="277" t="n"/>
      <c r="CY87" s="280">
        <f>$G87+CW87-CU87</f>
        <v/>
      </c>
      <c r="CZ87" s="277">
        <f>$G87+CX87-CV87</f>
        <v/>
      </c>
    </row>
    <row r="88" ht="17.25" customHeight="1" s="480">
      <c r="A88" s="28" t="inlineStr">
        <is>
          <t>ABC85</t>
        </is>
      </c>
      <c r="B88" s="379" t="n"/>
      <c r="C88" s="27" t="n"/>
      <c r="D88" s="28">
        <f>_xlfn.XLOOKUP(A88,'ABC-XYZ분석 (2)'!C:C,'ABC-XYZ분석 (2)'!I:I)</f>
        <v/>
      </c>
      <c r="E88" s="28">
        <f>_xlfn.XLOOKUP(A88,'ABC-XYZ분석 (2)'!C:C,'ABC-XYZ분석 (2)'!AC:AC)</f>
        <v/>
      </c>
      <c r="F88" s="3">
        <f>_xlfn.XLOOKUP(A88,'ABC-XYZ분석 (2)'!C:C,'ABC-XYZ분석 (2)'!AG:AG)</f>
        <v/>
      </c>
      <c r="G88" s="14">
        <f>SUMIF(재고!C:C,PSI_메인!A88,재고!I:I)</f>
        <v/>
      </c>
      <c r="H88" s="277" t="n">
        <v>66</v>
      </c>
      <c r="I88" s="278" t="n">
        <v>0</v>
      </c>
      <c r="J88" s="278" t="n">
        <v>0</v>
      </c>
      <c r="K88" s="279" t="n">
        <v>250</v>
      </c>
      <c r="L88" s="11" t="n">
        <v>0</v>
      </c>
      <c r="M88" s="9">
        <f>SUMIFS(입항스케줄!J:J,입항스케줄!C:C,PSI_메인!A88,입항스케줄!U:U,"2601")</f>
        <v/>
      </c>
      <c r="N88" s="11">
        <f>SUMIFS(입항스케줄!J:J,입항스케줄!C:C,PSI_메인!A88,입항스케줄!V:V,"2601")</f>
        <v/>
      </c>
      <c r="O88" s="280">
        <f>$G88+M88-K88</f>
        <v/>
      </c>
      <c r="P88" s="277">
        <f>$G88+N88-L88</f>
        <v/>
      </c>
      <c r="Q88" s="278" t="n">
        <v>0</v>
      </c>
      <c r="R88" s="278" t="n">
        <v>0</v>
      </c>
      <c r="S88" s="10" t="n">
        <v>0</v>
      </c>
      <c r="T88" s="11" t="n">
        <v>0</v>
      </c>
      <c r="U88" s="9">
        <f>SUMIFS(입항스케줄!J:J,입항스케줄!C:C,PSI_메인!A88,입항스케줄!U:U,"2602")</f>
        <v/>
      </c>
      <c r="V88" s="11">
        <f>SUMIFS(입항스케줄!J:J,입항스케줄!C:C,PSI_메인!A88,입항스케줄!V:V,"2602")</f>
        <v/>
      </c>
      <c r="W88" s="280">
        <f>$G88+U88-S88</f>
        <v/>
      </c>
      <c r="X88" s="277">
        <f>$G88+V88-T88</f>
        <v/>
      </c>
      <c r="Y88" s="278" t="n">
        <v>0</v>
      </c>
      <c r="Z88" s="278" t="n">
        <v>0</v>
      </c>
      <c r="AA88" s="279">
        <f>ROUND((Y88+Z88)/2,0)</f>
        <v/>
      </c>
      <c r="AB88" s="11" t="n">
        <v>0</v>
      </c>
      <c r="AC88" s="9">
        <f>SUMIFS(입항스케줄!J:J,입항스케줄!C:C,PSI_메인!A88,입항스케줄!U:U,"2603")</f>
        <v/>
      </c>
      <c r="AD88" s="11">
        <f>SUMIFS(입항스케줄!J:J,입항스케줄!C:C,PSI_메인!A88,입항스케줄!V:V,"2603")</f>
        <v/>
      </c>
      <c r="AE88" s="280">
        <f>$G88+AC88-AA88</f>
        <v/>
      </c>
      <c r="AF88" s="277">
        <f>$G88+AD88-AB88</f>
        <v/>
      </c>
      <c r="AG88" s="278" t="n">
        <v>0</v>
      </c>
      <c r="AH88" s="278" t="n">
        <v>0</v>
      </c>
      <c r="AI88" s="279">
        <f>ROUND((AG88+AH88)/2,0)</f>
        <v/>
      </c>
      <c r="AJ88" s="11" t="n">
        <v>0</v>
      </c>
      <c r="AK88" s="9">
        <f>SUMIFS(입항스케줄!J:J,입항스케줄!C:C,PSI_메인!A88,입항스케줄!U:U,"2604")</f>
        <v/>
      </c>
      <c r="AL88" s="11">
        <f>SUMIFS(입항스케줄!J:J,입항스케줄!C:C,PSI_메인!A88,입항스케줄!V:V,"2604")</f>
        <v/>
      </c>
      <c r="AM88" s="280">
        <f>$G88+AK88-AI88</f>
        <v/>
      </c>
      <c r="AN88" s="277">
        <f>$G88+AL88-AJ88</f>
        <v/>
      </c>
      <c r="AO88" s="278" t="n">
        <v>0</v>
      </c>
      <c r="AP88" s="278" t="n">
        <v>0</v>
      </c>
      <c r="AQ88" s="279">
        <f>ROUND((AO88+AP88)/2,0)</f>
        <v/>
      </c>
      <c r="AR88" s="11" t="n">
        <v>0</v>
      </c>
      <c r="AS88" s="9" t="n"/>
      <c r="AT88" s="277" t="n"/>
      <c r="AU88" s="280">
        <f>$G88+AS88-AQ88</f>
        <v/>
      </c>
      <c r="AV88" s="277">
        <f>$G88+AT88-AR88</f>
        <v/>
      </c>
      <c r="AW88" s="278" t="n">
        <v>0</v>
      </c>
      <c r="AX88" s="278" t="n">
        <v>0</v>
      </c>
      <c r="AY88" s="279">
        <f>ROUND((AW88+AX88)/2,0)</f>
        <v/>
      </c>
      <c r="AZ88" s="11" t="n">
        <v>0</v>
      </c>
      <c r="BA88" s="9" t="n"/>
      <c r="BB88" s="11" t="n"/>
      <c r="BC88" s="280">
        <f>$G88+BA88-AY88</f>
        <v/>
      </c>
      <c r="BD88" s="277">
        <f>$G88+BB88-AZ88</f>
        <v/>
      </c>
      <c r="BE88" s="278" t="n">
        <v>0</v>
      </c>
      <c r="BF88" s="278" t="n">
        <v>0</v>
      </c>
      <c r="BG88" s="279">
        <f>ROUND((BE88+BF88)/2,0)</f>
        <v/>
      </c>
      <c r="BH88" s="11" t="n">
        <v>0</v>
      </c>
      <c r="BI88" s="278" t="n"/>
      <c r="BJ88" s="11" t="n"/>
      <c r="BK88" s="280">
        <f>$G88+BI88-BG88</f>
        <v/>
      </c>
      <c r="BL88" s="277">
        <f>$G88+BJ88-BH88</f>
        <v/>
      </c>
      <c r="BM88" s="278" t="n">
        <v>0</v>
      </c>
      <c r="BN88" s="278" t="n">
        <v>0</v>
      </c>
      <c r="BO88" s="279">
        <f>ROUND((BM88+BN88)/2,0)</f>
        <v/>
      </c>
      <c r="BP88" s="11" t="n">
        <v>0</v>
      </c>
      <c r="BQ88" s="278" t="n"/>
      <c r="BR88" s="11" t="n"/>
      <c r="BS88" s="280">
        <f>$G88+BQ88-BO88</f>
        <v/>
      </c>
      <c r="BT88" s="277">
        <f>$G88+BR88-BP88</f>
        <v/>
      </c>
      <c r="BU88" s="278" t="n">
        <v>0</v>
      </c>
      <c r="BV88" s="278" t="n">
        <v>0</v>
      </c>
      <c r="BW88" s="279">
        <f>ROUND((BU88+BV88)/2,0)</f>
        <v/>
      </c>
      <c r="BX88" s="11" t="n">
        <v>0</v>
      </c>
      <c r="BY88" s="278" t="n"/>
      <c r="BZ88" s="11" t="n"/>
      <c r="CA88" s="280">
        <f>$G88+BY88-BW88</f>
        <v/>
      </c>
      <c r="CB88" s="277">
        <f>$G88+BZ88-BX88</f>
        <v/>
      </c>
      <c r="CC88" s="278" t="n">
        <v>0</v>
      </c>
      <c r="CD88" s="278" t="n">
        <v>0</v>
      </c>
      <c r="CE88" s="279">
        <f>ROUND((CC88+CD88)/2,0)</f>
        <v/>
      </c>
      <c r="CF88" s="11" t="n">
        <v>0</v>
      </c>
      <c r="CG88" s="278" t="n"/>
      <c r="CH88" s="11" t="n"/>
      <c r="CI88" s="280">
        <f>$G88+CG88-CE88</f>
        <v/>
      </c>
      <c r="CJ88" s="277">
        <f>$G88+CH88-CF88</f>
        <v/>
      </c>
      <c r="CK88" s="278" t="n">
        <v>0</v>
      </c>
      <c r="CL88" s="278" t="n">
        <v>0</v>
      </c>
      <c r="CM88" s="279">
        <f>ROUND((CK88+CL88)/2,0)</f>
        <v/>
      </c>
      <c r="CN88" s="11" t="n">
        <v>0</v>
      </c>
      <c r="CO88" s="278" t="n"/>
      <c r="CP88" s="277" t="n"/>
      <c r="CQ88" s="280">
        <f>$G88+CO88-CM88</f>
        <v/>
      </c>
      <c r="CR88" s="277">
        <f>$G88+CP88-CN88</f>
        <v/>
      </c>
      <c r="CS88" s="278" t="n">
        <v>0</v>
      </c>
      <c r="CT88" s="278" t="n">
        <v>0</v>
      </c>
      <c r="CU88" s="279">
        <f>ROUND((CS88+CT88)/2,0)</f>
        <v/>
      </c>
      <c r="CV88" s="11" t="n">
        <v>0</v>
      </c>
      <c r="CW88" s="278" t="n"/>
      <c r="CX88" s="277" t="n"/>
      <c r="CY88" s="280">
        <f>$G88+CW88-CU88</f>
        <v/>
      </c>
      <c r="CZ88" s="277">
        <f>$G88+CX88-CV88</f>
        <v/>
      </c>
    </row>
    <row r="89" ht="17.25" customHeight="1" s="480">
      <c r="A89" s="28" t="inlineStr">
        <is>
          <t>ABC86</t>
        </is>
      </c>
      <c r="B89" s="379" t="n"/>
      <c r="C89" s="27" t="n"/>
      <c r="D89" s="28">
        <f>_xlfn.XLOOKUP(A89,'ABC-XYZ분석 (2)'!C:C,'ABC-XYZ분석 (2)'!I:I)</f>
        <v/>
      </c>
      <c r="E89" s="28">
        <f>_xlfn.XLOOKUP(A89,'ABC-XYZ분석 (2)'!C:C,'ABC-XYZ분석 (2)'!AC:AC)</f>
        <v/>
      </c>
      <c r="F89" s="3">
        <f>_xlfn.XLOOKUP(A89,'ABC-XYZ분석 (2)'!C:C,'ABC-XYZ분석 (2)'!AG:AG)</f>
        <v/>
      </c>
      <c r="G89" s="14">
        <f>SUMIF(재고!C:C,PSI_메인!A89,재고!I:I)</f>
        <v/>
      </c>
      <c r="H89" s="277" t="n">
        <v>17</v>
      </c>
      <c r="I89" s="278" t="n">
        <v>0</v>
      </c>
      <c r="J89" s="278" t="n">
        <v>0</v>
      </c>
      <c r="K89" s="279" t="n">
        <v>90</v>
      </c>
      <c r="L89" s="11" t="n">
        <v>0</v>
      </c>
      <c r="M89" s="9">
        <f>SUMIFS(입항스케줄!J:J,입항스케줄!C:C,PSI_메인!A89,입항스케줄!U:U,"2601")</f>
        <v/>
      </c>
      <c r="N89" s="11">
        <f>SUMIFS(입항스케줄!J:J,입항스케줄!C:C,PSI_메인!A89,입항스케줄!V:V,"2601")</f>
        <v/>
      </c>
      <c r="O89" s="280">
        <f>$G89+M89-K89</f>
        <v/>
      </c>
      <c r="P89" s="277">
        <f>$G89+N89-L89</f>
        <v/>
      </c>
      <c r="Q89" s="278" t="n">
        <v>0</v>
      </c>
      <c r="R89" s="278" t="n">
        <v>0</v>
      </c>
      <c r="S89" s="10" t="n">
        <v>0</v>
      </c>
      <c r="T89" s="11" t="n">
        <v>0</v>
      </c>
      <c r="U89" s="9">
        <f>SUMIFS(입항스케줄!J:J,입항스케줄!C:C,PSI_메인!A89,입항스케줄!U:U,"2602")</f>
        <v/>
      </c>
      <c r="V89" s="11">
        <f>SUMIFS(입항스케줄!J:J,입항스케줄!C:C,PSI_메인!A89,입항스케줄!V:V,"2602")</f>
        <v/>
      </c>
      <c r="W89" s="280">
        <f>$G89+U89-S89</f>
        <v/>
      </c>
      <c r="X89" s="277">
        <f>$G89+V89-T89</f>
        <v/>
      </c>
      <c r="Y89" s="278" t="n">
        <v>0</v>
      </c>
      <c r="Z89" s="278" t="n">
        <v>0</v>
      </c>
      <c r="AA89" s="279">
        <f>ROUND((Y89+Z89)/2,0)</f>
        <v/>
      </c>
      <c r="AB89" s="11" t="n">
        <v>0</v>
      </c>
      <c r="AC89" s="9">
        <f>SUMIFS(입항스케줄!J:J,입항스케줄!C:C,PSI_메인!A89,입항스케줄!U:U,"2603")</f>
        <v/>
      </c>
      <c r="AD89" s="11">
        <f>SUMIFS(입항스케줄!J:J,입항스케줄!C:C,PSI_메인!A89,입항스케줄!V:V,"2603")</f>
        <v/>
      </c>
      <c r="AE89" s="280">
        <f>$G89+AC89-AA89</f>
        <v/>
      </c>
      <c r="AF89" s="277">
        <f>$G89+AD89-AB89</f>
        <v/>
      </c>
      <c r="AG89" s="278" t="n">
        <v>0</v>
      </c>
      <c r="AH89" s="278" t="n">
        <v>0</v>
      </c>
      <c r="AI89" s="279">
        <f>ROUND((AG89+AH89)/2,0)</f>
        <v/>
      </c>
      <c r="AJ89" s="11" t="n">
        <v>0</v>
      </c>
      <c r="AK89" s="9">
        <f>SUMIFS(입항스케줄!J:J,입항스케줄!C:C,PSI_메인!A89,입항스케줄!U:U,"2604")</f>
        <v/>
      </c>
      <c r="AL89" s="11">
        <f>SUMIFS(입항스케줄!J:J,입항스케줄!C:C,PSI_메인!A89,입항스케줄!V:V,"2604")</f>
        <v/>
      </c>
      <c r="AM89" s="280">
        <f>$G89+AK89-AI89</f>
        <v/>
      </c>
      <c r="AN89" s="277">
        <f>$G89+AL89-AJ89</f>
        <v/>
      </c>
      <c r="AO89" s="278" t="n">
        <v>0</v>
      </c>
      <c r="AP89" s="278" t="n">
        <v>0</v>
      </c>
      <c r="AQ89" s="279">
        <f>ROUND((AO89+AP89)/2,0)</f>
        <v/>
      </c>
      <c r="AR89" s="11" t="n">
        <v>0</v>
      </c>
      <c r="AS89" s="9" t="n"/>
      <c r="AT89" s="277" t="n"/>
      <c r="AU89" s="280">
        <f>$G89+AS89-AQ89</f>
        <v/>
      </c>
      <c r="AV89" s="277">
        <f>$G89+AT89-AR89</f>
        <v/>
      </c>
      <c r="AW89" s="278" t="n">
        <v>0</v>
      </c>
      <c r="AX89" s="278" t="n">
        <v>0</v>
      </c>
      <c r="AY89" s="279">
        <f>ROUND((AW89+AX89)/2,0)</f>
        <v/>
      </c>
      <c r="AZ89" s="11" t="n">
        <v>0</v>
      </c>
      <c r="BA89" s="9" t="n"/>
      <c r="BB89" s="11" t="n"/>
      <c r="BC89" s="280">
        <f>$G89+BA89-AY89</f>
        <v/>
      </c>
      <c r="BD89" s="277">
        <f>$G89+BB89-AZ89</f>
        <v/>
      </c>
      <c r="BE89" s="278" t="n">
        <v>0</v>
      </c>
      <c r="BF89" s="278" t="n">
        <v>0</v>
      </c>
      <c r="BG89" s="279">
        <f>ROUND((BE89+BF89)/2,0)</f>
        <v/>
      </c>
      <c r="BH89" s="11" t="n">
        <v>0</v>
      </c>
      <c r="BI89" s="278" t="n"/>
      <c r="BJ89" s="11" t="n"/>
      <c r="BK89" s="280">
        <f>$G89+BI89-BG89</f>
        <v/>
      </c>
      <c r="BL89" s="277">
        <f>$G89+BJ89-BH89</f>
        <v/>
      </c>
      <c r="BM89" s="278" t="n">
        <v>0</v>
      </c>
      <c r="BN89" s="278" t="n">
        <v>0</v>
      </c>
      <c r="BO89" s="279">
        <f>ROUND((BM89+BN89)/2,0)</f>
        <v/>
      </c>
      <c r="BP89" s="11" t="n">
        <v>0</v>
      </c>
      <c r="BQ89" s="278" t="n"/>
      <c r="BR89" s="11" t="n"/>
      <c r="BS89" s="280">
        <f>$G89+BQ89-BO89</f>
        <v/>
      </c>
      <c r="BT89" s="277">
        <f>$G89+BR89-BP89</f>
        <v/>
      </c>
      <c r="BU89" s="278" t="n">
        <v>0</v>
      </c>
      <c r="BV89" s="278" t="n">
        <v>0</v>
      </c>
      <c r="BW89" s="279">
        <f>ROUND((BU89+BV89)/2,0)</f>
        <v/>
      </c>
      <c r="BX89" s="11" t="n">
        <v>0</v>
      </c>
      <c r="BY89" s="278" t="n"/>
      <c r="BZ89" s="11" t="n"/>
      <c r="CA89" s="280">
        <f>$G89+BY89-BW89</f>
        <v/>
      </c>
      <c r="CB89" s="277">
        <f>$G89+BZ89-BX89</f>
        <v/>
      </c>
      <c r="CC89" s="278" t="n">
        <v>0</v>
      </c>
      <c r="CD89" s="278" t="n">
        <v>0</v>
      </c>
      <c r="CE89" s="279">
        <f>ROUND((CC89+CD89)/2,0)</f>
        <v/>
      </c>
      <c r="CF89" s="11" t="n">
        <v>0</v>
      </c>
      <c r="CG89" s="278" t="n"/>
      <c r="CH89" s="11" t="n"/>
      <c r="CI89" s="280">
        <f>$G89+CG89-CE89</f>
        <v/>
      </c>
      <c r="CJ89" s="277">
        <f>$G89+CH89-CF89</f>
        <v/>
      </c>
      <c r="CK89" s="278" t="n">
        <v>0</v>
      </c>
      <c r="CL89" s="278" t="n">
        <v>0</v>
      </c>
      <c r="CM89" s="279">
        <f>ROUND((CK89+CL89)/2,0)</f>
        <v/>
      </c>
      <c r="CN89" s="11" t="n">
        <v>0</v>
      </c>
      <c r="CO89" s="278" t="n"/>
      <c r="CP89" s="277" t="n"/>
      <c r="CQ89" s="280">
        <f>$G89+CO89-CM89</f>
        <v/>
      </c>
      <c r="CR89" s="277">
        <f>$G89+CP89-CN89</f>
        <v/>
      </c>
      <c r="CS89" s="278" t="n">
        <v>0</v>
      </c>
      <c r="CT89" s="278" t="n">
        <v>0</v>
      </c>
      <c r="CU89" s="279">
        <f>ROUND((CS89+CT89)/2,0)</f>
        <v/>
      </c>
      <c r="CV89" s="11" t="n">
        <v>0</v>
      </c>
      <c r="CW89" s="278" t="n"/>
      <c r="CX89" s="277" t="n"/>
      <c r="CY89" s="280">
        <f>$G89+CW89-CU89</f>
        <v/>
      </c>
      <c r="CZ89" s="277">
        <f>$G89+CX89-CV89</f>
        <v/>
      </c>
    </row>
    <row r="90" ht="17.25" customHeight="1" s="480">
      <c r="A90" s="28" t="inlineStr">
        <is>
          <t>ABC87</t>
        </is>
      </c>
      <c r="B90" s="379" t="n"/>
      <c r="C90" s="27" t="n"/>
      <c r="D90" s="28">
        <f>_xlfn.XLOOKUP(A90,'ABC-XYZ분석 (2)'!C:C,'ABC-XYZ분석 (2)'!I:I)</f>
        <v/>
      </c>
      <c r="E90" s="28">
        <f>_xlfn.XLOOKUP(A90,'ABC-XYZ분석 (2)'!C:C,'ABC-XYZ분석 (2)'!AC:AC)</f>
        <v/>
      </c>
      <c r="F90" s="3">
        <f>_xlfn.XLOOKUP(A90,'ABC-XYZ분석 (2)'!C:C,'ABC-XYZ분석 (2)'!AG:AG)</f>
        <v/>
      </c>
      <c r="G90" s="14">
        <f>SUMIF(재고!C:C,PSI_메인!A90,재고!I:I)</f>
        <v/>
      </c>
      <c r="H90" s="277" t="n">
        <v>217</v>
      </c>
      <c r="I90" s="278" t="n">
        <v>0</v>
      </c>
      <c r="J90" s="278" t="n">
        <v>0</v>
      </c>
      <c r="K90" s="279" t="n">
        <v>150</v>
      </c>
      <c r="L90" s="11" t="n">
        <v>0</v>
      </c>
      <c r="M90" s="9">
        <f>SUMIFS(입항스케줄!J:J,입항스케줄!C:C,PSI_메인!A90,입항스케줄!U:U,"2601")</f>
        <v/>
      </c>
      <c r="N90" s="11">
        <f>SUMIFS(입항스케줄!J:J,입항스케줄!C:C,PSI_메인!A90,입항스케줄!V:V,"2601")</f>
        <v/>
      </c>
      <c r="O90" s="280">
        <f>$G90+M90-K90</f>
        <v/>
      </c>
      <c r="P90" s="277">
        <f>$G90+N90-L90</f>
        <v/>
      </c>
      <c r="Q90" s="278" t="n">
        <v>0</v>
      </c>
      <c r="R90" s="278" t="n">
        <v>0</v>
      </c>
      <c r="S90" s="10" t="n">
        <v>0</v>
      </c>
      <c r="T90" s="11" t="n">
        <v>0</v>
      </c>
      <c r="U90" s="9">
        <f>SUMIFS(입항스케줄!J:J,입항스케줄!C:C,PSI_메인!A90,입항스케줄!U:U,"2602")</f>
        <v/>
      </c>
      <c r="V90" s="11">
        <f>SUMIFS(입항스케줄!J:J,입항스케줄!C:C,PSI_메인!A90,입항스케줄!V:V,"2602")</f>
        <v/>
      </c>
      <c r="W90" s="280">
        <f>$G90+U90-S90</f>
        <v/>
      </c>
      <c r="X90" s="277">
        <f>$G90+V90-T90</f>
        <v/>
      </c>
      <c r="Y90" s="278" t="n">
        <v>0</v>
      </c>
      <c r="Z90" s="278" t="n">
        <v>0</v>
      </c>
      <c r="AA90" s="279">
        <f>ROUND((Y90+Z90)/2,0)</f>
        <v/>
      </c>
      <c r="AB90" s="11" t="n">
        <v>0</v>
      </c>
      <c r="AC90" s="9">
        <f>SUMIFS(입항스케줄!J:J,입항스케줄!C:C,PSI_메인!A90,입항스케줄!U:U,"2603")</f>
        <v/>
      </c>
      <c r="AD90" s="11">
        <f>SUMIFS(입항스케줄!J:J,입항스케줄!C:C,PSI_메인!A90,입항스케줄!V:V,"2603")</f>
        <v/>
      </c>
      <c r="AE90" s="280">
        <f>$G90+AC90-AA90</f>
        <v/>
      </c>
      <c r="AF90" s="277">
        <f>$G90+AD90-AB90</f>
        <v/>
      </c>
      <c r="AG90" s="278" t="n">
        <v>0</v>
      </c>
      <c r="AH90" s="278" t="n">
        <v>0</v>
      </c>
      <c r="AI90" s="279">
        <f>ROUND((AG90+AH90)/2,0)</f>
        <v/>
      </c>
      <c r="AJ90" s="11" t="n">
        <v>0</v>
      </c>
      <c r="AK90" s="9">
        <f>SUMIFS(입항스케줄!J:J,입항스케줄!C:C,PSI_메인!A90,입항스케줄!U:U,"2604")</f>
        <v/>
      </c>
      <c r="AL90" s="11">
        <f>SUMIFS(입항스케줄!J:J,입항스케줄!C:C,PSI_메인!A90,입항스케줄!V:V,"2604")</f>
        <v/>
      </c>
      <c r="AM90" s="280">
        <f>$G90+AK90-AI90</f>
        <v/>
      </c>
      <c r="AN90" s="277">
        <f>$G90+AL90-AJ90</f>
        <v/>
      </c>
      <c r="AO90" s="278" t="n">
        <v>0</v>
      </c>
      <c r="AP90" s="278" t="n">
        <v>0</v>
      </c>
      <c r="AQ90" s="279">
        <f>ROUND((AO90+AP90)/2,0)</f>
        <v/>
      </c>
      <c r="AR90" s="11" t="n">
        <v>0</v>
      </c>
      <c r="AS90" s="9" t="n"/>
      <c r="AT90" s="277" t="n"/>
      <c r="AU90" s="280">
        <f>$G90+AS90-AQ90</f>
        <v/>
      </c>
      <c r="AV90" s="277">
        <f>$G90+AT90-AR90</f>
        <v/>
      </c>
      <c r="AW90" s="278" t="n">
        <v>0</v>
      </c>
      <c r="AX90" s="278" t="n">
        <v>0</v>
      </c>
      <c r="AY90" s="279">
        <f>ROUND((AW90+AX90)/2,0)</f>
        <v/>
      </c>
      <c r="AZ90" s="11" t="n">
        <v>0</v>
      </c>
      <c r="BA90" s="9" t="n"/>
      <c r="BB90" s="11" t="n"/>
      <c r="BC90" s="280">
        <f>$G90+BA90-AY90</f>
        <v/>
      </c>
      <c r="BD90" s="277">
        <f>$G90+BB90-AZ90</f>
        <v/>
      </c>
      <c r="BE90" s="278" t="n">
        <v>0</v>
      </c>
      <c r="BF90" s="278" t="n">
        <v>0</v>
      </c>
      <c r="BG90" s="279">
        <f>ROUND((BE90+BF90)/2,0)</f>
        <v/>
      </c>
      <c r="BH90" s="11" t="n">
        <v>0</v>
      </c>
      <c r="BI90" s="278" t="n"/>
      <c r="BJ90" s="11" t="n"/>
      <c r="BK90" s="280">
        <f>$G90+BI90-BG90</f>
        <v/>
      </c>
      <c r="BL90" s="277">
        <f>$G90+BJ90-BH90</f>
        <v/>
      </c>
      <c r="BM90" s="278" t="n">
        <v>0</v>
      </c>
      <c r="BN90" s="278" t="n">
        <v>0</v>
      </c>
      <c r="BO90" s="279">
        <f>ROUND((BM90+BN90)/2,0)</f>
        <v/>
      </c>
      <c r="BP90" s="11" t="n">
        <v>0</v>
      </c>
      <c r="BQ90" s="278" t="n"/>
      <c r="BR90" s="11" t="n"/>
      <c r="BS90" s="280">
        <f>$G90+BQ90-BO90</f>
        <v/>
      </c>
      <c r="BT90" s="277">
        <f>$G90+BR90-BP90</f>
        <v/>
      </c>
      <c r="BU90" s="278" t="n">
        <v>0</v>
      </c>
      <c r="BV90" s="278" t="n">
        <v>0</v>
      </c>
      <c r="BW90" s="279">
        <f>ROUND((BU90+BV90)/2,0)</f>
        <v/>
      </c>
      <c r="BX90" s="11" t="n">
        <v>0</v>
      </c>
      <c r="BY90" s="278" t="n"/>
      <c r="BZ90" s="11" t="n"/>
      <c r="CA90" s="280">
        <f>$G90+BY90-BW90</f>
        <v/>
      </c>
      <c r="CB90" s="277">
        <f>$G90+BZ90-BX90</f>
        <v/>
      </c>
      <c r="CC90" s="278" t="n">
        <v>0</v>
      </c>
      <c r="CD90" s="278" t="n">
        <v>0</v>
      </c>
      <c r="CE90" s="279">
        <f>ROUND((CC90+CD90)/2,0)</f>
        <v/>
      </c>
      <c r="CF90" s="11" t="n">
        <v>0</v>
      </c>
      <c r="CG90" s="278" t="n"/>
      <c r="CH90" s="11" t="n"/>
      <c r="CI90" s="280">
        <f>$G90+CG90-CE90</f>
        <v/>
      </c>
      <c r="CJ90" s="277">
        <f>$G90+CH90-CF90</f>
        <v/>
      </c>
      <c r="CK90" s="278" t="n">
        <v>0</v>
      </c>
      <c r="CL90" s="278" t="n">
        <v>0</v>
      </c>
      <c r="CM90" s="279">
        <f>ROUND((CK90+CL90)/2,0)</f>
        <v/>
      </c>
      <c r="CN90" s="11" t="n">
        <v>0</v>
      </c>
      <c r="CO90" s="278" t="n"/>
      <c r="CP90" s="277" t="n"/>
      <c r="CQ90" s="280">
        <f>$G90+CO90-CM90</f>
        <v/>
      </c>
      <c r="CR90" s="277">
        <f>$G90+CP90-CN90</f>
        <v/>
      </c>
      <c r="CS90" s="278" t="n">
        <v>0</v>
      </c>
      <c r="CT90" s="278" t="n">
        <v>0</v>
      </c>
      <c r="CU90" s="279">
        <f>ROUND((CS90+CT90)/2,0)</f>
        <v/>
      </c>
      <c r="CV90" s="11" t="n">
        <v>0</v>
      </c>
      <c r="CW90" s="278" t="n"/>
      <c r="CX90" s="277" t="n"/>
      <c r="CY90" s="280">
        <f>$G90+CW90-CU90</f>
        <v/>
      </c>
      <c r="CZ90" s="277">
        <f>$G90+CX90-CV90</f>
        <v/>
      </c>
    </row>
    <row r="91" ht="17.25" customHeight="1" s="480">
      <c r="A91" s="28" t="inlineStr">
        <is>
          <t>ABC88</t>
        </is>
      </c>
      <c r="B91" s="379" t="n"/>
      <c r="C91" s="27" t="n"/>
      <c r="D91" s="28">
        <f>_xlfn.XLOOKUP(A91,'ABC-XYZ분석 (2)'!C:C,'ABC-XYZ분석 (2)'!I:I)</f>
        <v/>
      </c>
      <c r="E91" s="28">
        <f>_xlfn.XLOOKUP(A91,'ABC-XYZ분석 (2)'!C:C,'ABC-XYZ분석 (2)'!AC:AC)</f>
        <v/>
      </c>
      <c r="F91" s="3">
        <f>_xlfn.XLOOKUP(A91,'ABC-XYZ분석 (2)'!C:C,'ABC-XYZ분석 (2)'!AG:AG)</f>
        <v/>
      </c>
      <c r="G91" s="14">
        <f>SUMIF(재고!C:C,PSI_메인!A91,재고!I:I)</f>
        <v/>
      </c>
      <c r="H91" s="277" t="n">
        <v>194</v>
      </c>
      <c r="I91" s="278" t="n">
        <v>0</v>
      </c>
      <c r="J91" s="278" t="n">
        <v>0</v>
      </c>
      <c r="K91" s="279" t="n">
        <v>0</v>
      </c>
      <c r="L91" s="11" t="n">
        <v>0</v>
      </c>
      <c r="M91" s="9">
        <f>SUMIFS(입항스케줄!J:J,입항스케줄!C:C,PSI_메인!A91,입항스케줄!U:U,"2601")</f>
        <v/>
      </c>
      <c r="N91" s="11">
        <f>SUMIFS(입항스케줄!J:J,입항스케줄!C:C,PSI_메인!A91,입항스케줄!V:V,"2601")</f>
        <v/>
      </c>
      <c r="O91" s="280">
        <f>$G91+M91-K91</f>
        <v/>
      </c>
      <c r="P91" s="277">
        <f>$G91+N91-L91</f>
        <v/>
      </c>
      <c r="Q91" s="278" t="n">
        <v>0</v>
      </c>
      <c r="R91" s="278" t="n">
        <v>0</v>
      </c>
      <c r="S91" s="10" t="n">
        <v>0</v>
      </c>
      <c r="T91" s="11" t="n">
        <v>0</v>
      </c>
      <c r="U91" s="9">
        <f>SUMIFS(입항스케줄!J:J,입항스케줄!C:C,PSI_메인!A91,입항스케줄!U:U,"2602")</f>
        <v/>
      </c>
      <c r="V91" s="11">
        <f>SUMIFS(입항스케줄!J:J,입항스케줄!C:C,PSI_메인!A91,입항스케줄!V:V,"2602")</f>
        <v/>
      </c>
      <c r="W91" s="280">
        <f>$G91+U91-S91</f>
        <v/>
      </c>
      <c r="X91" s="277">
        <f>$G91+V91-T91</f>
        <v/>
      </c>
      <c r="Y91" s="278" t="n">
        <v>0</v>
      </c>
      <c r="Z91" s="278" t="n">
        <v>0</v>
      </c>
      <c r="AA91" s="279">
        <f>ROUND((Y91+Z91)/2,0)</f>
        <v/>
      </c>
      <c r="AB91" s="11" t="n">
        <v>0</v>
      </c>
      <c r="AC91" s="9">
        <f>SUMIFS(입항스케줄!J:J,입항스케줄!C:C,PSI_메인!A91,입항스케줄!U:U,"2603")</f>
        <v/>
      </c>
      <c r="AD91" s="11">
        <f>SUMIFS(입항스케줄!J:J,입항스케줄!C:C,PSI_메인!A91,입항스케줄!V:V,"2603")</f>
        <v/>
      </c>
      <c r="AE91" s="280">
        <f>$G91+AC91-AA91</f>
        <v/>
      </c>
      <c r="AF91" s="277">
        <f>$G91+AD91-AB91</f>
        <v/>
      </c>
      <c r="AG91" s="278" t="n">
        <v>0</v>
      </c>
      <c r="AH91" s="278" t="n">
        <v>0</v>
      </c>
      <c r="AI91" s="279">
        <f>ROUND((AG91+AH91)/2,0)</f>
        <v/>
      </c>
      <c r="AJ91" s="11" t="n">
        <v>0</v>
      </c>
      <c r="AK91" s="9">
        <f>SUMIFS(입항스케줄!J:J,입항스케줄!C:C,PSI_메인!A91,입항스케줄!U:U,"2604")</f>
        <v/>
      </c>
      <c r="AL91" s="11">
        <f>SUMIFS(입항스케줄!J:J,입항스케줄!C:C,PSI_메인!A91,입항스케줄!V:V,"2604")</f>
        <v/>
      </c>
      <c r="AM91" s="280">
        <f>$G91+AK91-AI91</f>
        <v/>
      </c>
      <c r="AN91" s="277">
        <f>$G91+AL91-AJ91</f>
        <v/>
      </c>
      <c r="AO91" s="278" t="n">
        <v>0</v>
      </c>
      <c r="AP91" s="278" t="n">
        <v>0</v>
      </c>
      <c r="AQ91" s="279">
        <f>ROUND((AO91+AP91)/2,0)</f>
        <v/>
      </c>
      <c r="AR91" s="11" t="n">
        <v>0</v>
      </c>
      <c r="AS91" s="9" t="n"/>
      <c r="AT91" s="277" t="n"/>
      <c r="AU91" s="280">
        <f>$G91+AS91-AQ91</f>
        <v/>
      </c>
      <c r="AV91" s="277">
        <f>$G91+AT91-AR91</f>
        <v/>
      </c>
      <c r="AW91" s="278" t="n">
        <v>0</v>
      </c>
      <c r="AX91" s="278" t="n">
        <v>0</v>
      </c>
      <c r="AY91" s="279">
        <f>ROUND((AW91+AX91)/2,0)</f>
        <v/>
      </c>
      <c r="AZ91" s="11" t="n">
        <v>0</v>
      </c>
      <c r="BA91" s="9" t="n"/>
      <c r="BB91" s="11" t="n"/>
      <c r="BC91" s="280">
        <f>$G91+BA91-AY91</f>
        <v/>
      </c>
      <c r="BD91" s="277">
        <f>$G91+BB91-AZ91</f>
        <v/>
      </c>
      <c r="BE91" s="278" t="n">
        <v>0</v>
      </c>
      <c r="BF91" s="278" t="n">
        <v>0</v>
      </c>
      <c r="BG91" s="279">
        <f>ROUND((BE91+BF91)/2,0)</f>
        <v/>
      </c>
      <c r="BH91" s="11" t="n">
        <v>0</v>
      </c>
      <c r="BI91" s="278" t="n"/>
      <c r="BJ91" s="11" t="n"/>
      <c r="BK91" s="280">
        <f>$G91+BI91-BG91</f>
        <v/>
      </c>
      <c r="BL91" s="277">
        <f>$G91+BJ91-BH91</f>
        <v/>
      </c>
      <c r="BM91" s="278" t="n">
        <v>0</v>
      </c>
      <c r="BN91" s="278" t="n">
        <v>0</v>
      </c>
      <c r="BO91" s="279">
        <f>ROUND((BM91+BN91)/2,0)</f>
        <v/>
      </c>
      <c r="BP91" s="11" t="n">
        <v>0</v>
      </c>
      <c r="BQ91" s="278" t="n"/>
      <c r="BR91" s="11" t="n"/>
      <c r="BS91" s="280">
        <f>$G91+BQ91-BO91</f>
        <v/>
      </c>
      <c r="BT91" s="277">
        <f>$G91+BR91-BP91</f>
        <v/>
      </c>
      <c r="BU91" s="278" t="n">
        <v>0</v>
      </c>
      <c r="BV91" s="278" t="n">
        <v>0</v>
      </c>
      <c r="BW91" s="279">
        <f>ROUND((BU91+BV91)/2,0)</f>
        <v/>
      </c>
      <c r="BX91" s="11" t="n">
        <v>0</v>
      </c>
      <c r="BY91" s="278" t="n"/>
      <c r="BZ91" s="11" t="n"/>
      <c r="CA91" s="280">
        <f>$G91+BY91-BW91</f>
        <v/>
      </c>
      <c r="CB91" s="277">
        <f>$G91+BZ91-BX91</f>
        <v/>
      </c>
      <c r="CC91" s="278" t="n">
        <v>0</v>
      </c>
      <c r="CD91" s="278" t="n">
        <v>0</v>
      </c>
      <c r="CE91" s="279">
        <f>ROUND((CC91+CD91)/2,0)</f>
        <v/>
      </c>
      <c r="CF91" s="11" t="n">
        <v>0</v>
      </c>
      <c r="CG91" s="278" t="n"/>
      <c r="CH91" s="11" t="n"/>
      <c r="CI91" s="280">
        <f>$G91+CG91-CE91</f>
        <v/>
      </c>
      <c r="CJ91" s="277">
        <f>$G91+CH91-CF91</f>
        <v/>
      </c>
      <c r="CK91" s="278" t="n">
        <v>0</v>
      </c>
      <c r="CL91" s="278" t="n">
        <v>0</v>
      </c>
      <c r="CM91" s="279">
        <f>ROUND((CK91+CL91)/2,0)</f>
        <v/>
      </c>
      <c r="CN91" s="11" t="n">
        <v>0</v>
      </c>
      <c r="CO91" s="278" t="n"/>
      <c r="CP91" s="277" t="n"/>
      <c r="CQ91" s="280">
        <f>$G91+CO91-CM91</f>
        <v/>
      </c>
      <c r="CR91" s="277">
        <f>$G91+CP91-CN91</f>
        <v/>
      </c>
      <c r="CS91" s="278" t="n">
        <v>0</v>
      </c>
      <c r="CT91" s="278" t="n">
        <v>0</v>
      </c>
      <c r="CU91" s="279">
        <f>ROUND((CS91+CT91)/2,0)</f>
        <v/>
      </c>
      <c r="CV91" s="11" t="n">
        <v>0</v>
      </c>
      <c r="CW91" s="278" t="n"/>
      <c r="CX91" s="277" t="n"/>
      <c r="CY91" s="280">
        <f>$G91+CW91-CU91</f>
        <v/>
      </c>
      <c r="CZ91" s="277">
        <f>$G91+CX91-CV91</f>
        <v/>
      </c>
    </row>
    <row r="92" ht="17.25" customHeight="1" s="480">
      <c r="A92" s="28" t="inlineStr">
        <is>
          <t>ABC89</t>
        </is>
      </c>
      <c r="B92" s="379" t="n"/>
      <c r="C92" s="27" t="n"/>
      <c r="D92" s="28">
        <f>_xlfn.XLOOKUP(A92,'ABC-XYZ분석 (2)'!C:C,'ABC-XYZ분석 (2)'!I:I)</f>
        <v/>
      </c>
      <c r="E92" s="28">
        <f>_xlfn.XLOOKUP(A92,'ABC-XYZ분석 (2)'!C:C,'ABC-XYZ분석 (2)'!AC:AC)</f>
        <v/>
      </c>
      <c r="F92" s="3">
        <f>_xlfn.XLOOKUP(A92,'ABC-XYZ분석 (2)'!C:C,'ABC-XYZ분석 (2)'!AG:AG)</f>
        <v/>
      </c>
      <c r="G92" s="14">
        <f>SUMIF(재고!C:C,PSI_메인!A92,재고!I:I)</f>
        <v/>
      </c>
      <c r="H92" s="277" t="n">
        <v>294</v>
      </c>
      <c r="I92" s="278" t="n">
        <v>0</v>
      </c>
      <c r="J92" s="278" t="n">
        <v>0</v>
      </c>
      <c r="K92" s="279" t="n">
        <v>150</v>
      </c>
      <c r="L92" s="11" t="n">
        <v>0</v>
      </c>
      <c r="M92" s="9">
        <f>SUMIFS(입항스케줄!J:J,입항스케줄!C:C,PSI_메인!A92,입항스케줄!U:U,"2601")</f>
        <v/>
      </c>
      <c r="N92" s="11">
        <f>SUMIFS(입항스케줄!J:J,입항스케줄!C:C,PSI_메인!A92,입항스케줄!V:V,"2601")</f>
        <v/>
      </c>
      <c r="O92" s="280">
        <f>$G92+M92-K92</f>
        <v/>
      </c>
      <c r="P92" s="277">
        <f>$G92+N92-L92</f>
        <v/>
      </c>
      <c r="Q92" s="278" t="n">
        <v>0</v>
      </c>
      <c r="R92" s="278" t="n">
        <v>0</v>
      </c>
      <c r="S92" s="10" t="n">
        <v>0</v>
      </c>
      <c r="T92" s="11" t="n">
        <v>0</v>
      </c>
      <c r="U92" s="9">
        <f>SUMIFS(입항스케줄!J:J,입항스케줄!C:C,PSI_메인!A92,입항스케줄!U:U,"2602")</f>
        <v/>
      </c>
      <c r="V92" s="11">
        <f>SUMIFS(입항스케줄!J:J,입항스케줄!C:C,PSI_메인!A92,입항스케줄!V:V,"2602")</f>
        <v/>
      </c>
      <c r="W92" s="280">
        <f>$G92+U92-S92</f>
        <v/>
      </c>
      <c r="X92" s="277">
        <f>$G92+V92-T92</f>
        <v/>
      </c>
      <c r="Y92" s="278" t="n">
        <v>0</v>
      </c>
      <c r="Z92" s="278" t="n">
        <v>0</v>
      </c>
      <c r="AA92" s="279">
        <f>ROUND((Y92+Z92)/2,0)</f>
        <v/>
      </c>
      <c r="AB92" s="11" t="n">
        <v>0</v>
      </c>
      <c r="AC92" s="9">
        <f>SUMIFS(입항스케줄!J:J,입항스케줄!C:C,PSI_메인!A92,입항스케줄!U:U,"2603")</f>
        <v/>
      </c>
      <c r="AD92" s="11">
        <f>SUMIFS(입항스케줄!J:J,입항스케줄!C:C,PSI_메인!A92,입항스케줄!V:V,"2603")</f>
        <v/>
      </c>
      <c r="AE92" s="280">
        <f>$G92+AC92-AA92</f>
        <v/>
      </c>
      <c r="AF92" s="277">
        <f>$G92+AD92-AB92</f>
        <v/>
      </c>
      <c r="AG92" s="278" t="n">
        <v>0</v>
      </c>
      <c r="AH92" s="278" t="n">
        <v>0</v>
      </c>
      <c r="AI92" s="279">
        <f>ROUND((AG92+AH92)/2,0)</f>
        <v/>
      </c>
      <c r="AJ92" s="11" t="n">
        <v>0</v>
      </c>
      <c r="AK92" s="9">
        <f>SUMIFS(입항스케줄!J:J,입항스케줄!C:C,PSI_메인!A92,입항스케줄!U:U,"2604")</f>
        <v/>
      </c>
      <c r="AL92" s="11">
        <f>SUMIFS(입항스케줄!J:J,입항스케줄!C:C,PSI_메인!A92,입항스케줄!V:V,"2604")</f>
        <v/>
      </c>
      <c r="AM92" s="280">
        <f>$G92+AK92-AI92</f>
        <v/>
      </c>
      <c r="AN92" s="277">
        <f>$G92+AL92-AJ92</f>
        <v/>
      </c>
      <c r="AO92" s="278" t="n">
        <v>0</v>
      </c>
      <c r="AP92" s="278" t="n">
        <v>0</v>
      </c>
      <c r="AQ92" s="279">
        <f>ROUND((AO92+AP92)/2,0)</f>
        <v/>
      </c>
      <c r="AR92" s="11" t="n">
        <v>0</v>
      </c>
      <c r="AS92" s="9" t="n"/>
      <c r="AT92" s="277" t="n"/>
      <c r="AU92" s="280">
        <f>$G92+AS92-AQ92</f>
        <v/>
      </c>
      <c r="AV92" s="277">
        <f>$G92+AT92-AR92</f>
        <v/>
      </c>
      <c r="AW92" s="278" t="n">
        <v>0</v>
      </c>
      <c r="AX92" s="278" t="n">
        <v>0</v>
      </c>
      <c r="AY92" s="279">
        <f>ROUND((AW92+AX92)/2,0)</f>
        <v/>
      </c>
      <c r="AZ92" s="11" t="n">
        <v>0</v>
      </c>
      <c r="BA92" s="9" t="n"/>
      <c r="BB92" s="11" t="n"/>
      <c r="BC92" s="280">
        <f>$G92+BA92-AY92</f>
        <v/>
      </c>
      <c r="BD92" s="277">
        <f>$G92+BB92-AZ92</f>
        <v/>
      </c>
      <c r="BE92" s="278" t="n">
        <v>0</v>
      </c>
      <c r="BF92" s="278" t="n">
        <v>0</v>
      </c>
      <c r="BG92" s="279">
        <f>ROUND((BE92+BF92)/2,0)</f>
        <v/>
      </c>
      <c r="BH92" s="11" t="n">
        <v>0</v>
      </c>
      <c r="BI92" s="278" t="n"/>
      <c r="BJ92" s="11" t="n"/>
      <c r="BK92" s="280">
        <f>$G92+BI92-BG92</f>
        <v/>
      </c>
      <c r="BL92" s="277">
        <f>$G92+BJ92-BH92</f>
        <v/>
      </c>
      <c r="BM92" s="278" t="n">
        <v>0</v>
      </c>
      <c r="BN92" s="278" t="n">
        <v>0</v>
      </c>
      <c r="BO92" s="279">
        <f>ROUND((BM92+BN92)/2,0)</f>
        <v/>
      </c>
      <c r="BP92" s="11" t="n">
        <v>0</v>
      </c>
      <c r="BQ92" s="278" t="n"/>
      <c r="BR92" s="11" t="n"/>
      <c r="BS92" s="280">
        <f>$G92+BQ92-BO92</f>
        <v/>
      </c>
      <c r="BT92" s="277">
        <f>$G92+BR92-BP92</f>
        <v/>
      </c>
      <c r="BU92" s="278" t="n">
        <v>0</v>
      </c>
      <c r="BV92" s="278" t="n">
        <v>0</v>
      </c>
      <c r="BW92" s="279">
        <f>ROUND((BU92+BV92)/2,0)</f>
        <v/>
      </c>
      <c r="BX92" s="11" t="n">
        <v>0</v>
      </c>
      <c r="BY92" s="278" t="n"/>
      <c r="BZ92" s="11" t="n"/>
      <c r="CA92" s="280">
        <f>$G92+BY92-BW92</f>
        <v/>
      </c>
      <c r="CB92" s="277">
        <f>$G92+BZ92-BX92</f>
        <v/>
      </c>
      <c r="CC92" s="278" t="n">
        <v>0</v>
      </c>
      <c r="CD92" s="278" t="n">
        <v>0</v>
      </c>
      <c r="CE92" s="279">
        <f>ROUND((CC92+CD92)/2,0)</f>
        <v/>
      </c>
      <c r="CF92" s="11" t="n">
        <v>0</v>
      </c>
      <c r="CG92" s="278" t="n"/>
      <c r="CH92" s="11" t="n"/>
      <c r="CI92" s="280">
        <f>$G92+CG92-CE92</f>
        <v/>
      </c>
      <c r="CJ92" s="277">
        <f>$G92+CH92-CF92</f>
        <v/>
      </c>
      <c r="CK92" s="278" t="n">
        <v>0</v>
      </c>
      <c r="CL92" s="278" t="n">
        <v>0</v>
      </c>
      <c r="CM92" s="279">
        <f>ROUND((CK92+CL92)/2,0)</f>
        <v/>
      </c>
      <c r="CN92" s="11" t="n">
        <v>0</v>
      </c>
      <c r="CO92" s="278" t="n"/>
      <c r="CP92" s="277" t="n"/>
      <c r="CQ92" s="280">
        <f>$G92+CO92-CM92</f>
        <v/>
      </c>
      <c r="CR92" s="277">
        <f>$G92+CP92-CN92</f>
        <v/>
      </c>
      <c r="CS92" s="278" t="n">
        <v>0</v>
      </c>
      <c r="CT92" s="278" t="n">
        <v>0</v>
      </c>
      <c r="CU92" s="279">
        <f>ROUND((CS92+CT92)/2,0)</f>
        <v/>
      </c>
      <c r="CV92" s="11" t="n">
        <v>0</v>
      </c>
      <c r="CW92" s="278" t="n"/>
      <c r="CX92" s="277" t="n"/>
      <c r="CY92" s="280">
        <f>$G92+CW92-CU92</f>
        <v/>
      </c>
      <c r="CZ92" s="277">
        <f>$G92+CX92-CV92</f>
        <v/>
      </c>
    </row>
    <row r="93" ht="17.25" customHeight="1" s="480">
      <c r="A93" s="28" t="inlineStr">
        <is>
          <t>ABC90</t>
        </is>
      </c>
      <c r="B93" s="379" t="n"/>
      <c r="C93" s="27" t="n"/>
      <c r="D93" s="28">
        <f>_xlfn.XLOOKUP(A93,'ABC-XYZ분석 (2)'!C:C,'ABC-XYZ분석 (2)'!I:I)</f>
        <v/>
      </c>
      <c r="E93" s="28">
        <f>_xlfn.XLOOKUP(A93,'ABC-XYZ분석 (2)'!C:C,'ABC-XYZ분석 (2)'!AC:AC)</f>
        <v/>
      </c>
      <c r="F93" s="3">
        <f>_xlfn.XLOOKUP(A93,'ABC-XYZ분석 (2)'!C:C,'ABC-XYZ분석 (2)'!AG:AG)</f>
        <v/>
      </c>
      <c r="G93" s="14">
        <f>SUMIF(재고!C:C,PSI_메인!A93,재고!I:I)</f>
        <v/>
      </c>
      <c r="H93" s="277" t="n">
        <v>3065</v>
      </c>
      <c r="I93" s="278" t="n">
        <v>0</v>
      </c>
      <c r="J93" s="278" t="n">
        <v>0</v>
      </c>
      <c r="K93" s="279" t="n">
        <v>2500</v>
      </c>
      <c r="L93" s="11" t="n">
        <v>0</v>
      </c>
      <c r="M93" s="9">
        <f>SUMIFS(입항스케줄!J:J,입항스케줄!C:C,PSI_메인!A93,입항스케줄!U:U,"2601")</f>
        <v/>
      </c>
      <c r="N93" s="11">
        <f>SUMIFS(입항스케줄!J:J,입항스케줄!C:C,PSI_메인!A93,입항스케줄!V:V,"2601")</f>
        <v/>
      </c>
      <c r="O93" s="280">
        <f>$G93+M93-K93</f>
        <v/>
      </c>
      <c r="P93" s="277">
        <f>$G93+N93-L93</f>
        <v/>
      </c>
      <c r="Q93" s="278" t="n">
        <v>0</v>
      </c>
      <c r="R93" s="278" t="n">
        <v>0</v>
      </c>
      <c r="S93" s="10" t="n">
        <v>0</v>
      </c>
      <c r="T93" s="11" t="n">
        <v>0</v>
      </c>
      <c r="U93" s="9">
        <f>SUMIFS(입항스케줄!J:J,입항스케줄!C:C,PSI_메인!A93,입항스케줄!U:U,"2602")</f>
        <v/>
      </c>
      <c r="V93" s="11">
        <f>SUMIFS(입항스케줄!J:J,입항스케줄!C:C,PSI_메인!A93,입항스케줄!V:V,"2602")</f>
        <v/>
      </c>
      <c r="W93" s="280">
        <f>$G93+U93-S93</f>
        <v/>
      </c>
      <c r="X93" s="277">
        <f>$G93+V93-T93</f>
        <v/>
      </c>
      <c r="Y93" s="278" t="n">
        <v>0</v>
      </c>
      <c r="Z93" s="278" t="n">
        <v>0</v>
      </c>
      <c r="AA93" s="279">
        <f>ROUND((Y93+Z93)/2,0)</f>
        <v/>
      </c>
      <c r="AB93" s="11" t="n">
        <v>0</v>
      </c>
      <c r="AC93" s="9">
        <f>SUMIFS(입항스케줄!J:J,입항스케줄!C:C,PSI_메인!A93,입항스케줄!U:U,"2603")</f>
        <v/>
      </c>
      <c r="AD93" s="11">
        <f>SUMIFS(입항스케줄!J:J,입항스케줄!C:C,PSI_메인!A93,입항스케줄!V:V,"2603")</f>
        <v/>
      </c>
      <c r="AE93" s="280">
        <f>$G93+AC93-AA93</f>
        <v/>
      </c>
      <c r="AF93" s="277">
        <f>$G93+AD93-AB93</f>
        <v/>
      </c>
      <c r="AG93" s="278" t="n">
        <v>0</v>
      </c>
      <c r="AH93" s="278" t="n">
        <v>0</v>
      </c>
      <c r="AI93" s="279">
        <f>ROUND((AG93+AH93)/2,0)</f>
        <v/>
      </c>
      <c r="AJ93" s="11" t="n">
        <v>0</v>
      </c>
      <c r="AK93" s="9">
        <f>SUMIFS(입항스케줄!J:J,입항스케줄!C:C,PSI_메인!A93,입항스케줄!U:U,"2604")</f>
        <v/>
      </c>
      <c r="AL93" s="11">
        <f>SUMIFS(입항스케줄!J:J,입항스케줄!C:C,PSI_메인!A93,입항스케줄!V:V,"2604")</f>
        <v/>
      </c>
      <c r="AM93" s="280">
        <f>$G93+AK93-AI93</f>
        <v/>
      </c>
      <c r="AN93" s="277">
        <f>$G93+AL93-AJ93</f>
        <v/>
      </c>
      <c r="AO93" s="278" t="n">
        <v>0</v>
      </c>
      <c r="AP93" s="278" t="n">
        <v>0</v>
      </c>
      <c r="AQ93" s="279">
        <f>ROUND((AO93+AP93)/2,0)</f>
        <v/>
      </c>
      <c r="AR93" s="11" t="n">
        <v>0</v>
      </c>
      <c r="AS93" s="9" t="n"/>
      <c r="AT93" s="277" t="n"/>
      <c r="AU93" s="280">
        <f>$G93+AS93-AQ93</f>
        <v/>
      </c>
      <c r="AV93" s="277">
        <f>$G93+AT93-AR93</f>
        <v/>
      </c>
      <c r="AW93" s="278" t="n">
        <v>0</v>
      </c>
      <c r="AX93" s="278" t="n">
        <v>0</v>
      </c>
      <c r="AY93" s="279">
        <f>ROUND((AW93+AX93)/2,0)</f>
        <v/>
      </c>
      <c r="AZ93" s="11" t="n">
        <v>0</v>
      </c>
      <c r="BA93" s="9" t="n"/>
      <c r="BB93" s="11" t="n"/>
      <c r="BC93" s="280">
        <f>$G93+BA93-AY93</f>
        <v/>
      </c>
      <c r="BD93" s="277">
        <f>$G93+BB93-AZ93</f>
        <v/>
      </c>
      <c r="BE93" s="278" t="n">
        <v>0</v>
      </c>
      <c r="BF93" s="278" t="n">
        <v>0</v>
      </c>
      <c r="BG93" s="279">
        <f>ROUND((BE93+BF93)/2,0)</f>
        <v/>
      </c>
      <c r="BH93" s="11" t="n">
        <v>0</v>
      </c>
      <c r="BI93" s="278" t="n"/>
      <c r="BJ93" s="11" t="n"/>
      <c r="BK93" s="280">
        <f>$G93+BI93-BG93</f>
        <v/>
      </c>
      <c r="BL93" s="277">
        <f>$G93+BJ93-BH93</f>
        <v/>
      </c>
      <c r="BM93" s="278" t="n">
        <v>0</v>
      </c>
      <c r="BN93" s="278" t="n">
        <v>0</v>
      </c>
      <c r="BO93" s="279">
        <f>ROUND((BM93+BN93)/2,0)</f>
        <v/>
      </c>
      <c r="BP93" s="11" t="n">
        <v>0</v>
      </c>
      <c r="BQ93" s="278" t="n"/>
      <c r="BR93" s="11" t="n"/>
      <c r="BS93" s="280">
        <f>$G93+BQ93-BO93</f>
        <v/>
      </c>
      <c r="BT93" s="277">
        <f>$G93+BR93-BP93</f>
        <v/>
      </c>
      <c r="BU93" s="278" t="n">
        <v>0</v>
      </c>
      <c r="BV93" s="278" t="n">
        <v>0</v>
      </c>
      <c r="BW93" s="279">
        <f>ROUND((BU93+BV93)/2,0)</f>
        <v/>
      </c>
      <c r="BX93" s="11" t="n">
        <v>0</v>
      </c>
      <c r="BY93" s="278" t="n"/>
      <c r="BZ93" s="11" t="n"/>
      <c r="CA93" s="280">
        <f>$G93+BY93-BW93</f>
        <v/>
      </c>
      <c r="CB93" s="277">
        <f>$G93+BZ93-BX93</f>
        <v/>
      </c>
      <c r="CC93" s="278" t="n">
        <v>0</v>
      </c>
      <c r="CD93" s="278" t="n">
        <v>0</v>
      </c>
      <c r="CE93" s="279">
        <f>ROUND((CC93+CD93)/2,0)</f>
        <v/>
      </c>
      <c r="CF93" s="11" t="n">
        <v>0</v>
      </c>
      <c r="CG93" s="278" t="n"/>
      <c r="CH93" s="11" t="n"/>
      <c r="CI93" s="280">
        <f>$G93+CG93-CE93</f>
        <v/>
      </c>
      <c r="CJ93" s="277">
        <f>$G93+CH93-CF93</f>
        <v/>
      </c>
      <c r="CK93" s="278" t="n">
        <v>0</v>
      </c>
      <c r="CL93" s="278" t="n">
        <v>0</v>
      </c>
      <c r="CM93" s="279">
        <f>ROUND((CK93+CL93)/2,0)</f>
        <v/>
      </c>
      <c r="CN93" s="11" t="n">
        <v>0</v>
      </c>
      <c r="CO93" s="278" t="n"/>
      <c r="CP93" s="277" t="n"/>
      <c r="CQ93" s="280">
        <f>$G93+CO93-CM93</f>
        <v/>
      </c>
      <c r="CR93" s="277">
        <f>$G93+CP93-CN93</f>
        <v/>
      </c>
      <c r="CS93" s="278" t="n">
        <v>0</v>
      </c>
      <c r="CT93" s="278" t="n">
        <v>0</v>
      </c>
      <c r="CU93" s="279">
        <f>ROUND((CS93+CT93)/2,0)</f>
        <v/>
      </c>
      <c r="CV93" s="11" t="n">
        <v>0</v>
      </c>
      <c r="CW93" s="278" t="n"/>
      <c r="CX93" s="277" t="n"/>
      <c r="CY93" s="280">
        <f>$G93+CW93-CU93</f>
        <v/>
      </c>
      <c r="CZ93" s="277">
        <f>$G93+CX93-CV93</f>
        <v/>
      </c>
    </row>
    <row r="94" ht="17.25" customHeight="1" s="480">
      <c r="A94" s="28" t="inlineStr">
        <is>
          <t>ABC91</t>
        </is>
      </c>
      <c r="B94" s="379" t="n"/>
      <c r="C94" s="27" t="n"/>
      <c r="D94" s="28">
        <f>_xlfn.XLOOKUP(A94,'ABC-XYZ분석 (2)'!C:C,'ABC-XYZ분석 (2)'!I:I)</f>
        <v/>
      </c>
      <c r="E94" s="28">
        <f>_xlfn.XLOOKUP(A94,'ABC-XYZ분석 (2)'!C:C,'ABC-XYZ분석 (2)'!AC:AC)</f>
        <v/>
      </c>
      <c r="F94" s="3">
        <f>_xlfn.XLOOKUP(A94,'ABC-XYZ분석 (2)'!C:C,'ABC-XYZ분석 (2)'!AG:AG)</f>
        <v/>
      </c>
      <c r="G94" s="14">
        <f>SUMIF(재고!C:C,PSI_메인!A94,재고!I:I)</f>
        <v/>
      </c>
      <c r="H94" s="277" t="n">
        <v>739</v>
      </c>
      <c r="I94" s="278" t="n">
        <v>0</v>
      </c>
      <c r="J94" s="278" t="n">
        <v>0</v>
      </c>
      <c r="K94" s="279" t="n">
        <v>400</v>
      </c>
      <c r="L94" s="11" t="n">
        <v>0</v>
      </c>
      <c r="M94" s="9">
        <f>SUMIFS(입항스케줄!J:J,입항스케줄!C:C,PSI_메인!A94,입항스케줄!U:U,"2601")</f>
        <v/>
      </c>
      <c r="N94" s="11">
        <f>SUMIFS(입항스케줄!J:J,입항스케줄!C:C,PSI_메인!A94,입항스케줄!V:V,"2601")</f>
        <v/>
      </c>
      <c r="O94" s="280">
        <f>$G94+M94-K94</f>
        <v/>
      </c>
      <c r="P94" s="277">
        <f>$G94+N94-L94</f>
        <v/>
      </c>
      <c r="Q94" s="278" t="n">
        <v>0</v>
      </c>
      <c r="R94" s="278" t="n">
        <v>0</v>
      </c>
      <c r="S94" s="10" t="n">
        <v>0</v>
      </c>
      <c r="T94" s="11" t="n">
        <v>0</v>
      </c>
      <c r="U94" s="9">
        <f>SUMIFS(입항스케줄!J:J,입항스케줄!C:C,PSI_메인!A94,입항스케줄!U:U,"2602")</f>
        <v/>
      </c>
      <c r="V94" s="11">
        <f>SUMIFS(입항스케줄!J:J,입항스케줄!C:C,PSI_메인!A94,입항스케줄!V:V,"2602")</f>
        <v/>
      </c>
      <c r="W94" s="280">
        <f>$G94+U94-S94</f>
        <v/>
      </c>
      <c r="X94" s="277">
        <f>$G94+V94-T94</f>
        <v/>
      </c>
      <c r="Y94" s="278" t="n">
        <v>0</v>
      </c>
      <c r="Z94" s="278" t="n">
        <v>0</v>
      </c>
      <c r="AA94" s="279">
        <f>ROUND((Y94+Z94)/2,0)</f>
        <v/>
      </c>
      <c r="AB94" s="11" t="n">
        <v>0</v>
      </c>
      <c r="AC94" s="9">
        <f>SUMIFS(입항스케줄!J:J,입항스케줄!C:C,PSI_메인!A94,입항스케줄!U:U,"2603")</f>
        <v/>
      </c>
      <c r="AD94" s="11">
        <f>SUMIFS(입항스케줄!J:J,입항스케줄!C:C,PSI_메인!A94,입항스케줄!V:V,"2603")</f>
        <v/>
      </c>
      <c r="AE94" s="280">
        <f>$G94+AC94-AA94</f>
        <v/>
      </c>
      <c r="AF94" s="277">
        <f>$G94+AD94-AB94</f>
        <v/>
      </c>
      <c r="AG94" s="278" t="n">
        <v>0</v>
      </c>
      <c r="AH94" s="278" t="n">
        <v>0</v>
      </c>
      <c r="AI94" s="279">
        <f>ROUND((AG94+AH94)/2,0)</f>
        <v/>
      </c>
      <c r="AJ94" s="11" t="n">
        <v>0</v>
      </c>
      <c r="AK94" s="9">
        <f>SUMIFS(입항스케줄!J:J,입항스케줄!C:C,PSI_메인!A94,입항스케줄!U:U,"2604")</f>
        <v/>
      </c>
      <c r="AL94" s="11">
        <f>SUMIFS(입항스케줄!J:J,입항스케줄!C:C,PSI_메인!A94,입항스케줄!V:V,"2604")</f>
        <v/>
      </c>
      <c r="AM94" s="280">
        <f>$G94+AK94-AI94</f>
        <v/>
      </c>
      <c r="AN94" s="277">
        <f>$G94+AL94-AJ94</f>
        <v/>
      </c>
      <c r="AO94" s="278" t="n">
        <v>0</v>
      </c>
      <c r="AP94" s="278" t="n">
        <v>0</v>
      </c>
      <c r="AQ94" s="279">
        <f>ROUND((AO94+AP94)/2,0)</f>
        <v/>
      </c>
      <c r="AR94" s="11" t="n">
        <v>0</v>
      </c>
      <c r="AS94" s="9" t="n"/>
      <c r="AT94" s="277" t="n"/>
      <c r="AU94" s="280">
        <f>$G94+AS94-AQ94</f>
        <v/>
      </c>
      <c r="AV94" s="277">
        <f>$G94+AT94-AR94</f>
        <v/>
      </c>
      <c r="AW94" s="278" t="n">
        <v>0</v>
      </c>
      <c r="AX94" s="278" t="n">
        <v>0</v>
      </c>
      <c r="AY94" s="279">
        <f>ROUND((AW94+AX94)/2,0)</f>
        <v/>
      </c>
      <c r="AZ94" s="11" t="n">
        <v>0</v>
      </c>
      <c r="BA94" s="9" t="n"/>
      <c r="BB94" s="11" t="n"/>
      <c r="BC94" s="280">
        <f>$G94+BA94-AY94</f>
        <v/>
      </c>
      <c r="BD94" s="277">
        <f>$G94+BB94-AZ94</f>
        <v/>
      </c>
      <c r="BE94" s="278" t="n">
        <v>0</v>
      </c>
      <c r="BF94" s="278" t="n">
        <v>0</v>
      </c>
      <c r="BG94" s="279">
        <f>ROUND((BE94+BF94)/2,0)</f>
        <v/>
      </c>
      <c r="BH94" s="11" t="n">
        <v>0</v>
      </c>
      <c r="BI94" s="278" t="n"/>
      <c r="BJ94" s="11" t="n"/>
      <c r="BK94" s="280">
        <f>$G94+BI94-BG94</f>
        <v/>
      </c>
      <c r="BL94" s="277">
        <f>$G94+BJ94-BH94</f>
        <v/>
      </c>
      <c r="BM94" s="278" t="n">
        <v>0</v>
      </c>
      <c r="BN94" s="278" t="n">
        <v>0</v>
      </c>
      <c r="BO94" s="279">
        <f>ROUND((BM94+BN94)/2,0)</f>
        <v/>
      </c>
      <c r="BP94" s="11" t="n">
        <v>0</v>
      </c>
      <c r="BQ94" s="278" t="n"/>
      <c r="BR94" s="11" t="n"/>
      <c r="BS94" s="280">
        <f>$G94+BQ94-BO94</f>
        <v/>
      </c>
      <c r="BT94" s="277">
        <f>$G94+BR94-BP94</f>
        <v/>
      </c>
      <c r="BU94" s="278" t="n">
        <v>0</v>
      </c>
      <c r="BV94" s="278" t="n">
        <v>0</v>
      </c>
      <c r="BW94" s="279">
        <f>ROUND((BU94+BV94)/2,0)</f>
        <v/>
      </c>
      <c r="BX94" s="11" t="n">
        <v>0</v>
      </c>
      <c r="BY94" s="278" t="n"/>
      <c r="BZ94" s="11" t="n"/>
      <c r="CA94" s="280">
        <f>$G94+BY94-BW94</f>
        <v/>
      </c>
      <c r="CB94" s="277">
        <f>$G94+BZ94-BX94</f>
        <v/>
      </c>
      <c r="CC94" s="278" t="n">
        <v>0</v>
      </c>
      <c r="CD94" s="278" t="n">
        <v>0</v>
      </c>
      <c r="CE94" s="279">
        <f>ROUND((CC94+CD94)/2,0)</f>
        <v/>
      </c>
      <c r="CF94" s="11" t="n">
        <v>0</v>
      </c>
      <c r="CG94" s="278" t="n"/>
      <c r="CH94" s="11" t="n"/>
      <c r="CI94" s="280">
        <f>$G94+CG94-CE94</f>
        <v/>
      </c>
      <c r="CJ94" s="277">
        <f>$G94+CH94-CF94</f>
        <v/>
      </c>
      <c r="CK94" s="278" t="n">
        <v>0</v>
      </c>
      <c r="CL94" s="278" t="n">
        <v>0</v>
      </c>
      <c r="CM94" s="279">
        <f>ROUND((CK94+CL94)/2,0)</f>
        <v/>
      </c>
      <c r="CN94" s="11" t="n">
        <v>0</v>
      </c>
      <c r="CO94" s="278" t="n"/>
      <c r="CP94" s="277" t="n"/>
      <c r="CQ94" s="280">
        <f>$G94+CO94-CM94</f>
        <v/>
      </c>
      <c r="CR94" s="277">
        <f>$G94+CP94-CN94</f>
        <v/>
      </c>
      <c r="CS94" s="278" t="n">
        <v>0</v>
      </c>
      <c r="CT94" s="278" t="n">
        <v>0</v>
      </c>
      <c r="CU94" s="279">
        <f>ROUND((CS94+CT94)/2,0)</f>
        <v/>
      </c>
      <c r="CV94" s="11" t="n">
        <v>0</v>
      </c>
      <c r="CW94" s="278" t="n"/>
      <c r="CX94" s="277" t="n"/>
      <c r="CY94" s="280">
        <f>$G94+CW94-CU94</f>
        <v/>
      </c>
      <c r="CZ94" s="277">
        <f>$G94+CX94-CV94</f>
        <v/>
      </c>
    </row>
    <row r="95" ht="17.25" customHeight="1" s="480">
      <c r="A95" s="28" t="inlineStr">
        <is>
          <t>ABC92</t>
        </is>
      </c>
      <c r="B95" s="379" t="n"/>
      <c r="C95" s="27" t="n"/>
      <c r="D95" s="28">
        <f>_xlfn.XLOOKUP(A95,'ABC-XYZ분석 (2)'!C:C,'ABC-XYZ분석 (2)'!I:I)</f>
        <v/>
      </c>
      <c r="E95" s="28">
        <f>_xlfn.XLOOKUP(A95,'ABC-XYZ분석 (2)'!C:C,'ABC-XYZ분석 (2)'!AC:AC)</f>
        <v/>
      </c>
      <c r="F95" s="3">
        <f>_xlfn.XLOOKUP(A95,'ABC-XYZ분석 (2)'!C:C,'ABC-XYZ분석 (2)'!AG:AG)</f>
        <v/>
      </c>
      <c r="G95" s="14">
        <f>SUMIF(재고!C:C,PSI_메인!A95,재고!I:I)</f>
        <v/>
      </c>
      <c r="H95" s="277" t="n">
        <v>399</v>
      </c>
      <c r="I95" s="278" t="n">
        <v>0</v>
      </c>
      <c r="J95" s="278" t="n">
        <v>0</v>
      </c>
      <c r="K95" s="279" t="n">
        <v>300</v>
      </c>
      <c r="L95" s="11" t="n">
        <v>0</v>
      </c>
      <c r="M95" s="9">
        <f>SUMIFS(입항스케줄!J:J,입항스케줄!C:C,PSI_메인!A95,입항스케줄!U:U,"2601")</f>
        <v/>
      </c>
      <c r="N95" s="11">
        <f>SUMIFS(입항스케줄!J:J,입항스케줄!C:C,PSI_메인!A95,입항스케줄!V:V,"2601")</f>
        <v/>
      </c>
      <c r="O95" s="280">
        <f>$G95+M95-K95</f>
        <v/>
      </c>
      <c r="P95" s="277">
        <f>$G95+N95-L95</f>
        <v/>
      </c>
      <c r="Q95" s="278" t="n">
        <v>0</v>
      </c>
      <c r="R95" s="278" t="n">
        <v>0</v>
      </c>
      <c r="S95" s="10" t="n">
        <v>0</v>
      </c>
      <c r="T95" s="11" t="n">
        <v>0</v>
      </c>
      <c r="U95" s="9">
        <f>SUMIFS(입항스케줄!J:J,입항스케줄!C:C,PSI_메인!A95,입항스케줄!U:U,"2602")</f>
        <v/>
      </c>
      <c r="V95" s="11">
        <f>SUMIFS(입항스케줄!J:J,입항스케줄!C:C,PSI_메인!A95,입항스케줄!V:V,"2602")</f>
        <v/>
      </c>
      <c r="W95" s="280">
        <f>$G95+U95-S95</f>
        <v/>
      </c>
      <c r="X95" s="277">
        <f>$G95+V95-T95</f>
        <v/>
      </c>
      <c r="Y95" s="278" t="n">
        <v>0</v>
      </c>
      <c r="Z95" s="278" t="n">
        <v>0</v>
      </c>
      <c r="AA95" s="279">
        <f>ROUND((Y95+Z95)/2,0)</f>
        <v/>
      </c>
      <c r="AB95" s="11" t="n">
        <v>0</v>
      </c>
      <c r="AC95" s="9">
        <f>SUMIFS(입항스케줄!J:J,입항스케줄!C:C,PSI_메인!A95,입항스케줄!U:U,"2603")</f>
        <v/>
      </c>
      <c r="AD95" s="11">
        <f>SUMIFS(입항스케줄!J:J,입항스케줄!C:C,PSI_메인!A95,입항스케줄!V:V,"2603")</f>
        <v/>
      </c>
      <c r="AE95" s="280">
        <f>$G95+AC95-AA95</f>
        <v/>
      </c>
      <c r="AF95" s="277">
        <f>$G95+AD95-AB95</f>
        <v/>
      </c>
      <c r="AG95" s="278" t="n">
        <v>0</v>
      </c>
      <c r="AH95" s="278" t="n">
        <v>0</v>
      </c>
      <c r="AI95" s="279">
        <f>ROUND((AG95+AH95)/2,0)</f>
        <v/>
      </c>
      <c r="AJ95" s="11" t="n">
        <v>0</v>
      </c>
      <c r="AK95" s="9">
        <f>SUMIFS(입항스케줄!J:J,입항스케줄!C:C,PSI_메인!A95,입항스케줄!U:U,"2604")</f>
        <v/>
      </c>
      <c r="AL95" s="11">
        <f>SUMIFS(입항스케줄!J:J,입항스케줄!C:C,PSI_메인!A95,입항스케줄!V:V,"2604")</f>
        <v/>
      </c>
      <c r="AM95" s="280">
        <f>$G95+AK95-AI95</f>
        <v/>
      </c>
      <c r="AN95" s="277">
        <f>$G95+AL95-AJ95</f>
        <v/>
      </c>
      <c r="AO95" s="278" t="n">
        <v>0</v>
      </c>
      <c r="AP95" s="278" t="n">
        <v>0</v>
      </c>
      <c r="AQ95" s="279">
        <f>ROUND((AO95+AP95)/2,0)</f>
        <v/>
      </c>
      <c r="AR95" s="11" t="n">
        <v>0</v>
      </c>
      <c r="AS95" s="9" t="n"/>
      <c r="AT95" s="277" t="n"/>
      <c r="AU95" s="280">
        <f>$G95+AS95-AQ95</f>
        <v/>
      </c>
      <c r="AV95" s="277">
        <f>$G95+AT95-AR95</f>
        <v/>
      </c>
      <c r="AW95" s="278" t="n">
        <v>0</v>
      </c>
      <c r="AX95" s="278" t="n">
        <v>0</v>
      </c>
      <c r="AY95" s="279">
        <f>ROUND((AW95+AX95)/2,0)</f>
        <v/>
      </c>
      <c r="AZ95" s="11" t="n">
        <v>0</v>
      </c>
      <c r="BA95" s="9" t="n"/>
      <c r="BB95" s="11" t="n"/>
      <c r="BC95" s="280">
        <f>$G95+BA95-AY95</f>
        <v/>
      </c>
      <c r="BD95" s="277">
        <f>$G95+BB95-AZ95</f>
        <v/>
      </c>
      <c r="BE95" s="278" t="n">
        <v>0</v>
      </c>
      <c r="BF95" s="278" t="n">
        <v>0</v>
      </c>
      <c r="BG95" s="279">
        <f>ROUND((BE95+BF95)/2,0)</f>
        <v/>
      </c>
      <c r="BH95" s="11" t="n">
        <v>0</v>
      </c>
      <c r="BI95" s="278" t="n"/>
      <c r="BJ95" s="11" t="n"/>
      <c r="BK95" s="280">
        <f>$G95+BI95-BG95</f>
        <v/>
      </c>
      <c r="BL95" s="277">
        <f>$G95+BJ95-BH95</f>
        <v/>
      </c>
      <c r="BM95" s="278" t="n">
        <v>0</v>
      </c>
      <c r="BN95" s="278" t="n">
        <v>0</v>
      </c>
      <c r="BO95" s="279">
        <f>ROUND((BM95+BN95)/2,0)</f>
        <v/>
      </c>
      <c r="BP95" s="11" t="n">
        <v>0</v>
      </c>
      <c r="BQ95" s="278" t="n"/>
      <c r="BR95" s="11" t="n"/>
      <c r="BS95" s="280">
        <f>$G95+BQ95-BO95</f>
        <v/>
      </c>
      <c r="BT95" s="277">
        <f>$G95+BR95-BP95</f>
        <v/>
      </c>
      <c r="BU95" s="278" t="n">
        <v>0</v>
      </c>
      <c r="BV95" s="278" t="n">
        <v>0</v>
      </c>
      <c r="BW95" s="279">
        <f>ROUND((BU95+BV95)/2,0)</f>
        <v/>
      </c>
      <c r="BX95" s="11" t="n">
        <v>0</v>
      </c>
      <c r="BY95" s="278" t="n"/>
      <c r="BZ95" s="11" t="n"/>
      <c r="CA95" s="280">
        <f>$G95+BY95-BW95</f>
        <v/>
      </c>
      <c r="CB95" s="277">
        <f>$G95+BZ95-BX95</f>
        <v/>
      </c>
      <c r="CC95" s="278" t="n">
        <v>0</v>
      </c>
      <c r="CD95" s="278" t="n">
        <v>0</v>
      </c>
      <c r="CE95" s="279">
        <f>ROUND((CC95+CD95)/2,0)</f>
        <v/>
      </c>
      <c r="CF95" s="11" t="n">
        <v>0</v>
      </c>
      <c r="CG95" s="278" t="n"/>
      <c r="CH95" s="11" t="n"/>
      <c r="CI95" s="280">
        <f>$G95+CG95-CE95</f>
        <v/>
      </c>
      <c r="CJ95" s="277">
        <f>$G95+CH95-CF95</f>
        <v/>
      </c>
      <c r="CK95" s="278" t="n">
        <v>0</v>
      </c>
      <c r="CL95" s="278" t="n">
        <v>0</v>
      </c>
      <c r="CM95" s="279">
        <f>ROUND((CK95+CL95)/2,0)</f>
        <v/>
      </c>
      <c r="CN95" s="11" t="n">
        <v>0</v>
      </c>
      <c r="CO95" s="278" t="n"/>
      <c r="CP95" s="277" t="n"/>
      <c r="CQ95" s="280">
        <f>$G95+CO95-CM95</f>
        <v/>
      </c>
      <c r="CR95" s="277">
        <f>$G95+CP95-CN95</f>
        <v/>
      </c>
      <c r="CS95" s="278" t="n">
        <v>0</v>
      </c>
      <c r="CT95" s="278" t="n">
        <v>0</v>
      </c>
      <c r="CU95" s="279">
        <f>ROUND((CS95+CT95)/2,0)</f>
        <v/>
      </c>
      <c r="CV95" s="11" t="n">
        <v>0</v>
      </c>
      <c r="CW95" s="278" t="n"/>
      <c r="CX95" s="277" t="n"/>
      <c r="CY95" s="280">
        <f>$G95+CW95-CU95</f>
        <v/>
      </c>
      <c r="CZ95" s="277">
        <f>$G95+CX95-CV95</f>
        <v/>
      </c>
    </row>
    <row r="96" ht="17.25" customHeight="1" s="480">
      <c r="A96" s="28" t="inlineStr">
        <is>
          <t>ABC93</t>
        </is>
      </c>
      <c r="B96" s="379" t="n"/>
      <c r="C96" s="27" t="n"/>
      <c r="D96" s="28">
        <f>_xlfn.XLOOKUP(A96,'ABC-XYZ분석 (2)'!C:C,'ABC-XYZ분석 (2)'!I:I)</f>
        <v/>
      </c>
      <c r="E96" s="28">
        <f>_xlfn.XLOOKUP(A96,'ABC-XYZ분석 (2)'!C:C,'ABC-XYZ분석 (2)'!AC:AC)</f>
        <v/>
      </c>
      <c r="F96" s="3">
        <f>_xlfn.XLOOKUP(A96,'ABC-XYZ분석 (2)'!C:C,'ABC-XYZ분석 (2)'!AG:AG)</f>
        <v/>
      </c>
      <c r="G96" s="14">
        <f>SUMIF(재고!C:C,PSI_메인!A96,재고!I:I)</f>
        <v/>
      </c>
      <c r="H96" s="277" t="n">
        <v>128</v>
      </c>
      <c r="I96" s="278" t="n">
        <v>0</v>
      </c>
      <c r="J96" s="278" t="n">
        <v>0</v>
      </c>
      <c r="K96" s="279" t="n">
        <v>85</v>
      </c>
      <c r="L96" s="11" t="n">
        <v>0</v>
      </c>
      <c r="M96" s="9">
        <f>SUMIFS(입항스케줄!J:J,입항스케줄!C:C,PSI_메인!A96,입항스케줄!U:U,"2601")</f>
        <v/>
      </c>
      <c r="N96" s="11">
        <f>SUMIFS(입항스케줄!J:J,입항스케줄!C:C,PSI_메인!A96,입항스케줄!V:V,"2601")</f>
        <v/>
      </c>
      <c r="O96" s="280">
        <f>$G96+M96-K96</f>
        <v/>
      </c>
      <c r="P96" s="277">
        <f>$G96+N96-L96</f>
        <v/>
      </c>
      <c r="Q96" s="278" t="n">
        <v>0</v>
      </c>
      <c r="R96" s="278" t="n">
        <v>0</v>
      </c>
      <c r="S96" s="10" t="n">
        <v>59</v>
      </c>
      <c r="T96" s="11" t="n">
        <v>0</v>
      </c>
      <c r="U96" s="9">
        <f>SUMIFS(입항스케줄!J:J,입항스케줄!C:C,PSI_메인!A96,입항스케줄!U:U,"2602")</f>
        <v/>
      </c>
      <c r="V96" s="11">
        <f>SUMIFS(입항스케줄!J:J,입항스케줄!C:C,PSI_메인!A96,입항스케줄!V:V,"2602")</f>
        <v/>
      </c>
      <c r="W96" s="280">
        <f>$G96+U96-S96</f>
        <v/>
      </c>
      <c r="X96" s="277">
        <f>$G96+V96-T96</f>
        <v/>
      </c>
      <c r="Y96" s="278" t="n">
        <v>0</v>
      </c>
      <c r="Z96" s="278" t="n">
        <v>0</v>
      </c>
      <c r="AA96" s="279">
        <f>ROUND((Y96+Z96)/2,0)</f>
        <v/>
      </c>
      <c r="AB96" s="11" t="n">
        <v>0</v>
      </c>
      <c r="AC96" s="9">
        <f>SUMIFS(입항스케줄!J:J,입항스케줄!C:C,PSI_메인!A96,입항스케줄!U:U,"2603")</f>
        <v/>
      </c>
      <c r="AD96" s="11">
        <f>SUMIFS(입항스케줄!J:J,입항스케줄!C:C,PSI_메인!A96,입항스케줄!V:V,"2603")</f>
        <v/>
      </c>
      <c r="AE96" s="280">
        <f>$G96+AC96-AA96</f>
        <v/>
      </c>
      <c r="AF96" s="277">
        <f>$G96+AD96-AB96</f>
        <v/>
      </c>
      <c r="AG96" s="278" t="n">
        <v>0</v>
      </c>
      <c r="AH96" s="278" t="n">
        <v>0</v>
      </c>
      <c r="AI96" s="279">
        <f>ROUND((AG96+AH96)/2,0)</f>
        <v/>
      </c>
      <c r="AJ96" s="11" t="n">
        <v>0</v>
      </c>
      <c r="AK96" s="9">
        <f>SUMIFS(입항스케줄!J:J,입항스케줄!C:C,PSI_메인!A96,입항스케줄!U:U,"2604")</f>
        <v/>
      </c>
      <c r="AL96" s="11">
        <f>SUMIFS(입항스케줄!J:J,입항스케줄!C:C,PSI_메인!A96,입항스케줄!V:V,"2604")</f>
        <v/>
      </c>
      <c r="AM96" s="280">
        <f>$G96+AK96-AI96</f>
        <v/>
      </c>
      <c r="AN96" s="277">
        <f>$G96+AL96-AJ96</f>
        <v/>
      </c>
      <c r="AO96" s="278" t="n">
        <v>0</v>
      </c>
      <c r="AP96" s="278" t="n">
        <v>0</v>
      </c>
      <c r="AQ96" s="279">
        <f>ROUND((AO96+AP96)/2,0)</f>
        <v/>
      </c>
      <c r="AR96" s="11" t="n">
        <v>0</v>
      </c>
      <c r="AS96" s="9" t="n"/>
      <c r="AT96" s="277" t="n"/>
      <c r="AU96" s="280">
        <f>$G96+AS96-AQ96</f>
        <v/>
      </c>
      <c r="AV96" s="277">
        <f>$G96+AT96-AR96</f>
        <v/>
      </c>
      <c r="AW96" s="278" t="n">
        <v>0</v>
      </c>
      <c r="AX96" s="278" t="n">
        <v>0</v>
      </c>
      <c r="AY96" s="279">
        <f>ROUND((AW96+AX96)/2,0)</f>
        <v/>
      </c>
      <c r="AZ96" s="11" t="n">
        <v>0</v>
      </c>
      <c r="BA96" s="9" t="n"/>
      <c r="BB96" s="11" t="n"/>
      <c r="BC96" s="280">
        <f>$G96+BA96-AY96</f>
        <v/>
      </c>
      <c r="BD96" s="277">
        <f>$G96+BB96-AZ96</f>
        <v/>
      </c>
      <c r="BE96" s="278" t="n">
        <v>0</v>
      </c>
      <c r="BF96" s="278" t="n">
        <v>0</v>
      </c>
      <c r="BG96" s="279">
        <f>ROUND((BE96+BF96)/2,0)</f>
        <v/>
      </c>
      <c r="BH96" s="11" t="n">
        <v>0</v>
      </c>
      <c r="BI96" s="278" t="n"/>
      <c r="BJ96" s="11" t="n"/>
      <c r="BK96" s="280">
        <f>$G96+BI96-BG96</f>
        <v/>
      </c>
      <c r="BL96" s="277">
        <f>$G96+BJ96-BH96</f>
        <v/>
      </c>
      <c r="BM96" s="278" t="n">
        <v>0</v>
      </c>
      <c r="BN96" s="278" t="n">
        <v>0</v>
      </c>
      <c r="BO96" s="279">
        <f>ROUND((BM96+BN96)/2,0)</f>
        <v/>
      </c>
      <c r="BP96" s="11" t="n">
        <v>0</v>
      </c>
      <c r="BQ96" s="278" t="n"/>
      <c r="BR96" s="11" t="n"/>
      <c r="BS96" s="280">
        <f>$G96+BQ96-BO96</f>
        <v/>
      </c>
      <c r="BT96" s="277">
        <f>$G96+BR96-BP96</f>
        <v/>
      </c>
      <c r="BU96" s="278" t="n">
        <v>0</v>
      </c>
      <c r="BV96" s="278" t="n">
        <v>0</v>
      </c>
      <c r="BW96" s="279">
        <f>ROUND((BU96+BV96)/2,0)</f>
        <v/>
      </c>
      <c r="BX96" s="11" t="n">
        <v>0</v>
      </c>
      <c r="BY96" s="278" t="n"/>
      <c r="BZ96" s="11" t="n"/>
      <c r="CA96" s="280">
        <f>$G96+BY96-BW96</f>
        <v/>
      </c>
      <c r="CB96" s="277">
        <f>$G96+BZ96-BX96</f>
        <v/>
      </c>
      <c r="CC96" s="278" t="n">
        <v>0</v>
      </c>
      <c r="CD96" s="278" t="n">
        <v>0</v>
      </c>
      <c r="CE96" s="279">
        <f>ROUND((CC96+CD96)/2,0)</f>
        <v/>
      </c>
      <c r="CF96" s="11" t="n">
        <v>0</v>
      </c>
      <c r="CG96" s="278" t="n"/>
      <c r="CH96" s="11" t="n"/>
      <c r="CI96" s="280">
        <f>$G96+CG96-CE96</f>
        <v/>
      </c>
      <c r="CJ96" s="277">
        <f>$G96+CH96-CF96</f>
        <v/>
      </c>
      <c r="CK96" s="278" t="n">
        <v>0</v>
      </c>
      <c r="CL96" s="278" t="n">
        <v>0</v>
      </c>
      <c r="CM96" s="279">
        <f>ROUND((CK96+CL96)/2,0)</f>
        <v/>
      </c>
      <c r="CN96" s="11" t="n">
        <v>0</v>
      </c>
      <c r="CO96" s="278" t="n"/>
      <c r="CP96" s="277" t="n"/>
      <c r="CQ96" s="280">
        <f>$G96+CO96-CM96</f>
        <v/>
      </c>
      <c r="CR96" s="277">
        <f>$G96+CP96-CN96</f>
        <v/>
      </c>
      <c r="CS96" s="278" t="n">
        <v>0</v>
      </c>
      <c r="CT96" s="278" t="n">
        <v>0</v>
      </c>
      <c r="CU96" s="279">
        <f>ROUND((CS96+CT96)/2,0)</f>
        <v/>
      </c>
      <c r="CV96" s="11" t="n">
        <v>0</v>
      </c>
      <c r="CW96" s="278" t="n"/>
      <c r="CX96" s="277" t="n"/>
      <c r="CY96" s="280">
        <f>$G96+CW96-CU96</f>
        <v/>
      </c>
      <c r="CZ96" s="277">
        <f>$G96+CX96-CV96</f>
        <v/>
      </c>
    </row>
    <row r="97" ht="17.25" customHeight="1" s="480">
      <c r="A97" s="28" t="inlineStr">
        <is>
          <t>ABC94</t>
        </is>
      </c>
      <c r="B97" s="379" t="n"/>
      <c r="C97" s="27" t="n"/>
      <c r="D97" s="28">
        <f>_xlfn.XLOOKUP(A97,'ABC-XYZ분석 (2)'!C:C,'ABC-XYZ분석 (2)'!I:I)</f>
        <v/>
      </c>
      <c r="E97" s="28">
        <f>_xlfn.XLOOKUP(A97,'ABC-XYZ분석 (2)'!C:C,'ABC-XYZ분석 (2)'!AC:AC)</f>
        <v/>
      </c>
      <c r="F97" s="3">
        <f>_xlfn.XLOOKUP(A97,'ABC-XYZ분석 (2)'!C:C,'ABC-XYZ분석 (2)'!AG:AG)</f>
        <v/>
      </c>
      <c r="G97" s="14">
        <f>SUMIF(재고!C:C,PSI_메인!A97,재고!I:I)</f>
        <v/>
      </c>
      <c r="H97" s="277" t="n">
        <v>52</v>
      </c>
      <c r="I97" s="278" t="n">
        <v>0</v>
      </c>
      <c r="J97" s="278" t="n">
        <v>0</v>
      </c>
      <c r="K97" s="279" t="n">
        <v>205</v>
      </c>
      <c r="L97" s="11" t="n">
        <v>0</v>
      </c>
      <c r="M97" s="9">
        <f>SUMIFS(입항스케줄!J:J,입항스케줄!C:C,PSI_메인!A97,입항스케줄!U:U,"2601")</f>
        <v/>
      </c>
      <c r="N97" s="11">
        <f>SUMIFS(입항스케줄!J:J,입항스케줄!C:C,PSI_메인!A97,입항스케줄!V:V,"2601")</f>
        <v/>
      </c>
      <c r="O97" s="280">
        <f>$G97+M97-K97</f>
        <v/>
      </c>
      <c r="P97" s="277">
        <f>$G97+N97-L97</f>
        <v/>
      </c>
      <c r="Q97" s="278" t="n">
        <v>0</v>
      </c>
      <c r="R97" s="278" t="n">
        <v>0</v>
      </c>
      <c r="S97" s="10" t="n">
        <v>141</v>
      </c>
      <c r="T97" s="11" t="n">
        <v>0</v>
      </c>
      <c r="U97" s="9">
        <f>SUMIFS(입항스케줄!J:J,입항스케줄!C:C,PSI_메인!A97,입항스케줄!U:U,"2602")</f>
        <v/>
      </c>
      <c r="V97" s="11">
        <f>SUMIFS(입항스케줄!J:J,입항스케줄!C:C,PSI_메인!A97,입항스케줄!V:V,"2602")</f>
        <v/>
      </c>
      <c r="W97" s="280">
        <f>$G97+U97-S97</f>
        <v/>
      </c>
      <c r="X97" s="277">
        <f>$G97+V97-T97</f>
        <v/>
      </c>
      <c r="Y97" s="278" t="n">
        <v>0</v>
      </c>
      <c r="Z97" s="278" t="n">
        <v>0</v>
      </c>
      <c r="AA97" s="279">
        <f>ROUND((Y97+Z97)/2,0)</f>
        <v/>
      </c>
      <c r="AB97" s="11" t="n">
        <v>0</v>
      </c>
      <c r="AC97" s="9">
        <f>SUMIFS(입항스케줄!J:J,입항스케줄!C:C,PSI_메인!A97,입항스케줄!U:U,"2603")</f>
        <v/>
      </c>
      <c r="AD97" s="11">
        <f>SUMIFS(입항스케줄!J:J,입항스케줄!C:C,PSI_메인!A97,입항스케줄!V:V,"2603")</f>
        <v/>
      </c>
      <c r="AE97" s="280">
        <f>$G97+AC97-AA97</f>
        <v/>
      </c>
      <c r="AF97" s="277">
        <f>$G97+AD97-AB97</f>
        <v/>
      </c>
      <c r="AG97" s="278" t="n">
        <v>0</v>
      </c>
      <c r="AH97" s="278" t="n">
        <v>0</v>
      </c>
      <c r="AI97" s="279">
        <f>ROUND((AG97+AH97)/2,0)</f>
        <v/>
      </c>
      <c r="AJ97" s="11" t="n">
        <v>0</v>
      </c>
      <c r="AK97" s="9">
        <f>SUMIFS(입항스케줄!J:J,입항스케줄!C:C,PSI_메인!A97,입항스케줄!U:U,"2604")</f>
        <v/>
      </c>
      <c r="AL97" s="11">
        <f>SUMIFS(입항스케줄!J:J,입항스케줄!C:C,PSI_메인!A97,입항스케줄!V:V,"2604")</f>
        <v/>
      </c>
      <c r="AM97" s="280">
        <f>$G97+AK97-AI97</f>
        <v/>
      </c>
      <c r="AN97" s="277">
        <f>$G97+AL97-AJ97</f>
        <v/>
      </c>
      <c r="AO97" s="278" t="n">
        <v>0</v>
      </c>
      <c r="AP97" s="278" t="n">
        <v>0</v>
      </c>
      <c r="AQ97" s="279">
        <f>ROUND((AO97+AP97)/2,0)</f>
        <v/>
      </c>
      <c r="AR97" s="11" t="n">
        <v>0</v>
      </c>
      <c r="AS97" s="9" t="n"/>
      <c r="AT97" s="277" t="n"/>
      <c r="AU97" s="280">
        <f>$G97+AS97-AQ97</f>
        <v/>
      </c>
      <c r="AV97" s="277">
        <f>$G97+AT97-AR97</f>
        <v/>
      </c>
      <c r="AW97" s="278" t="n">
        <v>0</v>
      </c>
      <c r="AX97" s="278" t="n">
        <v>0</v>
      </c>
      <c r="AY97" s="279">
        <f>ROUND((AW97+AX97)/2,0)</f>
        <v/>
      </c>
      <c r="AZ97" s="11" t="n">
        <v>0</v>
      </c>
      <c r="BA97" s="9" t="n"/>
      <c r="BB97" s="11" t="n"/>
      <c r="BC97" s="280">
        <f>$G97+BA97-AY97</f>
        <v/>
      </c>
      <c r="BD97" s="277">
        <f>$G97+BB97-AZ97</f>
        <v/>
      </c>
      <c r="BE97" s="278" t="n">
        <v>0</v>
      </c>
      <c r="BF97" s="278" t="n">
        <v>0</v>
      </c>
      <c r="BG97" s="279">
        <f>ROUND((BE97+BF97)/2,0)</f>
        <v/>
      </c>
      <c r="BH97" s="11" t="n">
        <v>0</v>
      </c>
      <c r="BI97" s="278" t="n"/>
      <c r="BJ97" s="11" t="n"/>
      <c r="BK97" s="280">
        <f>$G97+BI97-BG97</f>
        <v/>
      </c>
      <c r="BL97" s="277">
        <f>$G97+BJ97-BH97</f>
        <v/>
      </c>
      <c r="BM97" s="278" t="n">
        <v>0</v>
      </c>
      <c r="BN97" s="278" t="n">
        <v>0</v>
      </c>
      <c r="BO97" s="279">
        <f>ROUND((BM97+BN97)/2,0)</f>
        <v/>
      </c>
      <c r="BP97" s="11" t="n">
        <v>0</v>
      </c>
      <c r="BQ97" s="278" t="n"/>
      <c r="BR97" s="11" t="n"/>
      <c r="BS97" s="280">
        <f>$G97+BQ97-BO97</f>
        <v/>
      </c>
      <c r="BT97" s="277">
        <f>$G97+BR97-BP97</f>
        <v/>
      </c>
      <c r="BU97" s="278" t="n">
        <v>0</v>
      </c>
      <c r="BV97" s="278" t="n">
        <v>0</v>
      </c>
      <c r="BW97" s="279">
        <f>ROUND((BU97+BV97)/2,0)</f>
        <v/>
      </c>
      <c r="BX97" s="11" t="n">
        <v>0</v>
      </c>
      <c r="BY97" s="278" t="n"/>
      <c r="BZ97" s="11" t="n"/>
      <c r="CA97" s="280">
        <f>$G97+BY97-BW97</f>
        <v/>
      </c>
      <c r="CB97" s="277">
        <f>$G97+BZ97-BX97</f>
        <v/>
      </c>
      <c r="CC97" s="278" t="n">
        <v>0</v>
      </c>
      <c r="CD97" s="278" t="n">
        <v>0</v>
      </c>
      <c r="CE97" s="279">
        <f>ROUND((CC97+CD97)/2,0)</f>
        <v/>
      </c>
      <c r="CF97" s="11" t="n">
        <v>0</v>
      </c>
      <c r="CG97" s="278" t="n"/>
      <c r="CH97" s="11" t="n"/>
      <c r="CI97" s="280">
        <f>$G97+CG97-CE97</f>
        <v/>
      </c>
      <c r="CJ97" s="277">
        <f>$G97+CH97-CF97</f>
        <v/>
      </c>
      <c r="CK97" s="278" t="n">
        <v>0</v>
      </c>
      <c r="CL97" s="278" t="n">
        <v>0</v>
      </c>
      <c r="CM97" s="279">
        <f>ROUND((CK97+CL97)/2,0)</f>
        <v/>
      </c>
      <c r="CN97" s="11" t="n">
        <v>0</v>
      </c>
      <c r="CO97" s="278" t="n"/>
      <c r="CP97" s="277" t="n"/>
      <c r="CQ97" s="280">
        <f>$G97+CO97-CM97</f>
        <v/>
      </c>
      <c r="CR97" s="277">
        <f>$G97+CP97-CN97</f>
        <v/>
      </c>
      <c r="CS97" s="278" t="n">
        <v>0</v>
      </c>
      <c r="CT97" s="278" t="n">
        <v>0</v>
      </c>
      <c r="CU97" s="279">
        <f>ROUND((CS97+CT97)/2,0)</f>
        <v/>
      </c>
      <c r="CV97" s="11" t="n">
        <v>0</v>
      </c>
      <c r="CW97" s="278" t="n"/>
      <c r="CX97" s="277" t="n"/>
      <c r="CY97" s="280">
        <f>$G97+CW97-CU97</f>
        <v/>
      </c>
      <c r="CZ97" s="277">
        <f>$G97+CX97-CV97</f>
        <v/>
      </c>
    </row>
    <row r="98" ht="17.25" customHeight="1" s="480">
      <c r="A98" s="28" t="inlineStr">
        <is>
          <t>ABC95</t>
        </is>
      </c>
      <c r="B98" s="379" t="n"/>
      <c r="C98" s="27" t="n"/>
      <c r="D98" s="28">
        <f>_xlfn.XLOOKUP(A98,'ABC-XYZ분석 (2)'!C:C,'ABC-XYZ분석 (2)'!I:I)</f>
        <v/>
      </c>
      <c r="E98" s="28">
        <f>_xlfn.XLOOKUP(A98,'ABC-XYZ분석 (2)'!C:C,'ABC-XYZ분석 (2)'!AC:AC)</f>
        <v/>
      </c>
      <c r="F98" s="3">
        <f>_xlfn.XLOOKUP(A98,'ABC-XYZ분석 (2)'!C:C,'ABC-XYZ분석 (2)'!AG:AG)</f>
        <v/>
      </c>
      <c r="G98" s="14">
        <f>SUMIF(재고!C:C,PSI_메인!A98,재고!I:I)</f>
        <v/>
      </c>
      <c r="H98" s="277" t="n">
        <v>300</v>
      </c>
      <c r="I98" s="278" t="n">
        <v>0</v>
      </c>
      <c r="J98" s="278" t="n">
        <v>0</v>
      </c>
      <c r="K98" s="279" t="n">
        <v>0</v>
      </c>
      <c r="L98" s="11" t="n">
        <v>0</v>
      </c>
      <c r="M98" s="9">
        <f>SUMIFS(입항스케줄!J:J,입항스케줄!C:C,PSI_메인!A98,입항스케줄!U:U,"2601")</f>
        <v/>
      </c>
      <c r="N98" s="11">
        <f>SUMIFS(입항스케줄!J:J,입항스케줄!C:C,PSI_메인!A98,입항스케줄!V:V,"2601")</f>
        <v/>
      </c>
      <c r="O98" s="280">
        <f>$G98+M98-K98</f>
        <v/>
      </c>
      <c r="P98" s="277">
        <f>$G98+N98-L98</f>
        <v/>
      </c>
      <c r="Q98" s="278" t="n">
        <v>0</v>
      </c>
      <c r="R98" s="278" t="n">
        <v>0</v>
      </c>
      <c r="S98" s="10" t="n">
        <v>0</v>
      </c>
      <c r="T98" s="11" t="n">
        <v>0</v>
      </c>
      <c r="U98" s="9">
        <f>SUMIFS(입항스케줄!J:J,입항스케줄!C:C,PSI_메인!A98,입항스케줄!U:U,"2602")</f>
        <v/>
      </c>
      <c r="V98" s="11">
        <f>SUMIFS(입항스케줄!J:J,입항스케줄!C:C,PSI_메인!A98,입항스케줄!V:V,"2602")</f>
        <v/>
      </c>
      <c r="W98" s="280">
        <f>$G98+U98-S98</f>
        <v/>
      </c>
      <c r="X98" s="277">
        <f>$G98+V98-T98</f>
        <v/>
      </c>
      <c r="Y98" s="278" t="n">
        <v>0</v>
      </c>
      <c r="Z98" s="278" t="n">
        <v>0</v>
      </c>
      <c r="AA98" s="279">
        <f>ROUND((Y98+Z98)/2,0)</f>
        <v/>
      </c>
      <c r="AB98" s="11" t="n">
        <v>0</v>
      </c>
      <c r="AC98" s="9">
        <f>SUMIFS(입항스케줄!J:J,입항스케줄!C:C,PSI_메인!A98,입항스케줄!U:U,"2603")</f>
        <v/>
      </c>
      <c r="AD98" s="11">
        <f>SUMIFS(입항스케줄!J:J,입항스케줄!C:C,PSI_메인!A98,입항스케줄!V:V,"2603")</f>
        <v/>
      </c>
      <c r="AE98" s="280">
        <f>$G98+AC98-AA98</f>
        <v/>
      </c>
      <c r="AF98" s="277">
        <f>$G98+AD98-AB98</f>
        <v/>
      </c>
      <c r="AG98" s="278" t="n">
        <v>0</v>
      </c>
      <c r="AH98" s="278" t="n">
        <v>0</v>
      </c>
      <c r="AI98" s="279">
        <f>ROUND((AG98+AH98)/2,0)</f>
        <v/>
      </c>
      <c r="AJ98" s="11" t="n">
        <v>0</v>
      </c>
      <c r="AK98" s="9">
        <f>SUMIFS(입항스케줄!J:J,입항스케줄!C:C,PSI_메인!A98,입항스케줄!U:U,"2604")</f>
        <v/>
      </c>
      <c r="AL98" s="11">
        <f>SUMIFS(입항스케줄!J:J,입항스케줄!C:C,PSI_메인!A98,입항스케줄!V:V,"2604")</f>
        <v/>
      </c>
      <c r="AM98" s="280">
        <f>$G98+AK98-AI98</f>
        <v/>
      </c>
      <c r="AN98" s="277">
        <f>$G98+AL98-AJ98</f>
        <v/>
      </c>
      <c r="AO98" s="278" t="n">
        <v>0</v>
      </c>
      <c r="AP98" s="278" t="n">
        <v>0</v>
      </c>
      <c r="AQ98" s="279">
        <f>ROUND((AO98+AP98)/2,0)</f>
        <v/>
      </c>
      <c r="AR98" s="11" t="n">
        <v>0</v>
      </c>
      <c r="AS98" s="9" t="n"/>
      <c r="AT98" s="277" t="n"/>
      <c r="AU98" s="280">
        <f>$G98+AS98-AQ98</f>
        <v/>
      </c>
      <c r="AV98" s="277">
        <f>$G98+AT98-AR98</f>
        <v/>
      </c>
      <c r="AW98" s="278" t="n">
        <v>0</v>
      </c>
      <c r="AX98" s="278" t="n">
        <v>0</v>
      </c>
      <c r="AY98" s="279">
        <f>ROUND((AW98+AX98)/2,0)</f>
        <v/>
      </c>
      <c r="AZ98" s="11" t="n">
        <v>0</v>
      </c>
      <c r="BA98" s="9" t="n"/>
      <c r="BB98" s="11" t="n"/>
      <c r="BC98" s="280">
        <f>$G98+BA98-AY98</f>
        <v/>
      </c>
      <c r="BD98" s="277">
        <f>$G98+BB98-AZ98</f>
        <v/>
      </c>
      <c r="BE98" s="278" t="n">
        <v>0</v>
      </c>
      <c r="BF98" s="278" t="n">
        <v>0</v>
      </c>
      <c r="BG98" s="279">
        <f>ROUND((BE98+BF98)/2,0)</f>
        <v/>
      </c>
      <c r="BH98" s="11" t="n">
        <v>0</v>
      </c>
      <c r="BI98" s="278" t="n"/>
      <c r="BJ98" s="11" t="n"/>
      <c r="BK98" s="280">
        <f>$G98+BI98-BG98</f>
        <v/>
      </c>
      <c r="BL98" s="277">
        <f>$G98+BJ98-BH98</f>
        <v/>
      </c>
      <c r="BM98" s="278" t="n">
        <v>0</v>
      </c>
      <c r="BN98" s="278" t="n">
        <v>0</v>
      </c>
      <c r="BO98" s="279">
        <f>ROUND((BM98+BN98)/2,0)</f>
        <v/>
      </c>
      <c r="BP98" s="11" t="n">
        <v>0</v>
      </c>
      <c r="BQ98" s="278" t="n"/>
      <c r="BR98" s="11" t="n"/>
      <c r="BS98" s="280">
        <f>$G98+BQ98-BO98</f>
        <v/>
      </c>
      <c r="BT98" s="277">
        <f>$G98+BR98-BP98</f>
        <v/>
      </c>
      <c r="BU98" s="278" t="n">
        <v>0</v>
      </c>
      <c r="BV98" s="278" t="n">
        <v>0</v>
      </c>
      <c r="BW98" s="279">
        <f>ROUND((BU98+BV98)/2,0)</f>
        <v/>
      </c>
      <c r="BX98" s="11" t="n">
        <v>0</v>
      </c>
      <c r="BY98" s="278" t="n"/>
      <c r="BZ98" s="11" t="n"/>
      <c r="CA98" s="280">
        <f>$G98+BY98-BW98</f>
        <v/>
      </c>
      <c r="CB98" s="277">
        <f>$G98+BZ98-BX98</f>
        <v/>
      </c>
      <c r="CC98" s="278" t="n">
        <v>0</v>
      </c>
      <c r="CD98" s="278" t="n">
        <v>0</v>
      </c>
      <c r="CE98" s="279">
        <f>ROUND((CC98+CD98)/2,0)</f>
        <v/>
      </c>
      <c r="CF98" s="11" t="n">
        <v>0</v>
      </c>
      <c r="CG98" s="278" t="n"/>
      <c r="CH98" s="11" t="n"/>
      <c r="CI98" s="280">
        <f>$G98+CG98-CE98</f>
        <v/>
      </c>
      <c r="CJ98" s="277">
        <f>$G98+CH98-CF98</f>
        <v/>
      </c>
      <c r="CK98" s="278" t="n">
        <v>0</v>
      </c>
      <c r="CL98" s="278" t="n">
        <v>0</v>
      </c>
      <c r="CM98" s="279">
        <f>ROUND((CK98+CL98)/2,0)</f>
        <v/>
      </c>
      <c r="CN98" s="11" t="n">
        <v>0</v>
      </c>
      <c r="CO98" s="278" t="n"/>
      <c r="CP98" s="277" t="n"/>
      <c r="CQ98" s="280">
        <f>$G98+CO98-CM98</f>
        <v/>
      </c>
      <c r="CR98" s="277">
        <f>$G98+CP98-CN98</f>
        <v/>
      </c>
      <c r="CS98" s="278" t="n">
        <v>0</v>
      </c>
      <c r="CT98" s="278" t="n">
        <v>0</v>
      </c>
      <c r="CU98" s="279">
        <f>ROUND((CS98+CT98)/2,0)</f>
        <v/>
      </c>
      <c r="CV98" s="11" t="n">
        <v>0</v>
      </c>
      <c r="CW98" s="278" t="n"/>
      <c r="CX98" s="277" t="n"/>
      <c r="CY98" s="280">
        <f>$G98+CW98-CU98</f>
        <v/>
      </c>
      <c r="CZ98" s="277">
        <f>$G98+CX98-CV98</f>
        <v/>
      </c>
    </row>
    <row r="99" ht="17.25" customHeight="1" s="480">
      <c r="A99" s="28" t="inlineStr">
        <is>
          <t>ABC96</t>
        </is>
      </c>
      <c r="B99" s="379" t="n"/>
      <c r="C99" s="27" t="n"/>
      <c r="D99" s="28">
        <f>_xlfn.XLOOKUP(A99,'ABC-XYZ분석 (2)'!C:C,'ABC-XYZ분석 (2)'!I:I)</f>
        <v/>
      </c>
      <c r="E99" s="28">
        <f>_xlfn.XLOOKUP(A99,'ABC-XYZ분석 (2)'!C:C,'ABC-XYZ분석 (2)'!AC:AC)</f>
        <v/>
      </c>
      <c r="F99" s="3">
        <f>_xlfn.XLOOKUP(A99,'ABC-XYZ분석 (2)'!C:C,'ABC-XYZ분석 (2)'!AG:AG)</f>
        <v/>
      </c>
      <c r="G99" s="14">
        <f>SUMIF(재고!C:C,PSI_메인!A99,재고!I:I)</f>
        <v/>
      </c>
      <c r="H99" s="277" t="n">
        <v>230</v>
      </c>
      <c r="I99" s="278" t="n">
        <v>0</v>
      </c>
      <c r="J99" s="278" t="n">
        <v>0</v>
      </c>
      <c r="K99" s="279" t="n">
        <v>0</v>
      </c>
      <c r="L99" s="11" t="n">
        <v>0</v>
      </c>
      <c r="M99" s="9">
        <f>SUMIFS(입항스케줄!J:J,입항스케줄!C:C,PSI_메인!A99,입항스케줄!U:U,"2601")</f>
        <v/>
      </c>
      <c r="N99" s="11">
        <f>SUMIFS(입항스케줄!J:J,입항스케줄!C:C,PSI_메인!A99,입항스케줄!V:V,"2601")</f>
        <v/>
      </c>
      <c r="O99" s="280">
        <f>$G99+M99-K99</f>
        <v/>
      </c>
      <c r="P99" s="277">
        <f>$G99+N99-L99</f>
        <v/>
      </c>
      <c r="Q99" s="278" t="n">
        <v>0</v>
      </c>
      <c r="R99" s="278" t="n">
        <v>0</v>
      </c>
      <c r="S99" s="10" t="n">
        <v>0</v>
      </c>
      <c r="T99" s="11" t="n">
        <v>0</v>
      </c>
      <c r="U99" s="9">
        <f>SUMIFS(입항스케줄!J:J,입항스케줄!C:C,PSI_메인!A99,입항스케줄!U:U,"2602")</f>
        <v/>
      </c>
      <c r="V99" s="11">
        <f>SUMIFS(입항스케줄!J:J,입항스케줄!C:C,PSI_메인!A99,입항스케줄!V:V,"2602")</f>
        <v/>
      </c>
      <c r="W99" s="280">
        <f>$G99+U99-S99</f>
        <v/>
      </c>
      <c r="X99" s="277">
        <f>$G99+V99-T99</f>
        <v/>
      </c>
      <c r="Y99" s="278" t="n">
        <v>0</v>
      </c>
      <c r="Z99" s="278" t="n">
        <v>0</v>
      </c>
      <c r="AA99" s="279">
        <f>ROUND((Y99+Z99)/2,0)</f>
        <v/>
      </c>
      <c r="AB99" s="11" t="n">
        <v>0</v>
      </c>
      <c r="AC99" s="9">
        <f>SUMIFS(입항스케줄!J:J,입항스케줄!C:C,PSI_메인!A99,입항스케줄!U:U,"2603")</f>
        <v/>
      </c>
      <c r="AD99" s="11">
        <f>SUMIFS(입항스케줄!J:J,입항스케줄!C:C,PSI_메인!A99,입항스케줄!V:V,"2603")</f>
        <v/>
      </c>
      <c r="AE99" s="280">
        <f>$G99+AC99-AA99</f>
        <v/>
      </c>
      <c r="AF99" s="277">
        <f>$G99+AD99-AB99</f>
        <v/>
      </c>
      <c r="AG99" s="278" t="n">
        <v>0</v>
      </c>
      <c r="AH99" s="278" t="n">
        <v>0</v>
      </c>
      <c r="AI99" s="279">
        <f>ROUND((AG99+AH99)/2,0)</f>
        <v/>
      </c>
      <c r="AJ99" s="11" t="n">
        <v>0</v>
      </c>
      <c r="AK99" s="9">
        <f>SUMIFS(입항스케줄!J:J,입항스케줄!C:C,PSI_메인!A99,입항스케줄!U:U,"2604")</f>
        <v/>
      </c>
      <c r="AL99" s="11">
        <f>SUMIFS(입항스케줄!J:J,입항스케줄!C:C,PSI_메인!A99,입항스케줄!V:V,"2604")</f>
        <v/>
      </c>
      <c r="AM99" s="280">
        <f>$G99+AK99-AI99</f>
        <v/>
      </c>
      <c r="AN99" s="277">
        <f>$G99+AL99-AJ99</f>
        <v/>
      </c>
      <c r="AO99" s="278" t="n">
        <v>0</v>
      </c>
      <c r="AP99" s="278" t="n">
        <v>0</v>
      </c>
      <c r="AQ99" s="279">
        <f>ROUND((AO99+AP99)/2,0)</f>
        <v/>
      </c>
      <c r="AR99" s="11" t="n">
        <v>0</v>
      </c>
      <c r="AS99" s="9" t="n"/>
      <c r="AT99" s="277" t="n"/>
      <c r="AU99" s="280">
        <f>$G99+AS99-AQ99</f>
        <v/>
      </c>
      <c r="AV99" s="277">
        <f>$G99+AT99-AR99</f>
        <v/>
      </c>
      <c r="AW99" s="278" t="n">
        <v>0</v>
      </c>
      <c r="AX99" s="278" t="n">
        <v>0</v>
      </c>
      <c r="AY99" s="279">
        <f>ROUND((AW99+AX99)/2,0)</f>
        <v/>
      </c>
      <c r="AZ99" s="11" t="n">
        <v>0</v>
      </c>
      <c r="BA99" s="9" t="n"/>
      <c r="BB99" s="11" t="n"/>
      <c r="BC99" s="280">
        <f>$G99+BA99-AY99</f>
        <v/>
      </c>
      <c r="BD99" s="277">
        <f>$G99+BB99-AZ99</f>
        <v/>
      </c>
      <c r="BE99" s="278" t="n">
        <v>0</v>
      </c>
      <c r="BF99" s="278" t="n">
        <v>0</v>
      </c>
      <c r="BG99" s="279">
        <f>ROUND((BE99+BF99)/2,0)</f>
        <v/>
      </c>
      <c r="BH99" s="11" t="n">
        <v>0</v>
      </c>
      <c r="BI99" s="278" t="n"/>
      <c r="BJ99" s="11" t="n"/>
      <c r="BK99" s="280">
        <f>$G99+BI99-BG99</f>
        <v/>
      </c>
      <c r="BL99" s="277">
        <f>$G99+BJ99-BH99</f>
        <v/>
      </c>
      <c r="BM99" s="278" t="n">
        <v>0</v>
      </c>
      <c r="BN99" s="278" t="n">
        <v>0</v>
      </c>
      <c r="BO99" s="279">
        <f>ROUND((BM99+BN99)/2,0)</f>
        <v/>
      </c>
      <c r="BP99" s="11" t="n">
        <v>0</v>
      </c>
      <c r="BQ99" s="278" t="n"/>
      <c r="BR99" s="11" t="n"/>
      <c r="BS99" s="280">
        <f>$G99+BQ99-BO99</f>
        <v/>
      </c>
      <c r="BT99" s="277">
        <f>$G99+BR99-BP99</f>
        <v/>
      </c>
      <c r="BU99" s="278" t="n">
        <v>0</v>
      </c>
      <c r="BV99" s="278" t="n">
        <v>0</v>
      </c>
      <c r="BW99" s="279">
        <f>ROUND((BU99+BV99)/2,0)</f>
        <v/>
      </c>
      <c r="BX99" s="11" t="n">
        <v>0</v>
      </c>
      <c r="BY99" s="278" t="n"/>
      <c r="BZ99" s="11" t="n"/>
      <c r="CA99" s="280">
        <f>$G99+BY99-BW99</f>
        <v/>
      </c>
      <c r="CB99" s="277">
        <f>$G99+BZ99-BX99</f>
        <v/>
      </c>
      <c r="CC99" s="278" t="n">
        <v>0</v>
      </c>
      <c r="CD99" s="278" t="n">
        <v>0</v>
      </c>
      <c r="CE99" s="279">
        <f>ROUND((CC99+CD99)/2,0)</f>
        <v/>
      </c>
      <c r="CF99" s="11" t="n">
        <v>0</v>
      </c>
      <c r="CG99" s="278" t="n"/>
      <c r="CH99" s="11" t="n"/>
      <c r="CI99" s="280">
        <f>$G99+CG99-CE99</f>
        <v/>
      </c>
      <c r="CJ99" s="277">
        <f>$G99+CH99-CF99</f>
        <v/>
      </c>
      <c r="CK99" s="278" t="n">
        <v>0</v>
      </c>
      <c r="CL99" s="278" t="n">
        <v>0</v>
      </c>
      <c r="CM99" s="279">
        <f>ROUND((CK99+CL99)/2,0)</f>
        <v/>
      </c>
      <c r="CN99" s="11" t="n">
        <v>0</v>
      </c>
      <c r="CO99" s="278" t="n"/>
      <c r="CP99" s="277" t="n"/>
      <c r="CQ99" s="280">
        <f>$G99+CO99-CM99</f>
        <v/>
      </c>
      <c r="CR99" s="277">
        <f>$G99+CP99-CN99</f>
        <v/>
      </c>
      <c r="CS99" s="278" t="n">
        <v>0</v>
      </c>
      <c r="CT99" s="278" t="n">
        <v>0</v>
      </c>
      <c r="CU99" s="279">
        <f>ROUND((CS99+CT99)/2,0)</f>
        <v/>
      </c>
      <c r="CV99" s="11" t="n">
        <v>0</v>
      </c>
      <c r="CW99" s="278" t="n"/>
      <c r="CX99" s="277" t="n"/>
      <c r="CY99" s="280">
        <f>$G99+CW99-CU99</f>
        <v/>
      </c>
      <c r="CZ99" s="277">
        <f>$G99+CX99-CV99</f>
        <v/>
      </c>
    </row>
    <row r="100" ht="17.25" customHeight="1" s="480">
      <c r="A100" s="28" t="inlineStr">
        <is>
          <t>ABC97</t>
        </is>
      </c>
      <c r="B100" s="379" t="n"/>
      <c r="C100" s="27" t="n"/>
      <c r="D100" s="28">
        <f>_xlfn.XLOOKUP(A100,'ABC-XYZ분석 (2)'!C:C,'ABC-XYZ분석 (2)'!I:I)</f>
        <v/>
      </c>
      <c r="E100" s="28">
        <f>_xlfn.XLOOKUP(A100,'ABC-XYZ분석 (2)'!C:C,'ABC-XYZ분석 (2)'!AC:AC)</f>
        <v/>
      </c>
      <c r="F100" s="3">
        <f>_xlfn.XLOOKUP(A100,'ABC-XYZ분석 (2)'!C:C,'ABC-XYZ분석 (2)'!AG:AG)</f>
        <v/>
      </c>
      <c r="G100" s="14">
        <f>SUMIF(재고!C:C,PSI_메인!A100,재고!I:I)</f>
        <v/>
      </c>
      <c r="H100" s="277" t="n">
        <v>138</v>
      </c>
      <c r="I100" s="278" t="n">
        <v>0</v>
      </c>
      <c r="J100" s="278" t="n">
        <v>0</v>
      </c>
      <c r="K100" s="279" t="n">
        <v>85</v>
      </c>
      <c r="L100" s="11" t="n">
        <v>0</v>
      </c>
      <c r="M100" s="9">
        <f>SUMIFS(입항스케줄!J:J,입항스케줄!C:C,PSI_메인!A100,입항스케줄!U:U,"2601")</f>
        <v/>
      </c>
      <c r="N100" s="11">
        <f>SUMIFS(입항스케줄!J:J,입항스케줄!C:C,PSI_메인!A100,입항스케줄!V:V,"2601")</f>
        <v/>
      </c>
      <c r="O100" s="280">
        <f>$G100+M100-K100</f>
        <v/>
      </c>
      <c r="P100" s="277">
        <f>$G100+N100-L100</f>
        <v/>
      </c>
      <c r="Q100" s="278" t="n">
        <v>0</v>
      </c>
      <c r="R100" s="278" t="n">
        <v>0</v>
      </c>
      <c r="S100" s="10" t="n">
        <v>59</v>
      </c>
      <c r="T100" s="11" t="n">
        <v>0</v>
      </c>
      <c r="U100" s="9">
        <f>SUMIFS(입항스케줄!J:J,입항스케줄!C:C,PSI_메인!A100,입항스케줄!U:U,"2602")</f>
        <v/>
      </c>
      <c r="V100" s="11">
        <f>SUMIFS(입항스케줄!J:J,입항스케줄!C:C,PSI_메인!A100,입항스케줄!V:V,"2602")</f>
        <v/>
      </c>
      <c r="W100" s="280">
        <f>$G100+U100-S100</f>
        <v/>
      </c>
      <c r="X100" s="277">
        <f>$G100+V100-T100</f>
        <v/>
      </c>
      <c r="Y100" s="278" t="n">
        <v>0</v>
      </c>
      <c r="Z100" s="278" t="n">
        <v>0</v>
      </c>
      <c r="AA100" s="279">
        <f>ROUND((Y100+Z100)/2,0)</f>
        <v/>
      </c>
      <c r="AB100" s="11" t="n">
        <v>0</v>
      </c>
      <c r="AC100" s="9">
        <f>SUMIFS(입항스케줄!J:J,입항스케줄!C:C,PSI_메인!A100,입항스케줄!U:U,"2603")</f>
        <v/>
      </c>
      <c r="AD100" s="11">
        <f>SUMIFS(입항스케줄!J:J,입항스케줄!C:C,PSI_메인!A100,입항스케줄!V:V,"2603")</f>
        <v/>
      </c>
      <c r="AE100" s="280">
        <f>$G100+AC100-AA100</f>
        <v/>
      </c>
      <c r="AF100" s="277">
        <f>$G100+AD100-AB100</f>
        <v/>
      </c>
      <c r="AG100" s="278" t="n">
        <v>0</v>
      </c>
      <c r="AH100" s="278" t="n">
        <v>0</v>
      </c>
      <c r="AI100" s="279">
        <f>ROUND((AG100+AH100)/2,0)</f>
        <v/>
      </c>
      <c r="AJ100" s="11" t="n">
        <v>0</v>
      </c>
      <c r="AK100" s="9">
        <f>SUMIFS(입항스케줄!J:J,입항스케줄!C:C,PSI_메인!A100,입항스케줄!U:U,"2604")</f>
        <v/>
      </c>
      <c r="AL100" s="11">
        <f>SUMIFS(입항스케줄!J:J,입항스케줄!C:C,PSI_메인!A100,입항스케줄!V:V,"2604")</f>
        <v/>
      </c>
      <c r="AM100" s="280">
        <f>$G100+AK100-AI100</f>
        <v/>
      </c>
      <c r="AN100" s="277">
        <f>$G100+AL100-AJ100</f>
        <v/>
      </c>
      <c r="AO100" s="278" t="n">
        <v>0</v>
      </c>
      <c r="AP100" s="278" t="n">
        <v>0</v>
      </c>
      <c r="AQ100" s="279">
        <f>ROUND((AO100+AP100)/2,0)</f>
        <v/>
      </c>
      <c r="AR100" s="11" t="n">
        <v>0</v>
      </c>
      <c r="AS100" s="9" t="n"/>
      <c r="AT100" s="277" t="n"/>
      <c r="AU100" s="280">
        <f>$G100+AS100-AQ100</f>
        <v/>
      </c>
      <c r="AV100" s="277">
        <f>$G100+AT100-AR100</f>
        <v/>
      </c>
      <c r="AW100" s="278" t="n">
        <v>0</v>
      </c>
      <c r="AX100" s="278" t="n">
        <v>0</v>
      </c>
      <c r="AY100" s="279">
        <f>ROUND((AW100+AX100)/2,0)</f>
        <v/>
      </c>
      <c r="AZ100" s="11" t="n">
        <v>0</v>
      </c>
      <c r="BA100" s="9" t="n"/>
      <c r="BB100" s="11" t="n"/>
      <c r="BC100" s="280">
        <f>$G100+BA100-AY100</f>
        <v/>
      </c>
      <c r="BD100" s="277">
        <f>$G100+BB100-AZ100</f>
        <v/>
      </c>
      <c r="BE100" s="278" t="n">
        <v>0</v>
      </c>
      <c r="BF100" s="278" t="n">
        <v>0</v>
      </c>
      <c r="BG100" s="279">
        <f>ROUND((BE100+BF100)/2,0)</f>
        <v/>
      </c>
      <c r="BH100" s="11" t="n">
        <v>0</v>
      </c>
      <c r="BI100" s="278" t="n"/>
      <c r="BJ100" s="11" t="n"/>
      <c r="BK100" s="280">
        <f>$G100+BI100-BG100</f>
        <v/>
      </c>
      <c r="BL100" s="277">
        <f>$G100+BJ100-BH100</f>
        <v/>
      </c>
      <c r="BM100" s="278" t="n">
        <v>0</v>
      </c>
      <c r="BN100" s="278" t="n">
        <v>0</v>
      </c>
      <c r="BO100" s="279">
        <f>ROUND((BM100+BN100)/2,0)</f>
        <v/>
      </c>
      <c r="BP100" s="11" t="n">
        <v>0</v>
      </c>
      <c r="BQ100" s="278" t="n"/>
      <c r="BR100" s="11" t="n"/>
      <c r="BS100" s="280">
        <f>$G100+BQ100-BO100</f>
        <v/>
      </c>
      <c r="BT100" s="277">
        <f>$G100+BR100-BP100</f>
        <v/>
      </c>
      <c r="BU100" s="278" t="n">
        <v>0</v>
      </c>
      <c r="BV100" s="278" t="n">
        <v>0</v>
      </c>
      <c r="BW100" s="279">
        <f>ROUND((BU100+BV100)/2,0)</f>
        <v/>
      </c>
      <c r="BX100" s="11" t="n">
        <v>0</v>
      </c>
      <c r="BY100" s="278" t="n"/>
      <c r="BZ100" s="11" t="n"/>
      <c r="CA100" s="280">
        <f>$G100+BY100-BW100</f>
        <v/>
      </c>
      <c r="CB100" s="277">
        <f>$G100+BZ100-BX100</f>
        <v/>
      </c>
      <c r="CC100" s="278" t="n">
        <v>0</v>
      </c>
      <c r="CD100" s="278" t="n">
        <v>0</v>
      </c>
      <c r="CE100" s="279">
        <f>ROUND((CC100+CD100)/2,0)</f>
        <v/>
      </c>
      <c r="CF100" s="11" t="n">
        <v>0</v>
      </c>
      <c r="CG100" s="278" t="n"/>
      <c r="CH100" s="11" t="n"/>
      <c r="CI100" s="280">
        <f>$G100+CG100-CE100</f>
        <v/>
      </c>
      <c r="CJ100" s="277">
        <f>$G100+CH100-CF100</f>
        <v/>
      </c>
      <c r="CK100" s="278" t="n">
        <v>0</v>
      </c>
      <c r="CL100" s="278" t="n">
        <v>0</v>
      </c>
      <c r="CM100" s="279">
        <f>ROUND((CK100+CL100)/2,0)</f>
        <v/>
      </c>
      <c r="CN100" s="11" t="n">
        <v>0</v>
      </c>
      <c r="CO100" s="278" t="n"/>
      <c r="CP100" s="277" t="n"/>
      <c r="CQ100" s="280">
        <f>$G100+CO100-CM100</f>
        <v/>
      </c>
      <c r="CR100" s="277">
        <f>$G100+CP100-CN100</f>
        <v/>
      </c>
      <c r="CS100" s="278" t="n">
        <v>0</v>
      </c>
      <c r="CT100" s="278" t="n">
        <v>0</v>
      </c>
      <c r="CU100" s="279">
        <f>ROUND((CS100+CT100)/2,0)</f>
        <v/>
      </c>
      <c r="CV100" s="11" t="n">
        <v>0</v>
      </c>
      <c r="CW100" s="278" t="n"/>
      <c r="CX100" s="277" t="n"/>
      <c r="CY100" s="280">
        <f>$G100+CW100-CU100</f>
        <v/>
      </c>
      <c r="CZ100" s="277">
        <f>$G100+CX100-CV100</f>
        <v/>
      </c>
    </row>
    <row r="101">
      <c r="A101" s="28" t="inlineStr">
        <is>
          <t>ABC98</t>
        </is>
      </c>
      <c r="B101" s="431" t="n"/>
      <c r="C101" s="431" t="n"/>
      <c r="D101" s="28">
        <f>_xlfn.XLOOKUP(A101,'ABC-XYZ분석 (2)'!C:C,'ABC-XYZ분석 (2)'!I:I)</f>
        <v/>
      </c>
      <c r="E101" s="28">
        <f>_xlfn.XLOOKUP(A101,'ABC-XYZ분석 (2)'!C:C,'ABC-XYZ분석 (2)'!AC:AC)</f>
        <v/>
      </c>
      <c r="F101" s="3">
        <f>_xlfn.XLOOKUP(A101,'ABC-XYZ분석 (2)'!C:C,'ABC-XYZ분석 (2)'!AG:AG)</f>
        <v/>
      </c>
      <c r="G101" s="14">
        <f>SUMIF(재고!C:C,PSI_메인!A101,재고!I:I)</f>
        <v/>
      </c>
      <c r="H101" s="277" t="n">
        <v>138</v>
      </c>
      <c r="I101" s="278" t="n">
        <v>0</v>
      </c>
      <c r="J101" s="278" t="n">
        <v>0</v>
      </c>
      <c r="K101" s="279" t="n">
        <v>85</v>
      </c>
      <c r="L101" s="11" t="n">
        <v>0</v>
      </c>
      <c r="M101" s="9">
        <f>SUMIFS(입항스케줄!J:J,입항스케줄!C:C,PSI_메인!A101,입항스케줄!U:U,"2601")</f>
        <v/>
      </c>
      <c r="N101" s="11">
        <f>SUMIFS(입항스케줄!J:J,입항스케줄!C:C,PSI_메인!A101,입항스케줄!V:V,"2601")</f>
        <v/>
      </c>
      <c r="O101" s="280">
        <f>$G101+M101-K101</f>
        <v/>
      </c>
      <c r="P101" s="277">
        <f>$G101+N101-L101</f>
        <v/>
      </c>
      <c r="Q101" s="278" t="n">
        <v>0</v>
      </c>
      <c r="R101" s="278" t="n">
        <v>0</v>
      </c>
      <c r="S101" s="10" t="n">
        <v>59</v>
      </c>
      <c r="T101" s="11" t="n">
        <v>0</v>
      </c>
      <c r="U101" s="9">
        <f>SUMIFS(입항스케줄!J:J,입항스케줄!C:C,PSI_메인!A101,입항스케줄!U:U,"2602")</f>
        <v/>
      </c>
      <c r="V101" s="11">
        <f>SUMIFS(입항스케줄!J:J,입항스케줄!C:C,PSI_메인!A101,입항스케줄!V:V,"2602")</f>
        <v/>
      </c>
      <c r="W101" s="280">
        <f>$G101+U101-S101</f>
        <v/>
      </c>
      <c r="X101" s="277">
        <f>$G101+V101-T101</f>
        <v/>
      </c>
      <c r="Y101" s="278" t="n">
        <v>0</v>
      </c>
      <c r="Z101" s="278" t="n">
        <v>0</v>
      </c>
      <c r="AA101" s="279">
        <f>ROUND((Y101+Z101)/2,0)</f>
        <v/>
      </c>
      <c r="AB101" s="11" t="n">
        <v>0</v>
      </c>
      <c r="AC101" s="9">
        <f>SUMIFS(입항스케줄!J:J,입항스케줄!C:C,PSI_메인!A101,입항스케줄!U:U,"2603")</f>
        <v/>
      </c>
      <c r="AD101" s="11">
        <f>SUMIFS(입항스케줄!J:J,입항스케줄!C:C,PSI_메인!A101,입항스케줄!V:V,"2603")</f>
        <v/>
      </c>
      <c r="AE101" s="280">
        <f>$G101+AC101-AA101</f>
        <v/>
      </c>
      <c r="AF101" s="277">
        <f>$G101+AD101-AB101</f>
        <v/>
      </c>
      <c r="AG101" s="278" t="n">
        <v>0</v>
      </c>
      <c r="AH101" s="278" t="n">
        <v>0</v>
      </c>
      <c r="AI101" s="279">
        <f>ROUND((AG101+AH101)/2,0)</f>
        <v/>
      </c>
      <c r="AJ101" s="11" t="n">
        <v>0</v>
      </c>
      <c r="AK101" s="9">
        <f>SUMIFS(입항스케줄!J:J,입항스케줄!C:C,PSI_메인!A101,입항스케줄!U:U,"2604")</f>
        <v/>
      </c>
      <c r="AL101" s="11">
        <f>SUMIFS(입항스케줄!J:J,입항스케줄!C:C,PSI_메인!A101,입항스케줄!V:V,"2604")</f>
        <v/>
      </c>
      <c r="AM101" s="280">
        <f>$G101+AK101-AI101</f>
        <v/>
      </c>
      <c r="AN101" s="277">
        <f>$G101+AL101-AJ101</f>
        <v/>
      </c>
      <c r="AO101" s="278" t="n">
        <v>0</v>
      </c>
      <c r="AP101" s="278" t="n">
        <v>0</v>
      </c>
      <c r="AQ101" s="279">
        <f>ROUND((AO101+AP101)/2,0)</f>
        <v/>
      </c>
      <c r="AR101" s="11" t="n">
        <v>0</v>
      </c>
      <c r="AS101" s="9" t="n"/>
      <c r="AT101" s="277" t="n"/>
      <c r="AU101" s="280">
        <f>$G101+AS101-AQ101</f>
        <v/>
      </c>
      <c r="AV101" s="277">
        <f>$G101+AT101-AR101</f>
        <v/>
      </c>
      <c r="AW101" s="278" t="n">
        <v>0</v>
      </c>
      <c r="AX101" s="278" t="n">
        <v>0</v>
      </c>
      <c r="AY101" s="279">
        <f>ROUND((AW101+AX101)/2,0)</f>
        <v/>
      </c>
      <c r="AZ101" s="11" t="n">
        <v>0</v>
      </c>
      <c r="BA101" s="9" t="n"/>
      <c r="BB101" s="11" t="n"/>
      <c r="BC101" s="280">
        <f>$G101+BA101-AY101</f>
        <v/>
      </c>
      <c r="BD101" s="277">
        <f>$G101+BB101-AZ101</f>
        <v/>
      </c>
      <c r="BE101" s="278" t="n">
        <v>0</v>
      </c>
      <c r="BF101" s="278" t="n">
        <v>0</v>
      </c>
      <c r="BG101" s="279">
        <f>ROUND((BE101+BF101)/2,0)</f>
        <v/>
      </c>
      <c r="BH101" s="11" t="n">
        <v>0</v>
      </c>
      <c r="BI101" s="278" t="n"/>
      <c r="BJ101" s="11" t="n"/>
      <c r="BK101" s="280">
        <f>$G101+BI101-BG101</f>
        <v/>
      </c>
      <c r="BL101" s="277">
        <f>$G101+BJ101-BH101</f>
        <v/>
      </c>
      <c r="BM101" s="278" t="n">
        <v>0</v>
      </c>
      <c r="BN101" s="278" t="n">
        <v>0</v>
      </c>
      <c r="BO101" s="279">
        <f>ROUND((BM101+BN101)/2,0)</f>
        <v/>
      </c>
      <c r="BP101" s="11" t="n">
        <v>0</v>
      </c>
      <c r="BQ101" s="278" t="n"/>
      <c r="BR101" s="11" t="n"/>
      <c r="BS101" s="280">
        <f>$G101+BQ101-BO101</f>
        <v/>
      </c>
      <c r="BT101" s="277">
        <f>$G101+BR101-BP101</f>
        <v/>
      </c>
      <c r="BU101" s="278" t="n">
        <v>0</v>
      </c>
      <c r="BV101" s="278" t="n">
        <v>0</v>
      </c>
      <c r="BW101" s="279">
        <f>ROUND((BU101+BV101)/2,0)</f>
        <v/>
      </c>
      <c r="BX101" s="11" t="n">
        <v>0</v>
      </c>
      <c r="BY101" s="278" t="n"/>
      <c r="BZ101" s="11" t="n"/>
      <c r="CA101" s="280">
        <f>$G101+BY101-BW101</f>
        <v/>
      </c>
      <c r="CB101" s="277">
        <f>$G101+BZ101-BX101</f>
        <v/>
      </c>
      <c r="CC101" s="278" t="n">
        <v>0</v>
      </c>
      <c r="CD101" s="278" t="n">
        <v>0</v>
      </c>
      <c r="CE101" s="279">
        <f>ROUND((CC101+CD101)/2,0)</f>
        <v/>
      </c>
      <c r="CF101" s="11" t="n">
        <v>0</v>
      </c>
      <c r="CG101" s="278" t="n"/>
      <c r="CH101" s="11" t="n"/>
      <c r="CI101" s="280">
        <f>$G101+CG101-CE101</f>
        <v/>
      </c>
      <c r="CJ101" s="277">
        <f>$G101+CH101-CF101</f>
        <v/>
      </c>
      <c r="CK101" s="278" t="n">
        <v>0</v>
      </c>
      <c r="CL101" s="278" t="n">
        <v>0</v>
      </c>
      <c r="CM101" s="279">
        <f>ROUND((CK101+CL101)/2,0)</f>
        <v/>
      </c>
      <c r="CN101" s="11" t="n">
        <v>0</v>
      </c>
      <c r="CO101" s="278" t="n"/>
      <c r="CP101" s="277" t="n"/>
      <c r="CQ101" s="280">
        <f>$G101+CO101-CM101</f>
        <v/>
      </c>
      <c r="CR101" s="277">
        <f>$G101+CP101-CN101</f>
        <v/>
      </c>
      <c r="CS101" s="278" t="n">
        <v>0</v>
      </c>
      <c r="CT101" s="278" t="n">
        <v>0</v>
      </c>
      <c r="CU101" s="279">
        <f>ROUND((CS101+CT101)/2,0)</f>
        <v/>
      </c>
      <c r="CV101" s="11" t="n">
        <v>0</v>
      </c>
      <c r="CW101" s="278" t="n"/>
      <c r="CX101" s="277" t="n"/>
      <c r="CY101" s="280">
        <f>$G101+CW101-CU101</f>
        <v/>
      </c>
      <c r="CZ101" s="277">
        <f>$G101+CX101-CV101</f>
        <v/>
      </c>
    </row>
    <row r="102">
      <c r="A102" s="28" t="inlineStr">
        <is>
          <t>ABC99</t>
        </is>
      </c>
      <c r="B102" s="431" t="n"/>
      <c r="C102" s="431" t="n"/>
      <c r="D102" s="28">
        <f>_xlfn.XLOOKUP(A102,'ABC-XYZ분석 (2)'!C:C,'ABC-XYZ분석 (2)'!I:I)</f>
        <v/>
      </c>
      <c r="E102" s="28">
        <f>_xlfn.XLOOKUP(A102,'ABC-XYZ분석 (2)'!C:C,'ABC-XYZ분석 (2)'!AC:AC)</f>
        <v/>
      </c>
      <c r="F102" s="3">
        <f>_xlfn.XLOOKUP(A102,'ABC-XYZ분석 (2)'!C:C,'ABC-XYZ분석 (2)'!AG:AG)</f>
        <v/>
      </c>
      <c r="G102" s="14">
        <f>SUMIF(재고!C:C,PSI_메인!A102,재고!I:I)</f>
        <v/>
      </c>
      <c r="H102" s="277" t="n">
        <v>138</v>
      </c>
      <c r="I102" s="278" t="n">
        <v>0</v>
      </c>
      <c r="J102" s="278" t="n">
        <v>0</v>
      </c>
      <c r="K102" s="279" t="n">
        <v>85</v>
      </c>
      <c r="L102" s="11" t="n">
        <v>0</v>
      </c>
      <c r="M102" s="9">
        <f>SUMIFS(입항스케줄!J:J,입항스케줄!C:C,PSI_메인!A102,입항스케줄!U:U,"2601")</f>
        <v/>
      </c>
      <c r="N102" s="11">
        <f>SUMIFS(입항스케줄!J:J,입항스케줄!C:C,PSI_메인!A102,입항스케줄!V:V,"2601")</f>
        <v/>
      </c>
      <c r="O102" s="280">
        <f>$G102+M102-K102</f>
        <v/>
      </c>
      <c r="P102" s="277">
        <f>$G102+N102-L102</f>
        <v/>
      </c>
      <c r="Q102" s="278" t="n">
        <v>0</v>
      </c>
      <c r="R102" s="278" t="n">
        <v>0</v>
      </c>
      <c r="S102" s="10" t="n">
        <v>59</v>
      </c>
      <c r="T102" s="11" t="n">
        <v>0</v>
      </c>
      <c r="U102" s="9">
        <f>SUMIFS(입항스케줄!J:J,입항스케줄!C:C,PSI_메인!A102,입항스케줄!U:U,"2602")</f>
        <v/>
      </c>
      <c r="V102" s="11">
        <f>SUMIFS(입항스케줄!J:J,입항스케줄!C:C,PSI_메인!A102,입항스케줄!V:V,"2602")</f>
        <v/>
      </c>
      <c r="W102" s="280">
        <f>$G102+U102-S102</f>
        <v/>
      </c>
      <c r="X102" s="277">
        <f>$G102+V102-T102</f>
        <v/>
      </c>
      <c r="Y102" s="278" t="n">
        <v>0</v>
      </c>
      <c r="Z102" s="278" t="n">
        <v>0</v>
      </c>
      <c r="AA102" s="279">
        <f>ROUND((Y102+Z102)/2,0)</f>
        <v/>
      </c>
      <c r="AB102" s="11" t="n">
        <v>0</v>
      </c>
      <c r="AC102" s="9">
        <f>SUMIFS(입항스케줄!J:J,입항스케줄!C:C,PSI_메인!A102,입항스케줄!U:U,"2603")</f>
        <v/>
      </c>
      <c r="AD102" s="11">
        <f>SUMIFS(입항스케줄!J:J,입항스케줄!C:C,PSI_메인!A102,입항스케줄!V:V,"2603")</f>
        <v/>
      </c>
      <c r="AE102" s="280">
        <f>$G102+AC102-AA102</f>
        <v/>
      </c>
      <c r="AF102" s="277">
        <f>$G102+AD102-AB102</f>
        <v/>
      </c>
      <c r="AG102" s="278" t="n">
        <v>0</v>
      </c>
      <c r="AH102" s="278" t="n">
        <v>0</v>
      </c>
      <c r="AI102" s="279">
        <f>ROUND((AG102+AH102)/2,0)</f>
        <v/>
      </c>
      <c r="AJ102" s="11" t="n">
        <v>0</v>
      </c>
      <c r="AK102" s="9">
        <f>SUMIFS(입항스케줄!J:J,입항스케줄!C:C,PSI_메인!A102,입항스케줄!U:U,"2604")</f>
        <v/>
      </c>
      <c r="AL102" s="11">
        <f>SUMIFS(입항스케줄!J:J,입항스케줄!C:C,PSI_메인!A102,입항스케줄!V:V,"2604")</f>
        <v/>
      </c>
      <c r="AM102" s="280">
        <f>$G102+AK102-AI102</f>
        <v/>
      </c>
      <c r="AN102" s="277">
        <f>$G102+AL102-AJ102</f>
        <v/>
      </c>
      <c r="AO102" s="278" t="n">
        <v>0</v>
      </c>
      <c r="AP102" s="278" t="n">
        <v>0</v>
      </c>
      <c r="AQ102" s="279">
        <f>ROUND((AO102+AP102)/2,0)</f>
        <v/>
      </c>
      <c r="AR102" s="11" t="n">
        <v>0</v>
      </c>
      <c r="AS102" s="9" t="n"/>
      <c r="AT102" s="277" t="n"/>
      <c r="AU102" s="280">
        <f>$G102+AS102-AQ102</f>
        <v/>
      </c>
      <c r="AV102" s="277">
        <f>$G102+AT102-AR102</f>
        <v/>
      </c>
      <c r="AW102" s="278" t="n">
        <v>0</v>
      </c>
      <c r="AX102" s="278" t="n">
        <v>0</v>
      </c>
      <c r="AY102" s="279">
        <f>ROUND((AW102+AX102)/2,0)</f>
        <v/>
      </c>
      <c r="AZ102" s="11" t="n">
        <v>0</v>
      </c>
      <c r="BA102" s="9" t="n"/>
      <c r="BB102" s="11" t="n"/>
      <c r="BC102" s="280">
        <f>$G102+BA102-AY102</f>
        <v/>
      </c>
      <c r="BD102" s="277">
        <f>$G102+BB102-AZ102</f>
        <v/>
      </c>
      <c r="BE102" s="278" t="n">
        <v>0</v>
      </c>
      <c r="BF102" s="278" t="n">
        <v>0</v>
      </c>
      <c r="BG102" s="279">
        <f>ROUND((BE102+BF102)/2,0)</f>
        <v/>
      </c>
      <c r="BH102" s="11" t="n">
        <v>0</v>
      </c>
      <c r="BI102" s="278" t="n"/>
      <c r="BJ102" s="11" t="n"/>
      <c r="BK102" s="280">
        <f>$G102+BI102-BG102</f>
        <v/>
      </c>
      <c r="BL102" s="277">
        <f>$G102+BJ102-BH102</f>
        <v/>
      </c>
      <c r="BM102" s="278" t="n">
        <v>0</v>
      </c>
      <c r="BN102" s="278" t="n">
        <v>0</v>
      </c>
      <c r="BO102" s="279">
        <f>ROUND((BM102+BN102)/2,0)</f>
        <v/>
      </c>
      <c r="BP102" s="11" t="n">
        <v>0</v>
      </c>
      <c r="BQ102" s="278" t="n"/>
      <c r="BR102" s="11" t="n"/>
      <c r="BS102" s="280">
        <f>$G102+BQ102-BO102</f>
        <v/>
      </c>
      <c r="BT102" s="277">
        <f>$G102+BR102-BP102</f>
        <v/>
      </c>
      <c r="BU102" s="278" t="n">
        <v>0</v>
      </c>
      <c r="BV102" s="278" t="n">
        <v>0</v>
      </c>
      <c r="BW102" s="279">
        <f>ROUND((BU102+BV102)/2,0)</f>
        <v/>
      </c>
      <c r="BX102" s="11" t="n">
        <v>0</v>
      </c>
      <c r="BY102" s="278" t="n"/>
      <c r="BZ102" s="11" t="n"/>
      <c r="CA102" s="280">
        <f>$G102+BY102-BW102</f>
        <v/>
      </c>
      <c r="CB102" s="277">
        <f>$G102+BZ102-BX102</f>
        <v/>
      </c>
      <c r="CC102" s="278" t="n">
        <v>0</v>
      </c>
      <c r="CD102" s="278" t="n">
        <v>0</v>
      </c>
      <c r="CE102" s="279">
        <f>ROUND((CC102+CD102)/2,0)</f>
        <v/>
      </c>
      <c r="CF102" s="11" t="n">
        <v>0</v>
      </c>
      <c r="CG102" s="278" t="n"/>
      <c r="CH102" s="11" t="n"/>
      <c r="CI102" s="280">
        <f>$G102+CG102-CE102</f>
        <v/>
      </c>
      <c r="CJ102" s="277">
        <f>$G102+CH102-CF102</f>
        <v/>
      </c>
      <c r="CK102" s="278" t="n">
        <v>0</v>
      </c>
      <c r="CL102" s="278" t="n">
        <v>0</v>
      </c>
      <c r="CM102" s="279">
        <f>ROUND((CK102+CL102)/2,0)</f>
        <v/>
      </c>
      <c r="CN102" s="11" t="n">
        <v>0</v>
      </c>
      <c r="CO102" s="278" t="n"/>
      <c r="CP102" s="277" t="n"/>
      <c r="CQ102" s="280">
        <f>$G102+CO102-CM102</f>
        <v/>
      </c>
      <c r="CR102" s="277">
        <f>$G102+CP102-CN102</f>
        <v/>
      </c>
      <c r="CS102" s="278" t="n">
        <v>0</v>
      </c>
      <c r="CT102" s="278" t="n">
        <v>0</v>
      </c>
      <c r="CU102" s="279">
        <f>ROUND((CS102+CT102)/2,0)</f>
        <v/>
      </c>
      <c r="CV102" s="11" t="n">
        <v>0</v>
      </c>
      <c r="CW102" s="278" t="n"/>
      <c r="CX102" s="277" t="n"/>
      <c r="CY102" s="280">
        <f>$G102+CW102-CU102</f>
        <v/>
      </c>
      <c r="CZ102" s="277">
        <f>$G102+CX102-CV102</f>
        <v/>
      </c>
    </row>
  </sheetData>
  <autoFilter ref="A3:CZ100"/>
  <mergeCells count="49">
    <mergeCell ref="AM2:AN2"/>
    <mergeCell ref="BI2:BJ2"/>
    <mergeCell ref="BA2:BB2"/>
    <mergeCell ref="AG1:AN1"/>
    <mergeCell ref="BC2:BD2"/>
    <mergeCell ref="Q2:T2"/>
    <mergeCell ref="CC1:CJ1"/>
    <mergeCell ref="CC2:CF2"/>
    <mergeCell ref="CK1:CR1"/>
    <mergeCell ref="M2:N2"/>
    <mergeCell ref="U2:V2"/>
    <mergeCell ref="AE2:AF2"/>
    <mergeCell ref="BY2:BZ2"/>
    <mergeCell ref="BE1:BL1"/>
    <mergeCell ref="CA2:CB2"/>
    <mergeCell ref="CG2:CH2"/>
    <mergeCell ref="AO2:AR2"/>
    <mergeCell ref="BM1:BT1"/>
    <mergeCell ref="CI2:CJ2"/>
    <mergeCell ref="I2:L2"/>
    <mergeCell ref="AW2:AZ2"/>
    <mergeCell ref="Y1:AF1"/>
    <mergeCell ref="BU1:CB1"/>
    <mergeCell ref="CW2:CX2"/>
    <mergeCell ref="BU2:BX2"/>
    <mergeCell ref="Q1:X1"/>
    <mergeCell ref="AS2:AT2"/>
    <mergeCell ref="G1:G2"/>
    <mergeCell ref="BQ2:BR2"/>
    <mergeCell ref="Y2:AB2"/>
    <mergeCell ref="AW1:BD1"/>
    <mergeCell ref="CY2:CZ2"/>
    <mergeCell ref="BM2:BP2"/>
    <mergeCell ref="AO1:AV1"/>
    <mergeCell ref="AG2:AJ2"/>
    <mergeCell ref="I1:P1"/>
    <mergeCell ref="O2:P2"/>
    <mergeCell ref="CK2:CN2"/>
    <mergeCell ref="CS1:CZ1"/>
    <mergeCell ref="W2:X2"/>
    <mergeCell ref="CS2:CV2"/>
    <mergeCell ref="BS2:BT2"/>
    <mergeCell ref="BK2:BL2"/>
    <mergeCell ref="AC2:AD2"/>
    <mergeCell ref="AU2:AV2"/>
    <mergeCell ref="AK2:AL2"/>
    <mergeCell ref="CO2:CP2"/>
    <mergeCell ref="CQ2:CR2"/>
    <mergeCell ref="BE2:BH2"/>
  </mergeCells>
  <conditionalFormatting sqref="B4:B100">
    <cfRule type="duplicateValues" priority="1" dxfId="1"/>
    <cfRule type="duplicateValues" priority="2" dxfId="1"/>
  </conditionalFormatting>
  <conditionalFormatting sqref="O1:P1048576 W1:X1048576 AE1:AF1048576 AM1:AN1048576 AU1:AV1048576 BC1:BD1048576 BK1:BL1048576 BS1:BT1048576 CA1:CB1048576 CI1:CJ1048576 CQ1:CR1048576 CY1:CZ1048576">
    <cfRule type="cellIs" priority="5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R100"/>
  <sheetViews>
    <sheetView showGridLines="0" zoomScale="130" zoomScaleNormal="130" workbookViewId="0">
      <pane ySplit="1" topLeftCell="A2" activePane="bottomLeft" state="frozen"/>
      <selection pane="bottomLeft" activeCell="I2" sqref="I2"/>
    </sheetView>
  </sheetViews>
  <sheetFormatPr baseColWidth="8" defaultColWidth="15.375" defaultRowHeight="16.5"/>
  <cols>
    <col width="8.125" customWidth="1" style="158" min="1" max="1"/>
    <col width="8.625" customWidth="1" style="480" min="2" max="2"/>
    <col width="9" customWidth="1" style="480" min="3" max="3"/>
    <col width="7.5" customWidth="1" style="507" min="4" max="4"/>
    <col width="9.625" customWidth="1" style="507" min="5" max="5"/>
    <col width="5.125" customWidth="1" style="507" min="6" max="6"/>
    <col width="4.875" customWidth="1" style="507" min="7" max="7"/>
    <col width="6.125" customWidth="1" style="480" min="8" max="8"/>
    <col width="5.875" customWidth="1" style="480" min="9" max="9"/>
    <col width="30.375" customWidth="1" style="143" min="10" max="10"/>
    <col width="1.125" customWidth="1" style="143" min="11" max="11"/>
    <col width="3.875" bestFit="1" customWidth="1" style="254" min="12" max="12"/>
    <col width="8.625" customWidth="1" style="143" min="13" max="13"/>
    <col width="9.375" customWidth="1" style="480" min="14" max="14"/>
    <col width="38.375" customWidth="1" style="480" min="15" max="15"/>
    <col width="2.375" customWidth="1" style="480" min="16" max="16"/>
    <col width="13.875" bestFit="1" customWidth="1" style="158" min="17" max="17"/>
    <col width="5.625" bestFit="1" customWidth="1" style="480" min="18" max="18"/>
  </cols>
  <sheetData>
    <row r="1" ht="39.6" customHeight="1" s="480">
      <c r="A1" s="282" t="inlineStr">
        <is>
          <t>SKU
코드</t>
        </is>
      </c>
      <c r="B1" s="282" t="inlineStr">
        <is>
          <t>제품명</t>
        </is>
      </c>
      <c r="C1" s="282" t="inlineStr">
        <is>
          <t>리드타임
(일)</t>
        </is>
      </c>
      <c r="D1" s="283" t="inlineStr">
        <is>
          <t>일평균
판매</t>
        </is>
      </c>
      <c r="E1" s="284" t="inlineStr">
        <is>
          <t>수요
표준편차</t>
        </is>
      </c>
      <c r="F1" s="315" t="inlineStr">
        <is>
          <t>ABC</t>
        </is>
      </c>
      <c r="G1" s="315" t="inlineStr">
        <is>
          <t>XYZ</t>
        </is>
      </c>
      <c r="H1" s="315" t="inlineStr">
        <is>
          <t>안전
계수</t>
        </is>
      </c>
      <c r="I1" s="285" t="inlineStr">
        <is>
          <t>안전재고</t>
        </is>
      </c>
      <c r="J1" s="286" t="inlineStr">
        <is>
          <t>안전재고 계산식</t>
        </is>
      </c>
      <c r="L1" s="220" t="n"/>
      <c r="M1" s="345" t="inlineStr">
        <is>
          <t>서비스 
레벨</t>
        </is>
      </c>
      <c r="N1" s="345" t="inlineStr">
        <is>
          <t>Z-score 
(안전계수)</t>
        </is>
      </c>
      <c r="O1" s="345" t="inlineStr">
        <is>
          <t>의미</t>
        </is>
      </c>
      <c r="Q1" s="319" t="inlineStr">
        <is>
          <t>XYZ보정계수
(재고 축소목적)</t>
        </is>
      </c>
    </row>
    <row r="2">
      <c r="A2" s="456" t="inlineStr">
        <is>
          <t>ABC1</t>
        </is>
      </c>
      <c r="B2" s="27" t="n"/>
      <c r="C2" s="3" t="n">
        <v>30</v>
      </c>
      <c r="D2" s="508">
        <f>30/SUMIF('ABC-XYZ분석 (2)'!C:C,안전재고!A2,'ABC-XYZ분석 (2)'!X:X)</f>
        <v/>
      </c>
      <c r="E2" s="509">
        <f>IFERROR('ABC-XYZ분석 (2)'!AE2/30,0)</f>
        <v/>
      </c>
      <c r="F2" s="509">
        <f>_xlfn.XLOOKUP(표7[[#This Row],[SKU
코드]],'ABC-XYZ분석 (2)'!C:C,'ABC-XYZ분석 (2)'!AC:AC)</f>
        <v/>
      </c>
      <c r="G2" s="509">
        <f>_xlfn.XLOOKUP(표7[[#This Row],[SKU
코드]],'ABC-XYZ분석 (2)'!C:C,'ABC-XYZ분석 (2)'!AG:AG)</f>
        <v/>
      </c>
      <c r="H2" s="510">
        <f>_xlfn.XLOOKUP(표7[[#This Row],[ABC]],L:L,N:N)</f>
        <v/>
      </c>
      <c r="I2" s="508">
        <f>ROUND(E2*SQRT(C2)*표7[[#This Row],[안전
계수]]*_xlfn.XLOOKUP(표7[[#This Row],[XYZ]],Q:Q,R:R),0)</f>
        <v/>
      </c>
      <c r="J2" s="281" t="inlineStr">
        <is>
          <t>표준편차×√LT×안전계수x보정계수</t>
        </is>
      </c>
      <c r="K2" s="511" t="n"/>
      <c r="L2" s="512" t="inlineStr">
        <is>
          <t>C</t>
        </is>
      </c>
      <c r="M2" s="316" t="n">
        <v>0.85</v>
      </c>
      <c r="N2" s="314" t="n">
        <v>1.04</v>
      </c>
      <c r="O2" s="314" t="n"/>
      <c r="Q2" s="344" t="inlineStr">
        <is>
          <t>X</t>
        </is>
      </c>
      <c r="R2" s="343" t="n">
        <v>0.85</v>
      </c>
    </row>
    <row r="3">
      <c r="A3" s="456" t="inlineStr">
        <is>
          <t>ABC2</t>
        </is>
      </c>
      <c r="B3" s="27" t="n"/>
      <c r="C3" s="3" t="n">
        <v>30</v>
      </c>
      <c r="D3" s="508">
        <f>30/SUMIF('ABC-XYZ분석 (2)'!C:C,안전재고!A3,'ABC-XYZ분석 (2)'!X:X)</f>
        <v/>
      </c>
      <c r="E3" s="509">
        <f>IFERROR('ABC-XYZ분석 (2)'!AE3/30,0)</f>
        <v/>
      </c>
      <c r="F3" s="509">
        <f>_xlfn.XLOOKUP(표7[[#This Row],[SKU
코드]],'ABC-XYZ분석 (2)'!C:C,'ABC-XYZ분석 (2)'!AC:AC)</f>
        <v/>
      </c>
      <c r="G3" s="509">
        <f>_xlfn.XLOOKUP(표7[[#This Row],[SKU
코드]],'ABC-XYZ분석 (2)'!C:C,'ABC-XYZ분석 (2)'!AG:AG)</f>
        <v/>
      </c>
      <c r="H3" s="510">
        <f>_xlfn.XLOOKUP(표7[[#This Row],[ABC]],L:L,N:N)</f>
        <v/>
      </c>
      <c r="I3" s="508">
        <f>ROUND(E3*SQRT(C3)*표7[[#This Row],[안전
계수]]*_xlfn.XLOOKUP(표7[[#This Row],[XYZ]],Q:Q,R:R),0)</f>
        <v/>
      </c>
      <c r="J3" s="281" t="inlineStr">
        <is>
          <t>표준편차×√LT×안전계수x보정계수</t>
        </is>
      </c>
      <c r="L3" s="220" t="inlineStr">
        <is>
          <t>B</t>
        </is>
      </c>
      <c r="M3" s="346" t="n">
        <v>0.9</v>
      </c>
      <c r="N3" s="347" t="n">
        <v>1.28</v>
      </c>
      <c r="O3" s="347" t="inlineStr">
        <is>
          <t>10번 중 1번 품절</t>
        </is>
      </c>
      <c r="Q3" s="344" t="inlineStr">
        <is>
          <t>Y</t>
        </is>
      </c>
      <c r="R3" s="343" t="n">
        <v>1</v>
      </c>
    </row>
    <row r="4">
      <c r="A4" s="456" t="inlineStr">
        <is>
          <t>ABC3</t>
        </is>
      </c>
      <c r="B4" s="27" t="n"/>
      <c r="C4" s="3" t="n">
        <v>30</v>
      </c>
      <c r="D4" s="508">
        <f>30/SUMIF('ABC-XYZ분석 (2)'!C:C,안전재고!A4,'ABC-XYZ분석 (2)'!X:X)</f>
        <v/>
      </c>
      <c r="E4" s="509">
        <f>IFERROR('ABC-XYZ분석 (2)'!AE4/30,0)</f>
        <v/>
      </c>
      <c r="F4" s="509">
        <f>_xlfn.XLOOKUP(표7[[#This Row],[SKU
코드]],'ABC-XYZ분석 (2)'!C:C,'ABC-XYZ분석 (2)'!AC:AC)</f>
        <v/>
      </c>
      <c r="G4" s="509">
        <f>_xlfn.XLOOKUP(표7[[#This Row],[SKU
코드]],'ABC-XYZ분석 (2)'!C:C,'ABC-XYZ분석 (2)'!AG:AG)</f>
        <v/>
      </c>
      <c r="H4" s="510">
        <f>_xlfn.XLOOKUP(표7[[#This Row],[ABC]],L:L,N:N)</f>
        <v/>
      </c>
      <c r="I4" s="508">
        <f>ROUND(E4*SQRT(C4)*표7[[#This Row],[안전
계수]]*_xlfn.XLOOKUP(표7[[#This Row],[XYZ]],Q:Q,R:R),0)</f>
        <v/>
      </c>
      <c r="J4" s="281" t="inlineStr">
        <is>
          <t>표준편차×√LT×안전계수x보정계수</t>
        </is>
      </c>
      <c r="L4" s="220" t="n"/>
      <c r="M4" s="346" t="n">
        <v>0.91</v>
      </c>
      <c r="N4" s="347" t="n">
        <v>1.34</v>
      </c>
      <c r="O4" s="347" t="n"/>
      <c r="Q4" s="344" t="inlineStr">
        <is>
          <t>Z</t>
        </is>
      </c>
      <c r="R4" s="343" t="n">
        <v>1</v>
      </c>
    </row>
    <row r="5">
      <c r="A5" s="456" t="inlineStr">
        <is>
          <t>ABC4</t>
        </is>
      </c>
      <c r="B5" s="27" t="n"/>
      <c r="C5" s="3" t="n">
        <v>30</v>
      </c>
      <c r="D5" s="508">
        <f>30/SUMIF('ABC-XYZ분석 (2)'!C:C,안전재고!A5,'ABC-XYZ분석 (2)'!X:X)</f>
        <v/>
      </c>
      <c r="E5" s="509">
        <f>IFERROR('ABC-XYZ분석 (2)'!AE5/30,0)</f>
        <v/>
      </c>
      <c r="F5" s="509">
        <f>_xlfn.XLOOKUP(표7[[#This Row],[SKU
코드]],'ABC-XYZ분석 (2)'!C:C,'ABC-XYZ분석 (2)'!AC:AC)</f>
        <v/>
      </c>
      <c r="G5" s="509">
        <f>_xlfn.XLOOKUP(표7[[#This Row],[SKU
코드]],'ABC-XYZ분석 (2)'!C:C,'ABC-XYZ분석 (2)'!AG:AG)</f>
        <v/>
      </c>
      <c r="H5" s="510">
        <f>_xlfn.XLOOKUP(표7[[#This Row],[ABC]],L:L,N:N)</f>
        <v/>
      </c>
      <c r="I5" s="508">
        <f>ROUND(E5*SQRT(C5)*표7[[#This Row],[안전
계수]]*_xlfn.XLOOKUP(표7[[#This Row],[XYZ]],Q:Q,R:R),0)</f>
        <v/>
      </c>
      <c r="J5" s="281" t="inlineStr">
        <is>
          <t>표준편차×√LT×안전계수x보정계수</t>
        </is>
      </c>
      <c r="L5" s="220" t="n"/>
      <c r="M5" s="346" t="n">
        <v>0.92</v>
      </c>
      <c r="N5" s="347" t="n">
        <v>1.41</v>
      </c>
      <c r="O5" s="347" t="n"/>
    </row>
    <row r="6">
      <c r="A6" s="456" t="inlineStr">
        <is>
          <t>ABC5</t>
        </is>
      </c>
      <c r="B6" s="27" t="n"/>
      <c r="C6" s="3" t="n">
        <v>30</v>
      </c>
      <c r="D6" s="508">
        <f>30/SUMIF('ABC-XYZ분석 (2)'!C:C,안전재고!A6,'ABC-XYZ분석 (2)'!X:X)</f>
        <v/>
      </c>
      <c r="E6" s="509">
        <f>IFERROR('ABC-XYZ분석 (2)'!AE6/30,0)</f>
        <v/>
      </c>
      <c r="F6" s="509">
        <f>_xlfn.XLOOKUP(표7[[#This Row],[SKU
코드]],'ABC-XYZ분석 (2)'!C:C,'ABC-XYZ분석 (2)'!AC:AC)</f>
        <v/>
      </c>
      <c r="G6" s="509">
        <f>_xlfn.XLOOKUP(표7[[#This Row],[SKU
코드]],'ABC-XYZ분석 (2)'!C:C,'ABC-XYZ분석 (2)'!AG:AG)</f>
        <v/>
      </c>
      <c r="H6" s="510">
        <f>_xlfn.XLOOKUP(표7[[#This Row],[ABC]],L:L,N:N)</f>
        <v/>
      </c>
      <c r="I6" s="508">
        <f>ROUND(E6*SQRT(C6)*표7[[#This Row],[안전
계수]]*_xlfn.XLOOKUP(표7[[#This Row],[XYZ]],Q:Q,R:R),0)</f>
        <v/>
      </c>
      <c r="J6" s="281" t="inlineStr">
        <is>
          <t>표준편차×√LT×안전계수x보정계수</t>
        </is>
      </c>
      <c r="L6" s="220" t="inlineStr">
        <is>
          <t>A</t>
        </is>
      </c>
      <c r="M6" s="346" t="n">
        <v>0.93</v>
      </c>
      <c r="N6" s="347" t="n">
        <v>1.48</v>
      </c>
      <c r="O6" s="347" t="n"/>
    </row>
    <row r="7">
      <c r="A7" s="456" t="inlineStr">
        <is>
          <t>ABC6</t>
        </is>
      </c>
      <c r="B7" s="27" t="n"/>
      <c r="C7" s="3" t="n">
        <v>30</v>
      </c>
      <c r="D7" s="508">
        <f>30/SUMIF('ABC-XYZ분석 (2)'!C:C,안전재고!A7,'ABC-XYZ분석 (2)'!X:X)</f>
        <v/>
      </c>
      <c r="E7" s="509">
        <f>IFERROR('ABC-XYZ분석 (2)'!AE7/30,0)</f>
        <v/>
      </c>
      <c r="F7" s="509">
        <f>_xlfn.XLOOKUP(표7[[#This Row],[SKU
코드]],'ABC-XYZ분석 (2)'!C:C,'ABC-XYZ분석 (2)'!AC:AC)</f>
        <v/>
      </c>
      <c r="G7" s="509">
        <f>_xlfn.XLOOKUP(표7[[#This Row],[SKU
코드]],'ABC-XYZ분석 (2)'!C:C,'ABC-XYZ분석 (2)'!AG:AG)</f>
        <v/>
      </c>
      <c r="H7" s="510">
        <f>_xlfn.XLOOKUP(표7[[#This Row],[ABC]],L:L,N:N)</f>
        <v/>
      </c>
      <c r="I7" s="508">
        <f>ROUND(E7*SQRT(C7)*표7[[#This Row],[안전
계수]]*_xlfn.XLOOKUP(표7[[#This Row],[XYZ]],Q:Q,R:R),0)</f>
        <v/>
      </c>
      <c r="J7" s="281" t="inlineStr">
        <is>
          <t>표준편차×√LT×안전계수x보정계수</t>
        </is>
      </c>
      <c r="L7" s="220" t="n"/>
      <c r="M7" s="346" t="n">
        <v>0.9399999999999999</v>
      </c>
      <c r="N7" s="347" t="n">
        <v>1.55</v>
      </c>
      <c r="O7" s="347" t="n"/>
    </row>
    <row r="8" ht="33" customHeight="1" s="480">
      <c r="A8" s="456" t="inlineStr">
        <is>
          <t>ABC7</t>
        </is>
      </c>
      <c r="B8" s="27" t="n"/>
      <c r="C8" s="3" t="n">
        <v>30</v>
      </c>
      <c r="D8" s="508">
        <f>30/SUMIF('ABC-XYZ분석 (2)'!C:C,안전재고!A8,'ABC-XYZ분석 (2)'!X:X)</f>
        <v/>
      </c>
      <c r="E8" s="509">
        <f>IFERROR('ABC-XYZ분석 (2)'!AE8/30,0)</f>
        <v/>
      </c>
      <c r="F8" s="509">
        <f>_xlfn.XLOOKUP(표7[[#This Row],[SKU
코드]],'ABC-XYZ분석 (2)'!C:C,'ABC-XYZ분석 (2)'!AC:AC)</f>
        <v/>
      </c>
      <c r="G8" s="509">
        <f>_xlfn.XLOOKUP(표7[[#This Row],[SKU
코드]],'ABC-XYZ분석 (2)'!C:C,'ABC-XYZ분석 (2)'!AG:AG)</f>
        <v/>
      </c>
      <c r="H8" s="510">
        <f>_xlfn.XLOOKUP(표7[[#This Row],[ABC]],L:L,N:N)</f>
        <v/>
      </c>
      <c r="I8" s="508">
        <f>ROUND(E8*SQRT(C8)*표7[[#This Row],[안전
계수]]*_xlfn.XLOOKUP(표7[[#This Row],[XYZ]],Q:Q,R:R),0)</f>
        <v/>
      </c>
      <c r="J8" s="281" t="inlineStr">
        <is>
          <t>표준편차×√LT×안전계수x보정계수</t>
        </is>
      </c>
      <c r="L8" s="220" t="n"/>
      <c r="M8" s="348" t="n">
        <v>0.95</v>
      </c>
      <c r="N8" s="349" t="n">
        <v>1.65</v>
      </c>
      <c r="O8" s="350" t="inlineStr">
        <is>
          <t>20번 중 1번 품절 -&gt; 일반적으로 사용하지만  현재 과잉재고로 레벨 낮추기를 권장</t>
        </is>
      </c>
    </row>
    <row r="9">
      <c r="A9" s="456" t="inlineStr">
        <is>
          <t>ABC8</t>
        </is>
      </c>
      <c r="B9" s="27" t="n"/>
      <c r="C9" s="3" t="n">
        <v>30</v>
      </c>
      <c r="D9" s="508">
        <f>30/SUMIF('ABC-XYZ분석 (2)'!C:C,안전재고!A9,'ABC-XYZ분석 (2)'!X:X)</f>
        <v/>
      </c>
      <c r="E9" s="509">
        <f>IFERROR('ABC-XYZ분석 (2)'!AE9/30,0)</f>
        <v/>
      </c>
      <c r="F9" s="509">
        <f>_xlfn.XLOOKUP(표7[[#This Row],[SKU
코드]],'ABC-XYZ분석 (2)'!C:C,'ABC-XYZ분석 (2)'!AC:AC)</f>
        <v/>
      </c>
      <c r="G9" s="509">
        <f>_xlfn.XLOOKUP(표7[[#This Row],[SKU
코드]],'ABC-XYZ분석 (2)'!C:C,'ABC-XYZ분석 (2)'!AG:AG)</f>
        <v/>
      </c>
      <c r="H9" s="510">
        <f>_xlfn.XLOOKUP(표7[[#This Row],[ABC]],L:L,N:N)</f>
        <v/>
      </c>
      <c r="I9" s="508">
        <f>ROUND(E9*SQRT(C9)*표7[[#This Row],[안전
계수]]*_xlfn.XLOOKUP(표7[[#This Row],[XYZ]],Q:Q,R:R),0)</f>
        <v/>
      </c>
      <c r="J9" s="281" t="inlineStr">
        <is>
          <t>표준편차×√LT×안전계수x보정계수</t>
        </is>
      </c>
      <c r="L9" s="220" t="n"/>
      <c r="M9" s="346" t="n">
        <v>0.96</v>
      </c>
      <c r="N9" s="347" t="n">
        <v>1.75</v>
      </c>
      <c r="O9" s="347" t="n"/>
    </row>
    <row r="10">
      <c r="A10" s="456" t="inlineStr">
        <is>
          <t>ABC9</t>
        </is>
      </c>
      <c r="B10" s="27" t="n"/>
      <c r="C10" s="3" t="n">
        <v>30</v>
      </c>
      <c r="D10" s="508">
        <f>30/SUMIF('ABC-XYZ분석 (2)'!C:C,안전재고!A10,'ABC-XYZ분석 (2)'!X:X)</f>
        <v/>
      </c>
      <c r="E10" s="509">
        <f>IFERROR('ABC-XYZ분석 (2)'!AE10/30,0)</f>
        <v/>
      </c>
      <c r="F10" s="509">
        <f>_xlfn.XLOOKUP(표7[[#This Row],[SKU
코드]],'ABC-XYZ분석 (2)'!C:C,'ABC-XYZ분석 (2)'!AC:AC)</f>
        <v/>
      </c>
      <c r="G10" s="509">
        <f>_xlfn.XLOOKUP(표7[[#This Row],[SKU
코드]],'ABC-XYZ분석 (2)'!C:C,'ABC-XYZ분석 (2)'!AG:AG)</f>
        <v/>
      </c>
      <c r="H10" s="510">
        <f>_xlfn.XLOOKUP(표7[[#This Row],[ABC]],L:L,N:N)</f>
        <v/>
      </c>
      <c r="I10" s="508">
        <f>ROUND(E10*SQRT(C10)*표7[[#This Row],[안전
계수]]*_xlfn.XLOOKUP(표7[[#This Row],[XYZ]],Q:Q,R:R),0)</f>
        <v/>
      </c>
      <c r="J10" s="281" t="inlineStr">
        <is>
          <t>표준편차×√LT×안전계수x보정계수</t>
        </is>
      </c>
      <c r="L10" s="220" t="n"/>
      <c r="M10" s="346" t="n">
        <v>0.97</v>
      </c>
      <c r="N10" s="347" t="n">
        <v>1.88</v>
      </c>
      <c r="O10" s="347" t="n"/>
    </row>
    <row r="11">
      <c r="A11" s="456" t="inlineStr">
        <is>
          <t>ABC10</t>
        </is>
      </c>
      <c r="B11" s="27" t="n"/>
      <c r="C11" s="3" t="n">
        <v>30</v>
      </c>
      <c r="D11" s="508">
        <f>30/SUMIF('ABC-XYZ분석 (2)'!C:C,안전재고!A11,'ABC-XYZ분석 (2)'!X:X)</f>
        <v/>
      </c>
      <c r="E11" s="509">
        <f>IFERROR('ABC-XYZ분석 (2)'!AE11/30,0)</f>
        <v/>
      </c>
      <c r="F11" s="509">
        <f>_xlfn.XLOOKUP(표7[[#This Row],[SKU
코드]],'ABC-XYZ분석 (2)'!C:C,'ABC-XYZ분석 (2)'!AC:AC)</f>
        <v/>
      </c>
      <c r="G11" s="509">
        <f>_xlfn.XLOOKUP(표7[[#This Row],[SKU
코드]],'ABC-XYZ분석 (2)'!C:C,'ABC-XYZ분석 (2)'!AG:AG)</f>
        <v/>
      </c>
      <c r="H11" s="510">
        <f>_xlfn.XLOOKUP(표7[[#This Row],[ABC]],L:L,N:N)</f>
        <v/>
      </c>
      <c r="I11" s="508">
        <f>ROUND(E11*SQRT(C11)*표7[[#This Row],[안전
계수]]*_xlfn.XLOOKUP(표7[[#This Row],[XYZ]],Q:Q,R:R),0)</f>
        <v/>
      </c>
      <c r="J11" s="281" t="inlineStr">
        <is>
          <t>표준편차×√LT×안전계수x보정계수</t>
        </is>
      </c>
      <c r="L11" s="220" t="n"/>
      <c r="M11" s="346" t="n">
        <v>0.975</v>
      </c>
      <c r="N11" s="347" t="n">
        <v>1.96</v>
      </c>
      <c r="O11" s="347" t="n"/>
    </row>
    <row r="12">
      <c r="A12" s="456" t="inlineStr">
        <is>
          <t>ABC11</t>
        </is>
      </c>
      <c r="B12" s="27" t="n"/>
      <c r="C12" s="3" t="n">
        <v>30</v>
      </c>
      <c r="D12" s="508">
        <f>30/SUMIF('ABC-XYZ분석 (2)'!C:C,안전재고!A12,'ABC-XYZ분석 (2)'!X:X)</f>
        <v/>
      </c>
      <c r="E12" s="509">
        <f>IFERROR('ABC-XYZ분석 (2)'!AE12/30,0)</f>
        <v/>
      </c>
      <c r="F12" s="509">
        <f>_xlfn.XLOOKUP(표7[[#This Row],[SKU
코드]],'ABC-XYZ분석 (2)'!C:C,'ABC-XYZ분석 (2)'!AC:AC)</f>
        <v/>
      </c>
      <c r="G12" s="509">
        <f>_xlfn.XLOOKUP(표7[[#This Row],[SKU
코드]],'ABC-XYZ분석 (2)'!C:C,'ABC-XYZ분석 (2)'!AG:AG)</f>
        <v/>
      </c>
      <c r="H12" s="510">
        <f>_xlfn.XLOOKUP(표7[[#This Row],[ABC]],L:L,N:N)</f>
        <v/>
      </c>
      <c r="I12" s="508">
        <f>ROUND(E12*SQRT(C12)*표7[[#This Row],[안전
계수]]*_xlfn.XLOOKUP(표7[[#This Row],[XYZ]],Q:Q,R:R),0)</f>
        <v/>
      </c>
      <c r="J12" s="281" t="inlineStr">
        <is>
          <t>표준편차×√LT×안전계수x보정계수</t>
        </is>
      </c>
      <c r="L12" s="220" t="n"/>
      <c r="M12" s="346" t="n">
        <v>0.98</v>
      </c>
      <c r="N12" s="347" t="n">
        <v>2.05</v>
      </c>
      <c r="O12" s="347" t="n"/>
    </row>
    <row r="13">
      <c r="A13" s="456" t="inlineStr">
        <is>
          <t>ABC12</t>
        </is>
      </c>
      <c r="B13" s="27" t="n"/>
      <c r="C13" s="3" t="n">
        <v>30</v>
      </c>
      <c r="D13" s="508">
        <f>30/SUMIF('ABC-XYZ분석 (2)'!C:C,안전재고!A13,'ABC-XYZ분석 (2)'!X:X)</f>
        <v/>
      </c>
      <c r="E13" s="509">
        <f>IFERROR('ABC-XYZ분석 (2)'!AE13/30,0)</f>
        <v/>
      </c>
      <c r="F13" s="509">
        <f>_xlfn.XLOOKUP(표7[[#This Row],[SKU
코드]],'ABC-XYZ분석 (2)'!C:C,'ABC-XYZ분석 (2)'!AC:AC)</f>
        <v/>
      </c>
      <c r="G13" s="509">
        <f>_xlfn.XLOOKUP(표7[[#This Row],[SKU
코드]],'ABC-XYZ분석 (2)'!C:C,'ABC-XYZ분석 (2)'!AG:AG)</f>
        <v/>
      </c>
      <c r="H13" s="510">
        <f>_xlfn.XLOOKUP(표7[[#This Row],[ABC]],L:L,N:N)</f>
        <v/>
      </c>
      <c r="I13" s="508">
        <f>ROUND(E13*SQRT(C13)*표7[[#This Row],[안전
계수]]*_xlfn.XLOOKUP(표7[[#This Row],[XYZ]],Q:Q,R:R),0)</f>
        <v/>
      </c>
      <c r="J13" s="281" t="inlineStr">
        <is>
          <t>표준편차×√LT×안전계수x보정계수</t>
        </is>
      </c>
      <c r="L13" s="220" t="n"/>
      <c r="M13" s="346" t="n">
        <v>0.99</v>
      </c>
      <c r="N13" s="347" t="n">
        <v>2.33</v>
      </c>
      <c r="O13" s="347" t="inlineStr">
        <is>
          <t>100번 중 1번 품절</t>
        </is>
      </c>
    </row>
    <row r="14">
      <c r="A14" s="456" t="inlineStr">
        <is>
          <t>ABC13</t>
        </is>
      </c>
      <c r="B14" s="27" t="n"/>
      <c r="C14" s="3" t="n">
        <v>30</v>
      </c>
      <c r="D14" s="508">
        <f>30/SUMIF('ABC-XYZ분석 (2)'!C:C,안전재고!A14,'ABC-XYZ분석 (2)'!X:X)</f>
        <v/>
      </c>
      <c r="E14" s="509">
        <f>IFERROR('ABC-XYZ분석 (2)'!AE14/30,0)</f>
        <v/>
      </c>
      <c r="F14" s="509">
        <f>_xlfn.XLOOKUP(표7[[#This Row],[SKU
코드]],'ABC-XYZ분석 (2)'!C:C,'ABC-XYZ분석 (2)'!AC:AC)</f>
        <v/>
      </c>
      <c r="G14" s="509">
        <f>_xlfn.XLOOKUP(표7[[#This Row],[SKU
코드]],'ABC-XYZ분석 (2)'!C:C,'ABC-XYZ분석 (2)'!AG:AG)</f>
        <v/>
      </c>
      <c r="H14" s="510">
        <f>_xlfn.XLOOKUP(표7[[#This Row],[ABC]],L:L,N:N)</f>
        <v/>
      </c>
      <c r="I14" s="508">
        <f>ROUND(E14*SQRT(C14)*표7[[#This Row],[안전
계수]]*_xlfn.XLOOKUP(표7[[#This Row],[XYZ]],Q:Q,R:R),0)</f>
        <v/>
      </c>
      <c r="J14" s="281" t="inlineStr">
        <is>
          <t>표준편차×√LT×안전계수x보정계수</t>
        </is>
      </c>
      <c r="L14" s="220" t="n"/>
      <c r="M14" s="346" t="n">
        <v>0.995</v>
      </c>
      <c r="N14" s="347" t="n">
        <v>2.58</v>
      </c>
      <c r="O14" s="347" t="n"/>
    </row>
    <row r="15">
      <c r="A15" s="456" t="inlineStr">
        <is>
          <t>ABC14</t>
        </is>
      </c>
      <c r="B15" s="27" t="n"/>
      <c r="C15" s="3" t="n">
        <v>30</v>
      </c>
      <c r="D15" s="508">
        <f>30/SUMIF('ABC-XYZ분석 (2)'!C:C,안전재고!A15,'ABC-XYZ분석 (2)'!X:X)</f>
        <v/>
      </c>
      <c r="E15" s="509">
        <f>IFERROR('ABC-XYZ분석 (2)'!AE15/30,0)</f>
        <v/>
      </c>
      <c r="F15" s="509">
        <f>_xlfn.XLOOKUP(표7[[#This Row],[SKU
코드]],'ABC-XYZ분석 (2)'!C:C,'ABC-XYZ분석 (2)'!AC:AC)</f>
        <v/>
      </c>
      <c r="G15" s="509">
        <f>_xlfn.XLOOKUP(표7[[#This Row],[SKU
코드]],'ABC-XYZ분석 (2)'!C:C,'ABC-XYZ분석 (2)'!AG:AG)</f>
        <v/>
      </c>
      <c r="H15" s="510">
        <f>_xlfn.XLOOKUP(표7[[#This Row],[ABC]],L:L,N:N)</f>
        <v/>
      </c>
      <c r="I15" s="508">
        <f>ROUND(E15*SQRT(C15)*표7[[#This Row],[안전
계수]]*_xlfn.XLOOKUP(표7[[#This Row],[XYZ]],Q:Q,R:R),0)</f>
        <v/>
      </c>
      <c r="J15" s="281" t="inlineStr">
        <is>
          <t>표준편차×√LT×안전계수x보정계수</t>
        </is>
      </c>
      <c r="L15" s="220" t="n"/>
      <c r="M15" s="346" t="n">
        <v>0.999</v>
      </c>
      <c r="N15" s="347" t="n">
        <v>3.09</v>
      </c>
      <c r="O15" s="347" t="inlineStr">
        <is>
          <t>1,000번 중 1번 품절</t>
        </is>
      </c>
    </row>
    <row r="16">
      <c r="A16" s="456" t="inlineStr">
        <is>
          <t>ABC15</t>
        </is>
      </c>
      <c r="B16" s="27" t="n"/>
      <c r="C16" s="3" t="n">
        <v>30</v>
      </c>
      <c r="D16" s="508">
        <f>30/SUMIF('ABC-XYZ분석 (2)'!C:C,안전재고!A16,'ABC-XYZ분석 (2)'!X:X)</f>
        <v/>
      </c>
      <c r="E16" s="509">
        <f>IFERROR('ABC-XYZ분석 (2)'!AE16/30,0)</f>
        <v/>
      </c>
      <c r="F16" s="509">
        <f>_xlfn.XLOOKUP(표7[[#This Row],[SKU
코드]],'ABC-XYZ분석 (2)'!C:C,'ABC-XYZ분석 (2)'!AC:AC)</f>
        <v/>
      </c>
      <c r="G16" s="509">
        <f>_xlfn.XLOOKUP(표7[[#This Row],[SKU
코드]],'ABC-XYZ분석 (2)'!C:C,'ABC-XYZ분석 (2)'!AG:AG)</f>
        <v/>
      </c>
      <c r="H16" s="510">
        <f>_xlfn.XLOOKUP(표7[[#This Row],[ABC]],L:L,N:N)</f>
        <v/>
      </c>
      <c r="I16" s="508">
        <f>ROUND(E16*SQRT(C16)*표7[[#This Row],[안전
계수]]*_xlfn.XLOOKUP(표7[[#This Row],[XYZ]],Q:Q,R:R),0)</f>
        <v/>
      </c>
      <c r="J16" s="281" t="inlineStr">
        <is>
          <t>표준편차×√LT×안전계수x보정계수</t>
        </is>
      </c>
      <c r="L16" s="220" t="n"/>
      <c r="M16" s="346" t="n">
        <v>0.9999</v>
      </c>
      <c r="N16" s="347" t="n">
        <v>3.72</v>
      </c>
      <c r="O16" s="347" t="inlineStr">
        <is>
          <t>매우 높은 서비스</t>
        </is>
      </c>
    </row>
    <row r="17">
      <c r="A17" s="456" t="inlineStr">
        <is>
          <t>ABC16</t>
        </is>
      </c>
      <c r="B17" s="27" t="n"/>
      <c r="C17" s="3" t="n">
        <v>30</v>
      </c>
      <c r="D17" s="508">
        <f>30/SUMIF('ABC-XYZ분석 (2)'!C:C,안전재고!A17,'ABC-XYZ분석 (2)'!X:X)</f>
        <v/>
      </c>
      <c r="E17" s="509">
        <f>IFERROR('ABC-XYZ분석 (2)'!AE17/30,0)</f>
        <v/>
      </c>
      <c r="F17" s="509">
        <f>_xlfn.XLOOKUP(표7[[#This Row],[SKU
코드]],'ABC-XYZ분석 (2)'!C:C,'ABC-XYZ분석 (2)'!AC:AC)</f>
        <v/>
      </c>
      <c r="G17" s="509">
        <f>_xlfn.XLOOKUP(표7[[#This Row],[SKU
코드]],'ABC-XYZ분석 (2)'!C:C,'ABC-XYZ분석 (2)'!AG:AG)</f>
        <v/>
      </c>
      <c r="H17" s="510">
        <f>_xlfn.XLOOKUP(표7[[#This Row],[ABC]],L:L,N:N)</f>
        <v/>
      </c>
      <c r="I17" s="508">
        <f>ROUND(E17*SQRT(C17)*표7[[#This Row],[안전
계수]]*_xlfn.XLOOKUP(표7[[#This Row],[XYZ]],Q:Q,R:R),0)</f>
        <v/>
      </c>
      <c r="J17" s="281" t="inlineStr">
        <is>
          <t>표준편차×√LT×안전계수x보정계수</t>
        </is>
      </c>
      <c r="L17" s="220" t="n"/>
      <c r="M17" s="142" t="inlineStr">
        <is>
          <t>서비스 레벨(Service Level)별 안전계수(Z-score)</t>
        </is>
      </c>
      <c r="N17" s="143" t="n"/>
      <c r="O17" s="143" t="n"/>
    </row>
    <row r="18">
      <c r="A18" s="456" t="inlineStr">
        <is>
          <t>ABC17</t>
        </is>
      </c>
      <c r="B18" s="27" t="n"/>
      <c r="C18" s="3" t="n">
        <v>30</v>
      </c>
      <c r="D18" s="508">
        <f>30/SUMIF('ABC-XYZ분석 (2)'!C:C,안전재고!A18,'ABC-XYZ분석 (2)'!X:X)</f>
        <v/>
      </c>
      <c r="E18" s="509">
        <f>IFERROR('ABC-XYZ분석 (2)'!AE18/30,0)</f>
        <v/>
      </c>
      <c r="F18" s="509">
        <f>_xlfn.XLOOKUP(표7[[#This Row],[SKU
코드]],'ABC-XYZ분석 (2)'!C:C,'ABC-XYZ분석 (2)'!AC:AC)</f>
        <v/>
      </c>
      <c r="G18" s="509">
        <f>_xlfn.XLOOKUP(표7[[#This Row],[SKU
코드]],'ABC-XYZ분석 (2)'!C:C,'ABC-XYZ분석 (2)'!AG:AG)</f>
        <v/>
      </c>
      <c r="H18" s="510">
        <f>_xlfn.XLOOKUP(표7[[#This Row],[ABC]],L:L,N:N)</f>
        <v/>
      </c>
      <c r="I18" s="508">
        <f>ROUND(E18*SQRT(C18)*표7[[#This Row],[안전
계수]]*_xlfn.XLOOKUP(표7[[#This Row],[XYZ]],Q:Q,R:R),0)</f>
        <v/>
      </c>
      <c r="J18" s="281" t="inlineStr">
        <is>
          <t>표준편차×√LT×안전계수x보정계수</t>
        </is>
      </c>
      <c r="L18" s="220" t="n"/>
      <c r="N18" s="143" t="n"/>
      <c r="O18" s="143" t="n"/>
    </row>
    <row r="19">
      <c r="A19" s="456" t="inlineStr">
        <is>
          <t>ABC18</t>
        </is>
      </c>
      <c r="B19" s="27" t="n"/>
      <c r="C19" s="3" t="n">
        <v>30</v>
      </c>
      <c r="D19" s="508">
        <f>30/SUMIF('ABC-XYZ분석 (2)'!C:C,안전재고!A19,'ABC-XYZ분석 (2)'!X:X)</f>
        <v/>
      </c>
      <c r="E19" s="509">
        <f>IFERROR('ABC-XYZ분석 (2)'!AE19/30,0)</f>
        <v/>
      </c>
      <c r="F19" s="509">
        <f>_xlfn.XLOOKUP(표7[[#This Row],[SKU
코드]],'ABC-XYZ분석 (2)'!C:C,'ABC-XYZ분석 (2)'!AC:AC)</f>
        <v/>
      </c>
      <c r="G19" s="509">
        <f>_xlfn.XLOOKUP(표7[[#This Row],[SKU
코드]],'ABC-XYZ분석 (2)'!C:C,'ABC-XYZ분석 (2)'!AG:AG)</f>
        <v/>
      </c>
      <c r="H19" s="510">
        <f>_xlfn.XLOOKUP(표7[[#This Row],[ABC]],L:L,N:N)</f>
        <v/>
      </c>
      <c r="I19" s="508">
        <f>ROUND(E19*SQRT(C19)*표7[[#This Row],[안전
계수]]*_xlfn.XLOOKUP(표7[[#This Row],[XYZ]],Q:Q,R:R),0)</f>
        <v/>
      </c>
      <c r="J19" s="281" t="inlineStr">
        <is>
          <t>표준편차×√LT×안전계수x보정계수</t>
        </is>
      </c>
      <c r="L19" s="220" t="n"/>
      <c r="N19" s="143" t="n"/>
      <c r="O19" s="143" t="n"/>
    </row>
    <row r="20">
      <c r="A20" s="456" t="inlineStr">
        <is>
          <t>ABC19</t>
        </is>
      </c>
      <c r="B20" s="27" t="n"/>
      <c r="C20" s="3" t="n">
        <v>30</v>
      </c>
      <c r="D20" s="508">
        <f>30/SUMIF('ABC-XYZ분석 (2)'!C:C,안전재고!A20,'ABC-XYZ분석 (2)'!X:X)</f>
        <v/>
      </c>
      <c r="E20" s="509">
        <f>IFERROR('ABC-XYZ분석 (2)'!AE20/30,0)</f>
        <v/>
      </c>
      <c r="F20" s="509">
        <f>_xlfn.XLOOKUP(표7[[#This Row],[SKU
코드]],'ABC-XYZ분석 (2)'!C:C,'ABC-XYZ분석 (2)'!AC:AC)</f>
        <v/>
      </c>
      <c r="G20" s="509">
        <f>_xlfn.XLOOKUP(표7[[#This Row],[SKU
코드]],'ABC-XYZ분석 (2)'!C:C,'ABC-XYZ분석 (2)'!AG:AG)</f>
        <v/>
      </c>
      <c r="H20" s="510">
        <f>_xlfn.XLOOKUP(표7[[#This Row],[ABC]],L:L,N:N)</f>
        <v/>
      </c>
      <c r="I20" s="508">
        <f>ROUND(E20*SQRT(C20)*표7[[#This Row],[안전
계수]]*_xlfn.XLOOKUP(표7[[#This Row],[XYZ]],Q:Q,R:R),0)</f>
        <v/>
      </c>
      <c r="J20" s="281" t="inlineStr">
        <is>
          <t>표준편차×√LT×안전계수x보정계수</t>
        </is>
      </c>
      <c r="L20" s="220" t="n"/>
      <c r="N20" s="143" t="n"/>
      <c r="O20" s="143" t="n"/>
    </row>
    <row r="21">
      <c r="A21" s="456" t="inlineStr">
        <is>
          <t>ABC20</t>
        </is>
      </c>
      <c r="B21" s="27" t="n"/>
      <c r="C21" s="3" t="n">
        <v>30</v>
      </c>
      <c r="D21" s="508">
        <f>30/SUMIF('ABC-XYZ분석 (2)'!C:C,안전재고!A21,'ABC-XYZ분석 (2)'!X:X)</f>
        <v/>
      </c>
      <c r="E21" s="509">
        <f>IFERROR('ABC-XYZ분석 (2)'!AE21/30,0)</f>
        <v/>
      </c>
      <c r="F21" s="509">
        <f>_xlfn.XLOOKUP(표7[[#This Row],[SKU
코드]],'ABC-XYZ분석 (2)'!C:C,'ABC-XYZ분석 (2)'!AC:AC)</f>
        <v/>
      </c>
      <c r="G21" s="509">
        <f>_xlfn.XLOOKUP(표7[[#This Row],[SKU
코드]],'ABC-XYZ분석 (2)'!C:C,'ABC-XYZ분석 (2)'!AG:AG)</f>
        <v/>
      </c>
      <c r="H21" s="510">
        <f>_xlfn.XLOOKUP(표7[[#This Row],[ABC]],L:L,N:N)</f>
        <v/>
      </c>
      <c r="I21" s="508">
        <f>ROUND(E21*SQRT(C21)*표7[[#This Row],[안전
계수]]*_xlfn.XLOOKUP(표7[[#This Row],[XYZ]],Q:Q,R:R),0)</f>
        <v/>
      </c>
      <c r="J21" s="281" t="inlineStr">
        <is>
          <t>표준편차×√LT×안전계수x보정계수</t>
        </is>
      </c>
      <c r="L21" s="220" t="n"/>
      <c r="N21" s="143" t="n"/>
      <c r="O21" s="143" t="n"/>
    </row>
    <row r="22">
      <c r="A22" s="456" t="inlineStr">
        <is>
          <t>ABC21</t>
        </is>
      </c>
      <c r="B22" s="27" t="n"/>
      <c r="C22" s="3" t="n">
        <v>30</v>
      </c>
      <c r="D22" s="508">
        <f>30/SUMIF('ABC-XYZ분석 (2)'!C:C,안전재고!A22,'ABC-XYZ분석 (2)'!X:X)</f>
        <v/>
      </c>
      <c r="E22" s="509">
        <f>IFERROR('ABC-XYZ분석 (2)'!AE22/30,0)</f>
        <v/>
      </c>
      <c r="F22" s="509">
        <f>_xlfn.XLOOKUP(표7[[#This Row],[SKU
코드]],'ABC-XYZ분석 (2)'!C:C,'ABC-XYZ분석 (2)'!AC:AC)</f>
        <v/>
      </c>
      <c r="G22" s="509">
        <f>_xlfn.XLOOKUP(표7[[#This Row],[SKU
코드]],'ABC-XYZ분석 (2)'!C:C,'ABC-XYZ분석 (2)'!AG:AG)</f>
        <v/>
      </c>
      <c r="H22" s="510">
        <f>_xlfn.XLOOKUP(표7[[#This Row],[ABC]],L:L,N:N)</f>
        <v/>
      </c>
      <c r="I22" s="508">
        <f>ROUND(E22*SQRT(C22)*표7[[#This Row],[안전
계수]]*_xlfn.XLOOKUP(표7[[#This Row],[XYZ]],Q:Q,R:R),0)</f>
        <v/>
      </c>
      <c r="J22" s="281" t="inlineStr">
        <is>
          <t>표준편차×√LT×안전계수x보정계수</t>
        </is>
      </c>
      <c r="L22" s="220" t="n"/>
      <c r="N22" s="143" t="n"/>
      <c r="O22" s="143" t="n"/>
    </row>
    <row r="23">
      <c r="A23" s="456" t="inlineStr">
        <is>
          <t>ABC22</t>
        </is>
      </c>
      <c r="B23" s="27" t="n"/>
      <c r="C23" s="3" t="n">
        <v>30</v>
      </c>
      <c r="D23" s="508">
        <f>30/SUMIF('ABC-XYZ분석 (2)'!C:C,안전재고!A23,'ABC-XYZ분석 (2)'!X:X)</f>
        <v/>
      </c>
      <c r="E23" s="509">
        <f>IFERROR('ABC-XYZ분석 (2)'!AE23/30,0)</f>
        <v/>
      </c>
      <c r="F23" s="509">
        <f>_xlfn.XLOOKUP(표7[[#This Row],[SKU
코드]],'ABC-XYZ분석 (2)'!C:C,'ABC-XYZ분석 (2)'!AC:AC)</f>
        <v/>
      </c>
      <c r="G23" s="509">
        <f>_xlfn.XLOOKUP(표7[[#This Row],[SKU
코드]],'ABC-XYZ분석 (2)'!C:C,'ABC-XYZ분석 (2)'!AG:AG)</f>
        <v/>
      </c>
      <c r="H23" s="510">
        <f>_xlfn.XLOOKUP(표7[[#This Row],[ABC]],L:L,N:N)</f>
        <v/>
      </c>
      <c r="I23" s="508">
        <f>ROUND(E23*SQRT(C23)*표7[[#This Row],[안전
계수]]*_xlfn.XLOOKUP(표7[[#This Row],[XYZ]],Q:Q,R:R),0)</f>
        <v/>
      </c>
      <c r="J23" s="281" t="inlineStr">
        <is>
          <t>표준편차×√LT×안전계수x보정계수</t>
        </is>
      </c>
      <c r="L23" s="220" t="n"/>
      <c r="N23" s="143" t="n"/>
      <c r="O23" s="143" t="n"/>
    </row>
    <row r="24">
      <c r="A24" s="456" t="inlineStr">
        <is>
          <t>ABC23</t>
        </is>
      </c>
      <c r="B24" s="27" t="n"/>
      <c r="C24" s="3" t="n">
        <v>30</v>
      </c>
      <c r="D24" s="508">
        <f>30/SUMIF('ABC-XYZ분석 (2)'!C:C,안전재고!A24,'ABC-XYZ분석 (2)'!X:X)</f>
        <v/>
      </c>
      <c r="E24" s="509">
        <f>IFERROR('ABC-XYZ분석 (2)'!AE24/30,0)</f>
        <v/>
      </c>
      <c r="F24" s="509">
        <f>_xlfn.XLOOKUP(표7[[#This Row],[SKU
코드]],'ABC-XYZ분석 (2)'!C:C,'ABC-XYZ분석 (2)'!AC:AC)</f>
        <v/>
      </c>
      <c r="G24" s="509">
        <f>_xlfn.XLOOKUP(표7[[#This Row],[SKU
코드]],'ABC-XYZ분석 (2)'!C:C,'ABC-XYZ분석 (2)'!AG:AG)</f>
        <v/>
      </c>
      <c r="H24" s="510">
        <f>_xlfn.XLOOKUP(표7[[#This Row],[ABC]],L:L,N:N)</f>
        <v/>
      </c>
      <c r="I24" s="508">
        <f>ROUND(E24*SQRT(C24)*표7[[#This Row],[안전
계수]]*_xlfn.XLOOKUP(표7[[#This Row],[XYZ]],Q:Q,R:R),0)</f>
        <v/>
      </c>
      <c r="J24" s="281" t="inlineStr">
        <is>
          <t>표준편차×√LT×안전계수x보정계수</t>
        </is>
      </c>
      <c r="L24" s="220" t="n"/>
      <c r="N24" s="143" t="n"/>
      <c r="O24" s="143" t="n"/>
    </row>
    <row r="25">
      <c r="A25" s="456" t="inlineStr">
        <is>
          <t>ABC24</t>
        </is>
      </c>
      <c r="B25" s="27" t="n"/>
      <c r="C25" s="3" t="n">
        <v>30</v>
      </c>
      <c r="D25" s="508">
        <f>30/SUMIF('ABC-XYZ분석 (2)'!C:C,안전재고!A25,'ABC-XYZ분석 (2)'!X:X)</f>
        <v/>
      </c>
      <c r="E25" s="509">
        <f>IFERROR('ABC-XYZ분석 (2)'!AE25/30,0)</f>
        <v/>
      </c>
      <c r="F25" s="509">
        <f>_xlfn.XLOOKUP(표7[[#This Row],[SKU
코드]],'ABC-XYZ분석 (2)'!C:C,'ABC-XYZ분석 (2)'!AC:AC)</f>
        <v/>
      </c>
      <c r="G25" s="509">
        <f>_xlfn.XLOOKUP(표7[[#This Row],[SKU
코드]],'ABC-XYZ분석 (2)'!C:C,'ABC-XYZ분석 (2)'!AG:AG)</f>
        <v/>
      </c>
      <c r="H25" s="510">
        <f>_xlfn.XLOOKUP(표7[[#This Row],[ABC]],L:L,N:N)</f>
        <v/>
      </c>
      <c r="I25" s="508">
        <f>ROUND(E25*SQRT(C25)*표7[[#This Row],[안전
계수]]*_xlfn.XLOOKUP(표7[[#This Row],[XYZ]],Q:Q,R:R),0)</f>
        <v/>
      </c>
      <c r="J25" s="281" t="inlineStr">
        <is>
          <t>표준편차×√LT×안전계수x보정계수</t>
        </is>
      </c>
      <c r="L25" s="220" t="n"/>
      <c r="N25" s="143" t="n"/>
      <c r="O25" s="143" t="n"/>
    </row>
    <row r="26">
      <c r="A26" s="456" t="inlineStr">
        <is>
          <t>ABC25</t>
        </is>
      </c>
      <c r="B26" s="27" t="n"/>
      <c r="C26" s="3" t="n">
        <v>30</v>
      </c>
      <c r="D26" s="508">
        <f>30/SUMIF('ABC-XYZ분석 (2)'!C:C,안전재고!A26,'ABC-XYZ분석 (2)'!X:X)</f>
        <v/>
      </c>
      <c r="E26" s="509">
        <f>IFERROR('ABC-XYZ분석 (2)'!AE26/30,0)</f>
        <v/>
      </c>
      <c r="F26" s="509">
        <f>_xlfn.XLOOKUP(표7[[#This Row],[SKU
코드]],'ABC-XYZ분석 (2)'!C:C,'ABC-XYZ분석 (2)'!AC:AC)</f>
        <v/>
      </c>
      <c r="G26" s="509">
        <f>_xlfn.XLOOKUP(표7[[#This Row],[SKU
코드]],'ABC-XYZ분석 (2)'!C:C,'ABC-XYZ분석 (2)'!AG:AG)</f>
        <v/>
      </c>
      <c r="H26" s="510">
        <f>_xlfn.XLOOKUP(표7[[#This Row],[ABC]],L:L,N:N)</f>
        <v/>
      </c>
      <c r="I26" s="508">
        <f>ROUND(E26*SQRT(C26)*표7[[#This Row],[안전
계수]]*_xlfn.XLOOKUP(표7[[#This Row],[XYZ]],Q:Q,R:R),0)</f>
        <v/>
      </c>
      <c r="J26" s="281" t="inlineStr">
        <is>
          <t>표준편차×√LT×안전계수x보정계수</t>
        </is>
      </c>
      <c r="L26" s="220" t="n"/>
      <c r="N26" s="143" t="n"/>
      <c r="O26" s="143" t="n"/>
    </row>
    <row r="27">
      <c r="A27" s="456" t="inlineStr">
        <is>
          <t>ABC26</t>
        </is>
      </c>
      <c r="B27" s="27" t="n"/>
      <c r="C27" s="3" t="n">
        <v>30</v>
      </c>
      <c r="D27" s="508">
        <f>30/SUMIF('ABC-XYZ분석 (2)'!C:C,안전재고!A27,'ABC-XYZ분석 (2)'!X:X)</f>
        <v/>
      </c>
      <c r="E27" s="509">
        <f>IFERROR('ABC-XYZ분석 (2)'!AE27/30,0)</f>
        <v/>
      </c>
      <c r="F27" s="509">
        <f>_xlfn.XLOOKUP(표7[[#This Row],[SKU
코드]],'ABC-XYZ분석 (2)'!C:C,'ABC-XYZ분석 (2)'!AC:AC)</f>
        <v/>
      </c>
      <c r="G27" s="509">
        <f>_xlfn.XLOOKUP(표7[[#This Row],[SKU
코드]],'ABC-XYZ분석 (2)'!C:C,'ABC-XYZ분석 (2)'!AG:AG)</f>
        <v/>
      </c>
      <c r="H27" s="510">
        <f>_xlfn.XLOOKUP(표7[[#This Row],[ABC]],L:L,N:N)</f>
        <v/>
      </c>
      <c r="I27" s="508">
        <f>ROUND(E27*SQRT(C27)*표7[[#This Row],[안전
계수]]*_xlfn.XLOOKUP(표7[[#This Row],[XYZ]],Q:Q,R:R),0)</f>
        <v/>
      </c>
      <c r="J27" s="281" t="inlineStr">
        <is>
          <t>표준편차×√LT×안전계수x보정계수</t>
        </is>
      </c>
      <c r="L27" s="220" t="n"/>
      <c r="N27" s="143" t="n"/>
      <c r="O27" s="143" t="n"/>
    </row>
    <row r="28">
      <c r="A28" s="456" t="inlineStr">
        <is>
          <t>ABC27</t>
        </is>
      </c>
      <c r="B28" s="27" t="n"/>
      <c r="C28" s="3" t="n">
        <v>30</v>
      </c>
      <c r="D28" s="508">
        <f>30/SUMIF('ABC-XYZ분석 (2)'!C:C,안전재고!A28,'ABC-XYZ분석 (2)'!X:X)</f>
        <v/>
      </c>
      <c r="E28" s="509">
        <f>IFERROR('ABC-XYZ분석 (2)'!AE28/30,0)</f>
        <v/>
      </c>
      <c r="F28" s="509">
        <f>_xlfn.XLOOKUP(표7[[#This Row],[SKU
코드]],'ABC-XYZ분석 (2)'!C:C,'ABC-XYZ분석 (2)'!AC:AC)</f>
        <v/>
      </c>
      <c r="G28" s="509">
        <f>_xlfn.XLOOKUP(표7[[#This Row],[SKU
코드]],'ABC-XYZ분석 (2)'!C:C,'ABC-XYZ분석 (2)'!AG:AG)</f>
        <v/>
      </c>
      <c r="H28" s="510">
        <f>_xlfn.XLOOKUP(표7[[#This Row],[ABC]],L:L,N:N)</f>
        <v/>
      </c>
      <c r="I28" s="508">
        <f>ROUND(E28*SQRT(C28)*표7[[#This Row],[안전
계수]]*_xlfn.XLOOKUP(표7[[#This Row],[XYZ]],Q:Q,R:R),0)</f>
        <v/>
      </c>
      <c r="J28" s="281" t="inlineStr">
        <is>
          <t>표준편차×√LT×안전계수x보정계수</t>
        </is>
      </c>
      <c r="L28" s="220" t="n"/>
      <c r="N28" s="143" t="n"/>
      <c r="O28" s="143" t="n"/>
    </row>
    <row r="29">
      <c r="A29" s="456" t="inlineStr">
        <is>
          <t>ABC28</t>
        </is>
      </c>
      <c r="B29" s="27" t="n"/>
      <c r="C29" s="3" t="n">
        <v>30</v>
      </c>
      <c r="D29" s="508">
        <f>30/SUMIF('ABC-XYZ분석 (2)'!C:C,안전재고!A29,'ABC-XYZ분석 (2)'!X:X)</f>
        <v/>
      </c>
      <c r="E29" s="509">
        <f>IFERROR('ABC-XYZ분석 (2)'!AE29/30,0)</f>
        <v/>
      </c>
      <c r="F29" s="509">
        <f>_xlfn.XLOOKUP(표7[[#This Row],[SKU
코드]],'ABC-XYZ분석 (2)'!C:C,'ABC-XYZ분석 (2)'!AC:AC)</f>
        <v/>
      </c>
      <c r="G29" s="509">
        <f>_xlfn.XLOOKUP(표7[[#This Row],[SKU
코드]],'ABC-XYZ분석 (2)'!C:C,'ABC-XYZ분석 (2)'!AG:AG)</f>
        <v/>
      </c>
      <c r="H29" s="510">
        <f>_xlfn.XLOOKUP(표7[[#This Row],[ABC]],L:L,N:N)</f>
        <v/>
      </c>
      <c r="I29" s="508">
        <f>ROUND(E29*SQRT(C29)*표7[[#This Row],[안전
계수]]*_xlfn.XLOOKUP(표7[[#This Row],[XYZ]],Q:Q,R:R),0)</f>
        <v/>
      </c>
      <c r="J29" s="281" t="inlineStr">
        <is>
          <t>표준편차×√LT×안전계수x보정계수</t>
        </is>
      </c>
      <c r="L29" s="220" t="n"/>
      <c r="N29" s="143" t="n"/>
      <c r="O29" s="143" t="n"/>
    </row>
    <row r="30">
      <c r="A30" s="456" t="inlineStr">
        <is>
          <t>ABC29</t>
        </is>
      </c>
      <c r="B30" s="27" t="n"/>
      <c r="C30" s="3" t="n">
        <v>30</v>
      </c>
      <c r="D30" s="508">
        <f>30/SUMIF('ABC-XYZ분석 (2)'!C:C,안전재고!A30,'ABC-XYZ분석 (2)'!X:X)</f>
        <v/>
      </c>
      <c r="E30" s="509">
        <f>IFERROR('ABC-XYZ분석 (2)'!AE30/30,0)</f>
        <v/>
      </c>
      <c r="F30" s="509">
        <f>_xlfn.XLOOKUP(표7[[#This Row],[SKU
코드]],'ABC-XYZ분석 (2)'!C:C,'ABC-XYZ분석 (2)'!AC:AC)</f>
        <v/>
      </c>
      <c r="G30" s="509">
        <f>_xlfn.XLOOKUP(표7[[#This Row],[SKU
코드]],'ABC-XYZ분석 (2)'!C:C,'ABC-XYZ분석 (2)'!AG:AG)</f>
        <v/>
      </c>
      <c r="H30" s="510">
        <f>_xlfn.XLOOKUP(표7[[#This Row],[ABC]],L:L,N:N)</f>
        <v/>
      </c>
      <c r="I30" s="508">
        <f>ROUND(E30*SQRT(C30)*표7[[#This Row],[안전
계수]]*_xlfn.XLOOKUP(표7[[#This Row],[XYZ]],Q:Q,R:R),0)</f>
        <v/>
      </c>
      <c r="J30" s="281" t="inlineStr">
        <is>
          <t>표준편차×√LT×안전계수x보정계수</t>
        </is>
      </c>
      <c r="L30" s="220" t="n"/>
      <c r="N30" s="143" t="n"/>
      <c r="O30" s="143" t="n"/>
    </row>
    <row r="31">
      <c r="A31" s="456" t="inlineStr">
        <is>
          <t>ABC30</t>
        </is>
      </c>
      <c r="B31" s="27" t="n"/>
      <c r="C31" s="3" t="n">
        <v>30</v>
      </c>
      <c r="D31" s="508">
        <f>30/SUMIF('ABC-XYZ분석 (2)'!C:C,안전재고!A31,'ABC-XYZ분석 (2)'!X:X)</f>
        <v/>
      </c>
      <c r="E31" s="509">
        <f>IFERROR('ABC-XYZ분석 (2)'!AE31/30,0)</f>
        <v/>
      </c>
      <c r="F31" s="509">
        <f>_xlfn.XLOOKUP(표7[[#This Row],[SKU
코드]],'ABC-XYZ분석 (2)'!C:C,'ABC-XYZ분석 (2)'!AC:AC)</f>
        <v/>
      </c>
      <c r="G31" s="509">
        <f>_xlfn.XLOOKUP(표7[[#This Row],[SKU
코드]],'ABC-XYZ분석 (2)'!C:C,'ABC-XYZ분석 (2)'!AG:AG)</f>
        <v/>
      </c>
      <c r="H31" s="510">
        <f>_xlfn.XLOOKUP(표7[[#This Row],[ABC]],L:L,N:N)</f>
        <v/>
      </c>
      <c r="I31" s="508">
        <f>ROUND(E31*SQRT(C31)*표7[[#This Row],[안전
계수]]*_xlfn.XLOOKUP(표7[[#This Row],[XYZ]],Q:Q,R:R),0)</f>
        <v/>
      </c>
      <c r="J31" s="281" t="inlineStr">
        <is>
          <t>표준편차×√LT×안전계수x보정계수</t>
        </is>
      </c>
      <c r="L31" s="220" t="n"/>
      <c r="N31" s="143" t="n"/>
      <c r="O31" s="143" t="n"/>
    </row>
    <row r="32">
      <c r="A32" s="456" t="inlineStr">
        <is>
          <t>ABC31</t>
        </is>
      </c>
      <c r="B32" s="27" t="n"/>
      <c r="C32" s="3" t="n">
        <v>30</v>
      </c>
      <c r="D32" s="508">
        <f>30/SUMIF('ABC-XYZ분석 (2)'!C:C,안전재고!A32,'ABC-XYZ분석 (2)'!X:X)</f>
        <v/>
      </c>
      <c r="E32" s="509">
        <f>IFERROR('ABC-XYZ분석 (2)'!AE32/30,0)</f>
        <v/>
      </c>
      <c r="F32" s="509">
        <f>_xlfn.XLOOKUP(표7[[#This Row],[SKU
코드]],'ABC-XYZ분석 (2)'!C:C,'ABC-XYZ분석 (2)'!AC:AC)</f>
        <v/>
      </c>
      <c r="G32" s="509">
        <f>_xlfn.XLOOKUP(표7[[#This Row],[SKU
코드]],'ABC-XYZ분석 (2)'!C:C,'ABC-XYZ분석 (2)'!AG:AG)</f>
        <v/>
      </c>
      <c r="H32" s="510">
        <f>_xlfn.XLOOKUP(표7[[#This Row],[ABC]],L:L,N:N)</f>
        <v/>
      </c>
      <c r="I32" s="508">
        <f>ROUND(E32*SQRT(C32)*표7[[#This Row],[안전
계수]]*_xlfn.XLOOKUP(표7[[#This Row],[XYZ]],Q:Q,R:R),0)</f>
        <v/>
      </c>
      <c r="J32" s="281" t="inlineStr">
        <is>
          <t>표준편차×√LT×안전계수x보정계수</t>
        </is>
      </c>
      <c r="L32" s="220" t="n"/>
      <c r="N32" s="143" t="n"/>
      <c r="O32" s="143" t="n"/>
    </row>
    <row r="33">
      <c r="A33" s="456" t="inlineStr">
        <is>
          <t>ABC32</t>
        </is>
      </c>
      <c r="B33" s="27" t="n"/>
      <c r="C33" s="3" t="n">
        <v>30</v>
      </c>
      <c r="D33" s="508">
        <f>30/SUMIF('ABC-XYZ분석 (2)'!C:C,안전재고!A33,'ABC-XYZ분석 (2)'!X:X)</f>
        <v/>
      </c>
      <c r="E33" s="509">
        <f>IFERROR('ABC-XYZ분석 (2)'!AE33/30,0)</f>
        <v/>
      </c>
      <c r="F33" s="509">
        <f>_xlfn.XLOOKUP(표7[[#This Row],[SKU
코드]],'ABC-XYZ분석 (2)'!C:C,'ABC-XYZ분석 (2)'!AC:AC)</f>
        <v/>
      </c>
      <c r="G33" s="509">
        <f>_xlfn.XLOOKUP(표7[[#This Row],[SKU
코드]],'ABC-XYZ분석 (2)'!C:C,'ABC-XYZ분석 (2)'!AG:AG)</f>
        <v/>
      </c>
      <c r="H33" s="510">
        <f>_xlfn.XLOOKUP(표7[[#This Row],[ABC]],L:L,N:N)</f>
        <v/>
      </c>
      <c r="I33" s="508">
        <f>ROUND(E33*SQRT(C33)*표7[[#This Row],[안전
계수]]*_xlfn.XLOOKUP(표7[[#This Row],[XYZ]],Q:Q,R:R),0)</f>
        <v/>
      </c>
      <c r="J33" s="281" t="inlineStr">
        <is>
          <t>표준편차×√LT×안전계수x보정계수</t>
        </is>
      </c>
      <c r="L33" s="220" t="n"/>
      <c r="N33" s="143" t="n"/>
      <c r="O33" s="143" t="n"/>
    </row>
    <row r="34">
      <c r="A34" s="456" t="inlineStr">
        <is>
          <t>ABC33</t>
        </is>
      </c>
      <c r="B34" s="27" t="n"/>
      <c r="C34" s="3" t="n">
        <v>30</v>
      </c>
      <c r="D34" s="508">
        <f>30/SUMIF('ABC-XYZ분석 (2)'!C:C,안전재고!A34,'ABC-XYZ분석 (2)'!X:X)</f>
        <v/>
      </c>
      <c r="E34" s="509">
        <f>IFERROR('ABC-XYZ분석 (2)'!AE34/30,0)</f>
        <v/>
      </c>
      <c r="F34" s="509">
        <f>_xlfn.XLOOKUP(표7[[#This Row],[SKU
코드]],'ABC-XYZ분석 (2)'!C:C,'ABC-XYZ분석 (2)'!AC:AC)</f>
        <v/>
      </c>
      <c r="G34" s="509">
        <f>_xlfn.XLOOKUP(표7[[#This Row],[SKU
코드]],'ABC-XYZ분석 (2)'!C:C,'ABC-XYZ분석 (2)'!AG:AG)</f>
        <v/>
      </c>
      <c r="H34" s="510">
        <f>_xlfn.XLOOKUP(표7[[#This Row],[ABC]],L:L,N:N)</f>
        <v/>
      </c>
      <c r="I34" s="508">
        <f>ROUND(E34*SQRT(C34)*표7[[#This Row],[안전
계수]]*_xlfn.XLOOKUP(표7[[#This Row],[XYZ]],Q:Q,R:R),0)</f>
        <v/>
      </c>
      <c r="J34" s="281" t="inlineStr">
        <is>
          <t>표준편차×√LT×안전계수x보정계수</t>
        </is>
      </c>
      <c r="L34" s="220" t="n"/>
      <c r="N34" s="143" t="n"/>
      <c r="O34" s="143" t="n"/>
    </row>
    <row r="35">
      <c r="A35" s="456" t="inlineStr">
        <is>
          <t>ABC34</t>
        </is>
      </c>
      <c r="B35" s="27" t="n"/>
      <c r="C35" s="3" t="n">
        <v>30</v>
      </c>
      <c r="D35" s="508">
        <f>30/SUMIF('ABC-XYZ분석 (2)'!C:C,안전재고!A35,'ABC-XYZ분석 (2)'!X:X)</f>
        <v/>
      </c>
      <c r="E35" s="509">
        <f>IFERROR('ABC-XYZ분석 (2)'!AE35/30,0)</f>
        <v/>
      </c>
      <c r="F35" s="509">
        <f>_xlfn.XLOOKUP(표7[[#This Row],[SKU
코드]],'ABC-XYZ분석 (2)'!C:C,'ABC-XYZ분석 (2)'!AC:AC)</f>
        <v/>
      </c>
      <c r="G35" s="509">
        <f>_xlfn.XLOOKUP(표7[[#This Row],[SKU
코드]],'ABC-XYZ분석 (2)'!C:C,'ABC-XYZ분석 (2)'!AG:AG)</f>
        <v/>
      </c>
      <c r="H35" s="510">
        <f>_xlfn.XLOOKUP(표7[[#This Row],[ABC]],L:L,N:N)</f>
        <v/>
      </c>
      <c r="I35" s="508">
        <f>ROUND(E35*SQRT(C35)*표7[[#This Row],[안전
계수]]*_xlfn.XLOOKUP(표7[[#This Row],[XYZ]],Q:Q,R:R),0)</f>
        <v/>
      </c>
      <c r="J35" s="281" t="inlineStr">
        <is>
          <t>표준편차×√LT×안전계수x보정계수</t>
        </is>
      </c>
      <c r="L35" s="220" t="n"/>
      <c r="N35" s="143" t="n"/>
      <c r="O35" s="143" t="n"/>
    </row>
    <row r="36">
      <c r="A36" s="456" t="inlineStr">
        <is>
          <t>ABC35</t>
        </is>
      </c>
      <c r="B36" s="27" t="n"/>
      <c r="C36" s="3" t="n">
        <v>30</v>
      </c>
      <c r="D36" s="508">
        <f>30/SUMIF('ABC-XYZ분석 (2)'!C:C,안전재고!A36,'ABC-XYZ분석 (2)'!X:X)</f>
        <v/>
      </c>
      <c r="E36" s="509">
        <f>IFERROR('ABC-XYZ분석 (2)'!AE36/30,0)</f>
        <v/>
      </c>
      <c r="F36" s="509">
        <f>_xlfn.XLOOKUP(표7[[#This Row],[SKU
코드]],'ABC-XYZ분석 (2)'!C:C,'ABC-XYZ분석 (2)'!AC:AC)</f>
        <v/>
      </c>
      <c r="G36" s="509">
        <f>_xlfn.XLOOKUP(표7[[#This Row],[SKU
코드]],'ABC-XYZ분석 (2)'!C:C,'ABC-XYZ분석 (2)'!AG:AG)</f>
        <v/>
      </c>
      <c r="H36" s="510">
        <f>_xlfn.XLOOKUP(표7[[#This Row],[ABC]],L:L,N:N)</f>
        <v/>
      </c>
      <c r="I36" s="508">
        <f>ROUND(E36*SQRT(C36)*표7[[#This Row],[안전
계수]]*_xlfn.XLOOKUP(표7[[#This Row],[XYZ]],Q:Q,R:R),0)</f>
        <v/>
      </c>
      <c r="J36" s="281" t="inlineStr">
        <is>
          <t>표준편차×√LT×안전계수x보정계수</t>
        </is>
      </c>
      <c r="L36" s="220" t="n"/>
      <c r="N36" s="143" t="n"/>
      <c r="O36" s="143" t="n"/>
    </row>
    <row r="37">
      <c r="A37" s="456" t="inlineStr">
        <is>
          <t>ABC36</t>
        </is>
      </c>
      <c r="B37" s="27" t="n"/>
      <c r="C37" s="3" t="n">
        <v>30</v>
      </c>
      <c r="D37" s="508">
        <f>30/SUMIF('ABC-XYZ분석 (2)'!C:C,안전재고!A37,'ABC-XYZ분석 (2)'!X:X)</f>
        <v/>
      </c>
      <c r="E37" s="509">
        <f>IFERROR('ABC-XYZ분석 (2)'!AE37/30,0)</f>
        <v/>
      </c>
      <c r="F37" s="509">
        <f>_xlfn.XLOOKUP(표7[[#This Row],[SKU
코드]],'ABC-XYZ분석 (2)'!C:C,'ABC-XYZ분석 (2)'!AC:AC)</f>
        <v/>
      </c>
      <c r="G37" s="509">
        <f>_xlfn.XLOOKUP(표7[[#This Row],[SKU
코드]],'ABC-XYZ분석 (2)'!C:C,'ABC-XYZ분석 (2)'!AG:AG)</f>
        <v/>
      </c>
      <c r="H37" s="510">
        <f>_xlfn.XLOOKUP(표7[[#This Row],[ABC]],L:L,N:N)</f>
        <v/>
      </c>
      <c r="I37" s="508">
        <f>ROUND(E37*SQRT(C37)*표7[[#This Row],[안전
계수]]*_xlfn.XLOOKUP(표7[[#This Row],[XYZ]],Q:Q,R:R),0)</f>
        <v/>
      </c>
      <c r="J37" s="281" t="inlineStr">
        <is>
          <t>표준편차×√LT×안전계수x보정계수</t>
        </is>
      </c>
      <c r="L37" s="220" t="n"/>
      <c r="N37" s="143" t="n"/>
      <c r="O37" s="143" t="n"/>
    </row>
    <row r="38">
      <c r="A38" s="456" t="inlineStr">
        <is>
          <t>ABC37</t>
        </is>
      </c>
      <c r="B38" s="27" t="n"/>
      <c r="C38" s="3" t="n">
        <v>30</v>
      </c>
      <c r="D38" s="508">
        <f>30/SUMIF('ABC-XYZ분석 (2)'!C:C,안전재고!A38,'ABC-XYZ분석 (2)'!X:X)</f>
        <v/>
      </c>
      <c r="E38" s="509">
        <f>IFERROR('ABC-XYZ분석 (2)'!AE38/30,0)</f>
        <v/>
      </c>
      <c r="F38" s="509">
        <f>_xlfn.XLOOKUP(표7[[#This Row],[SKU
코드]],'ABC-XYZ분석 (2)'!C:C,'ABC-XYZ분석 (2)'!AC:AC)</f>
        <v/>
      </c>
      <c r="G38" s="509">
        <f>_xlfn.XLOOKUP(표7[[#This Row],[SKU
코드]],'ABC-XYZ분석 (2)'!C:C,'ABC-XYZ분석 (2)'!AG:AG)</f>
        <v/>
      </c>
      <c r="H38" s="510">
        <f>_xlfn.XLOOKUP(표7[[#This Row],[ABC]],L:L,N:N)</f>
        <v/>
      </c>
      <c r="I38" s="508">
        <f>ROUND(E38*SQRT(C38)*표7[[#This Row],[안전
계수]]*_xlfn.XLOOKUP(표7[[#This Row],[XYZ]],Q:Q,R:R),0)</f>
        <v/>
      </c>
      <c r="J38" s="281" t="inlineStr">
        <is>
          <t>표준편차×√LT×안전계수x보정계수</t>
        </is>
      </c>
      <c r="L38" s="220" t="n"/>
      <c r="N38" s="143" t="n"/>
      <c r="O38" s="143" t="n"/>
    </row>
    <row r="39">
      <c r="A39" s="456" t="inlineStr">
        <is>
          <t>ABC38</t>
        </is>
      </c>
      <c r="B39" s="27" t="n"/>
      <c r="C39" s="3" t="n">
        <v>30</v>
      </c>
      <c r="D39" s="508">
        <f>30/SUMIF('ABC-XYZ분석 (2)'!C:C,안전재고!A39,'ABC-XYZ분석 (2)'!X:X)</f>
        <v/>
      </c>
      <c r="E39" s="509">
        <f>IFERROR('ABC-XYZ분석 (2)'!AE39/30,0)</f>
        <v/>
      </c>
      <c r="F39" s="509">
        <f>_xlfn.XLOOKUP(표7[[#This Row],[SKU
코드]],'ABC-XYZ분석 (2)'!C:C,'ABC-XYZ분석 (2)'!AC:AC)</f>
        <v/>
      </c>
      <c r="G39" s="509">
        <f>_xlfn.XLOOKUP(표7[[#This Row],[SKU
코드]],'ABC-XYZ분석 (2)'!C:C,'ABC-XYZ분석 (2)'!AG:AG)</f>
        <v/>
      </c>
      <c r="H39" s="510">
        <f>_xlfn.XLOOKUP(표7[[#This Row],[ABC]],L:L,N:N)</f>
        <v/>
      </c>
      <c r="I39" s="508">
        <f>ROUND(E39*SQRT(C39)*표7[[#This Row],[안전
계수]]*_xlfn.XLOOKUP(표7[[#This Row],[XYZ]],Q:Q,R:R),0)</f>
        <v/>
      </c>
      <c r="J39" s="281" t="inlineStr">
        <is>
          <t>표준편차×√LT×안전계수x보정계수</t>
        </is>
      </c>
      <c r="L39" s="220" t="n"/>
      <c r="N39" s="143" t="n"/>
      <c r="O39" s="143" t="n"/>
    </row>
    <row r="40">
      <c r="A40" s="456" t="inlineStr">
        <is>
          <t>ABC39</t>
        </is>
      </c>
      <c r="B40" s="27" t="n"/>
      <c r="C40" s="3" t="n">
        <v>30</v>
      </c>
      <c r="D40" s="508">
        <f>30/SUMIF('ABC-XYZ분석 (2)'!C:C,안전재고!A40,'ABC-XYZ분석 (2)'!X:X)</f>
        <v/>
      </c>
      <c r="E40" s="509">
        <f>IFERROR('ABC-XYZ분석 (2)'!AE40/30,0)</f>
        <v/>
      </c>
      <c r="F40" s="509">
        <f>_xlfn.XLOOKUP(표7[[#This Row],[SKU
코드]],'ABC-XYZ분석 (2)'!C:C,'ABC-XYZ분석 (2)'!AC:AC)</f>
        <v/>
      </c>
      <c r="G40" s="509">
        <f>_xlfn.XLOOKUP(표7[[#This Row],[SKU
코드]],'ABC-XYZ분석 (2)'!C:C,'ABC-XYZ분석 (2)'!AG:AG)</f>
        <v/>
      </c>
      <c r="H40" s="510">
        <f>_xlfn.XLOOKUP(표7[[#This Row],[ABC]],L:L,N:N)</f>
        <v/>
      </c>
      <c r="I40" s="508">
        <f>ROUND(E40*SQRT(C40)*표7[[#This Row],[안전
계수]]*_xlfn.XLOOKUP(표7[[#This Row],[XYZ]],Q:Q,R:R),0)</f>
        <v/>
      </c>
      <c r="J40" s="281" t="inlineStr">
        <is>
          <t>표준편차×√LT×안전계수x보정계수</t>
        </is>
      </c>
      <c r="L40" s="220" t="n"/>
      <c r="N40" s="143" t="n"/>
      <c r="O40" s="143" t="n"/>
    </row>
    <row r="41">
      <c r="A41" s="456" t="inlineStr">
        <is>
          <t>ABC40</t>
        </is>
      </c>
      <c r="B41" s="27" t="n"/>
      <c r="C41" s="3" t="n">
        <v>30</v>
      </c>
      <c r="D41" s="508">
        <f>30/SUMIF('ABC-XYZ분석 (2)'!C:C,안전재고!A41,'ABC-XYZ분석 (2)'!X:X)</f>
        <v/>
      </c>
      <c r="E41" s="509">
        <f>IFERROR('ABC-XYZ분석 (2)'!AE41/30,0)</f>
        <v/>
      </c>
      <c r="F41" s="509">
        <f>_xlfn.XLOOKUP(표7[[#This Row],[SKU
코드]],'ABC-XYZ분석 (2)'!C:C,'ABC-XYZ분석 (2)'!AC:AC)</f>
        <v/>
      </c>
      <c r="G41" s="509">
        <f>_xlfn.XLOOKUP(표7[[#This Row],[SKU
코드]],'ABC-XYZ분석 (2)'!C:C,'ABC-XYZ분석 (2)'!AG:AG)</f>
        <v/>
      </c>
      <c r="H41" s="510">
        <f>_xlfn.XLOOKUP(표7[[#This Row],[ABC]],L:L,N:N)</f>
        <v/>
      </c>
      <c r="I41" s="508">
        <f>ROUND(E41*SQRT(C41)*표7[[#This Row],[안전
계수]]*_xlfn.XLOOKUP(표7[[#This Row],[XYZ]],Q:Q,R:R),0)</f>
        <v/>
      </c>
      <c r="J41" s="281" t="inlineStr">
        <is>
          <t>표준편차×√LT×안전계수x보정계수</t>
        </is>
      </c>
      <c r="L41" s="220" t="n"/>
      <c r="N41" s="143" t="n"/>
      <c r="O41" s="143" t="n"/>
    </row>
    <row r="42">
      <c r="A42" s="456" t="inlineStr">
        <is>
          <t>ABC41</t>
        </is>
      </c>
      <c r="B42" s="27" t="n"/>
      <c r="C42" s="3" t="n">
        <v>30</v>
      </c>
      <c r="D42" s="508">
        <f>30/SUMIF('ABC-XYZ분석 (2)'!C:C,안전재고!A42,'ABC-XYZ분석 (2)'!X:X)</f>
        <v/>
      </c>
      <c r="E42" s="509">
        <f>IFERROR('ABC-XYZ분석 (2)'!AE42/30,0)</f>
        <v/>
      </c>
      <c r="F42" s="509">
        <f>_xlfn.XLOOKUP(표7[[#This Row],[SKU
코드]],'ABC-XYZ분석 (2)'!C:C,'ABC-XYZ분석 (2)'!AC:AC)</f>
        <v/>
      </c>
      <c r="G42" s="509">
        <f>_xlfn.XLOOKUP(표7[[#This Row],[SKU
코드]],'ABC-XYZ분석 (2)'!C:C,'ABC-XYZ분석 (2)'!AG:AG)</f>
        <v/>
      </c>
      <c r="H42" s="510">
        <f>_xlfn.XLOOKUP(표7[[#This Row],[ABC]],L:L,N:N)</f>
        <v/>
      </c>
      <c r="I42" s="508">
        <f>ROUND(E42*SQRT(C42)*표7[[#This Row],[안전
계수]]*_xlfn.XLOOKUP(표7[[#This Row],[XYZ]],Q:Q,R:R),0)</f>
        <v/>
      </c>
      <c r="J42" s="281" t="inlineStr">
        <is>
          <t>표준편차×√LT×안전계수x보정계수</t>
        </is>
      </c>
      <c r="L42" s="220" t="n"/>
      <c r="N42" s="143" t="n"/>
      <c r="O42" s="143" t="n"/>
    </row>
    <row r="43">
      <c r="A43" s="456" t="inlineStr">
        <is>
          <t>ABC42</t>
        </is>
      </c>
      <c r="B43" s="27" t="n"/>
      <c r="C43" s="3" t="n">
        <v>30</v>
      </c>
      <c r="D43" s="508">
        <f>30/SUMIF('ABC-XYZ분석 (2)'!C:C,안전재고!A43,'ABC-XYZ분석 (2)'!X:X)</f>
        <v/>
      </c>
      <c r="E43" s="509">
        <f>IFERROR('ABC-XYZ분석 (2)'!AE43/30,0)</f>
        <v/>
      </c>
      <c r="F43" s="509">
        <f>_xlfn.XLOOKUP(표7[[#This Row],[SKU
코드]],'ABC-XYZ분석 (2)'!C:C,'ABC-XYZ분석 (2)'!AC:AC)</f>
        <v/>
      </c>
      <c r="G43" s="509">
        <f>_xlfn.XLOOKUP(표7[[#This Row],[SKU
코드]],'ABC-XYZ분석 (2)'!C:C,'ABC-XYZ분석 (2)'!AG:AG)</f>
        <v/>
      </c>
      <c r="H43" s="510">
        <f>_xlfn.XLOOKUP(표7[[#This Row],[ABC]],L:L,N:N)</f>
        <v/>
      </c>
      <c r="I43" s="508">
        <f>ROUND(E43*SQRT(C43)*표7[[#This Row],[안전
계수]]*_xlfn.XLOOKUP(표7[[#This Row],[XYZ]],Q:Q,R:R),0)</f>
        <v/>
      </c>
      <c r="J43" s="281" t="inlineStr">
        <is>
          <t>표준편차×√LT×안전계수x보정계수</t>
        </is>
      </c>
      <c r="L43" s="220" t="n"/>
      <c r="N43" s="143" t="n"/>
      <c r="O43" s="143" t="n"/>
    </row>
    <row r="44">
      <c r="A44" s="456" t="inlineStr">
        <is>
          <t>ABC43</t>
        </is>
      </c>
      <c r="B44" s="27" t="n"/>
      <c r="C44" s="3" t="n">
        <v>30</v>
      </c>
      <c r="D44" s="508">
        <f>30/SUMIF('ABC-XYZ분석 (2)'!C:C,안전재고!A44,'ABC-XYZ분석 (2)'!X:X)</f>
        <v/>
      </c>
      <c r="E44" s="509">
        <f>IFERROR('ABC-XYZ분석 (2)'!AE44/30,0)</f>
        <v/>
      </c>
      <c r="F44" s="509">
        <f>_xlfn.XLOOKUP(표7[[#This Row],[SKU
코드]],'ABC-XYZ분석 (2)'!C:C,'ABC-XYZ분석 (2)'!AC:AC)</f>
        <v/>
      </c>
      <c r="G44" s="509">
        <f>_xlfn.XLOOKUP(표7[[#This Row],[SKU
코드]],'ABC-XYZ분석 (2)'!C:C,'ABC-XYZ분석 (2)'!AG:AG)</f>
        <v/>
      </c>
      <c r="H44" s="510">
        <f>_xlfn.XLOOKUP(표7[[#This Row],[ABC]],L:L,N:N)</f>
        <v/>
      </c>
      <c r="I44" s="508">
        <f>ROUND(E44*SQRT(C44)*표7[[#This Row],[안전
계수]]*_xlfn.XLOOKUP(표7[[#This Row],[XYZ]],Q:Q,R:R),0)</f>
        <v/>
      </c>
      <c r="J44" s="281" t="inlineStr">
        <is>
          <t>표준편차×√LT×안전계수x보정계수</t>
        </is>
      </c>
      <c r="L44" s="220" t="n"/>
      <c r="N44" s="143" t="n"/>
      <c r="O44" s="143" t="n"/>
    </row>
    <row r="45">
      <c r="A45" s="456" t="inlineStr">
        <is>
          <t>ABC44</t>
        </is>
      </c>
      <c r="B45" s="27" t="n"/>
      <c r="C45" s="3" t="n">
        <v>30</v>
      </c>
      <c r="D45" s="508">
        <f>30/SUMIF('ABC-XYZ분석 (2)'!C:C,안전재고!A45,'ABC-XYZ분석 (2)'!X:X)</f>
        <v/>
      </c>
      <c r="E45" s="509">
        <f>IFERROR('ABC-XYZ분석 (2)'!AE45/30,0)</f>
        <v/>
      </c>
      <c r="F45" s="509">
        <f>_xlfn.XLOOKUP(표7[[#This Row],[SKU
코드]],'ABC-XYZ분석 (2)'!C:C,'ABC-XYZ분석 (2)'!AC:AC)</f>
        <v/>
      </c>
      <c r="G45" s="509">
        <f>_xlfn.XLOOKUP(표7[[#This Row],[SKU
코드]],'ABC-XYZ분석 (2)'!C:C,'ABC-XYZ분석 (2)'!AG:AG)</f>
        <v/>
      </c>
      <c r="H45" s="510">
        <f>_xlfn.XLOOKUP(표7[[#This Row],[ABC]],L:L,N:N)</f>
        <v/>
      </c>
      <c r="I45" s="508">
        <f>ROUND(E45*SQRT(C45)*표7[[#This Row],[안전
계수]]*_xlfn.XLOOKUP(표7[[#This Row],[XYZ]],Q:Q,R:R),0)</f>
        <v/>
      </c>
      <c r="J45" s="281" t="inlineStr">
        <is>
          <t>표준편차×√LT×안전계수x보정계수</t>
        </is>
      </c>
      <c r="L45" s="220" t="n"/>
      <c r="N45" s="143" t="n"/>
      <c r="O45" s="143" t="n"/>
    </row>
    <row r="46">
      <c r="A46" s="456" t="inlineStr">
        <is>
          <t>ABC45</t>
        </is>
      </c>
      <c r="B46" s="27" t="n"/>
      <c r="C46" s="3" t="n">
        <v>30</v>
      </c>
      <c r="D46" s="508">
        <f>30/SUMIF('ABC-XYZ분석 (2)'!C:C,안전재고!A46,'ABC-XYZ분석 (2)'!X:X)</f>
        <v/>
      </c>
      <c r="E46" s="509">
        <f>IFERROR('ABC-XYZ분석 (2)'!AE46/30,0)</f>
        <v/>
      </c>
      <c r="F46" s="509">
        <f>_xlfn.XLOOKUP(표7[[#This Row],[SKU
코드]],'ABC-XYZ분석 (2)'!C:C,'ABC-XYZ분석 (2)'!AC:AC)</f>
        <v/>
      </c>
      <c r="G46" s="509">
        <f>_xlfn.XLOOKUP(표7[[#This Row],[SKU
코드]],'ABC-XYZ분석 (2)'!C:C,'ABC-XYZ분석 (2)'!AG:AG)</f>
        <v/>
      </c>
      <c r="H46" s="510">
        <f>_xlfn.XLOOKUP(표7[[#This Row],[ABC]],L:L,N:N)</f>
        <v/>
      </c>
      <c r="I46" s="508">
        <f>ROUND(E46*SQRT(C46)*표7[[#This Row],[안전
계수]]*_xlfn.XLOOKUP(표7[[#This Row],[XYZ]],Q:Q,R:R),0)</f>
        <v/>
      </c>
      <c r="J46" s="281" t="inlineStr">
        <is>
          <t>표준편차×√LT×안전계수x보정계수</t>
        </is>
      </c>
      <c r="L46" s="220" t="n"/>
      <c r="N46" s="143" t="n"/>
      <c r="O46" s="143" t="n"/>
    </row>
    <row r="47">
      <c r="A47" s="456" t="inlineStr">
        <is>
          <t>ABC46</t>
        </is>
      </c>
      <c r="B47" s="27" t="n"/>
      <c r="C47" s="3" t="n">
        <v>30</v>
      </c>
      <c r="D47" s="508">
        <f>30/SUMIF('ABC-XYZ분석 (2)'!C:C,안전재고!A47,'ABC-XYZ분석 (2)'!X:X)</f>
        <v/>
      </c>
      <c r="E47" s="509">
        <f>IFERROR('ABC-XYZ분석 (2)'!AE47/30,0)</f>
        <v/>
      </c>
      <c r="F47" s="509">
        <f>_xlfn.XLOOKUP(표7[[#This Row],[SKU
코드]],'ABC-XYZ분석 (2)'!C:C,'ABC-XYZ분석 (2)'!AC:AC)</f>
        <v/>
      </c>
      <c r="G47" s="509">
        <f>_xlfn.XLOOKUP(표7[[#This Row],[SKU
코드]],'ABC-XYZ분석 (2)'!C:C,'ABC-XYZ분석 (2)'!AG:AG)</f>
        <v/>
      </c>
      <c r="H47" s="510">
        <f>_xlfn.XLOOKUP(표7[[#This Row],[ABC]],L:L,N:N)</f>
        <v/>
      </c>
      <c r="I47" s="508">
        <f>ROUND(E47*SQRT(C47)*표7[[#This Row],[안전
계수]]*_xlfn.XLOOKUP(표7[[#This Row],[XYZ]],Q:Q,R:R),0)</f>
        <v/>
      </c>
      <c r="J47" s="281" t="inlineStr">
        <is>
          <t>표준편차×√LT×안전계수x보정계수</t>
        </is>
      </c>
      <c r="L47" s="220" t="n"/>
      <c r="N47" s="143" t="n"/>
      <c r="O47" s="143" t="n"/>
    </row>
    <row r="48">
      <c r="A48" s="456" t="inlineStr">
        <is>
          <t>ABC47</t>
        </is>
      </c>
      <c r="B48" s="27" t="n"/>
      <c r="C48" s="3" t="n">
        <v>30</v>
      </c>
      <c r="D48" s="508">
        <f>30/SUMIF('ABC-XYZ분석 (2)'!C:C,안전재고!A48,'ABC-XYZ분석 (2)'!X:X)</f>
        <v/>
      </c>
      <c r="E48" s="509">
        <f>IFERROR('ABC-XYZ분석 (2)'!AE48/30,0)</f>
        <v/>
      </c>
      <c r="F48" s="509">
        <f>_xlfn.XLOOKUP(표7[[#This Row],[SKU
코드]],'ABC-XYZ분석 (2)'!C:C,'ABC-XYZ분석 (2)'!AC:AC)</f>
        <v/>
      </c>
      <c r="G48" s="509">
        <f>_xlfn.XLOOKUP(표7[[#This Row],[SKU
코드]],'ABC-XYZ분석 (2)'!C:C,'ABC-XYZ분석 (2)'!AG:AG)</f>
        <v/>
      </c>
      <c r="H48" s="510">
        <f>_xlfn.XLOOKUP(표7[[#This Row],[ABC]],L:L,N:N)</f>
        <v/>
      </c>
      <c r="I48" s="508">
        <f>ROUND(E48*SQRT(C48)*표7[[#This Row],[안전
계수]]*_xlfn.XLOOKUP(표7[[#This Row],[XYZ]],Q:Q,R:R),0)</f>
        <v/>
      </c>
      <c r="J48" s="281" t="inlineStr">
        <is>
          <t>표준편차×√LT×안전계수x보정계수</t>
        </is>
      </c>
      <c r="L48" s="220" t="n"/>
      <c r="N48" s="143" t="n"/>
      <c r="O48" s="143" t="n"/>
    </row>
    <row r="49">
      <c r="A49" s="456" t="inlineStr">
        <is>
          <t>ABC48</t>
        </is>
      </c>
      <c r="B49" s="27" t="n"/>
      <c r="C49" s="3" t="n">
        <v>30</v>
      </c>
      <c r="D49" s="508">
        <f>30/SUMIF('ABC-XYZ분석 (2)'!C:C,안전재고!A49,'ABC-XYZ분석 (2)'!X:X)</f>
        <v/>
      </c>
      <c r="E49" s="509">
        <f>IFERROR('ABC-XYZ분석 (2)'!AE49/30,0)</f>
        <v/>
      </c>
      <c r="F49" s="509">
        <f>_xlfn.XLOOKUP(표7[[#This Row],[SKU
코드]],'ABC-XYZ분석 (2)'!C:C,'ABC-XYZ분석 (2)'!AC:AC)</f>
        <v/>
      </c>
      <c r="G49" s="509">
        <f>_xlfn.XLOOKUP(표7[[#This Row],[SKU
코드]],'ABC-XYZ분석 (2)'!C:C,'ABC-XYZ분석 (2)'!AG:AG)</f>
        <v/>
      </c>
      <c r="H49" s="510">
        <f>_xlfn.XLOOKUP(표7[[#This Row],[ABC]],L:L,N:N)</f>
        <v/>
      </c>
      <c r="I49" s="508">
        <f>ROUND(E49*SQRT(C49)*표7[[#This Row],[안전
계수]]*_xlfn.XLOOKUP(표7[[#This Row],[XYZ]],Q:Q,R:R),0)</f>
        <v/>
      </c>
      <c r="J49" s="281" t="inlineStr">
        <is>
          <t>표준편차×√LT×안전계수x보정계수</t>
        </is>
      </c>
      <c r="L49" s="220" t="n"/>
      <c r="N49" s="143" t="n"/>
      <c r="O49" s="143" t="n"/>
    </row>
    <row r="50">
      <c r="A50" s="456" t="inlineStr">
        <is>
          <t>ABC49</t>
        </is>
      </c>
      <c r="B50" s="27" t="n"/>
      <c r="C50" s="3" t="n">
        <v>30</v>
      </c>
      <c r="D50" s="508">
        <f>30/SUMIF('ABC-XYZ분석 (2)'!C:C,안전재고!A50,'ABC-XYZ분석 (2)'!X:X)</f>
        <v/>
      </c>
      <c r="E50" s="509">
        <f>IFERROR('ABC-XYZ분석 (2)'!AE50/30,0)</f>
        <v/>
      </c>
      <c r="F50" s="509">
        <f>_xlfn.XLOOKUP(표7[[#This Row],[SKU
코드]],'ABC-XYZ분석 (2)'!C:C,'ABC-XYZ분석 (2)'!AC:AC)</f>
        <v/>
      </c>
      <c r="G50" s="509">
        <f>_xlfn.XLOOKUP(표7[[#This Row],[SKU
코드]],'ABC-XYZ분석 (2)'!C:C,'ABC-XYZ분석 (2)'!AG:AG)</f>
        <v/>
      </c>
      <c r="H50" s="510">
        <f>_xlfn.XLOOKUP(표7[[#This Row],[ABC]],L:L,N:N)</f>
        <v/>
      </c>
      <c r="I50" s="508">
        <f>ROUND(E50*SQRT(C50)*표7[[#This Row],[안전
계수]]*_xlfn.XLOOKUP(표7[[#This Row],[XYZ]],Q:Q,R:R),0)</f>
        <v/>
      </c>
      <c r="J50" s="281" t="inlineStr">
        <is>
          <t>표준편차×√LT×안전계수x보정계수</t>
        </is>
      </c>
      <c r="L50" s="220" t="n"/>
      <c r="N50" s="143" t="n"/>
      <c r="O50" s="143" t="n"/>
    </row>
    <row r="51">
      <c r="A51" s="456" t="inlineStr">
        <is>
          <t>ABC50</t>
        </is>
      </c>
      <c r="B51" s="27" t="n"/>
      <c r="C51" s="3" t="n">
        <v>30</v>
      </c>
      <c r="D51" s="508">
        <f>30/SUMIF('ABC-XYZ분석 (2)'!C:C,안전재고!A51,'ABC-XYZ분석 (2)'!X:X)</f>
        <v/>
      </c>
      <c r="E51" s="509">
        <f>IFERROR('ABC-XYZ분석 (2)'!AE51/30,0)</f>
        <v/>
      </c>
      <c r="F51" s="509">
        <f>_xlfn.XLOOKUP(표7[[#This Row],[SKU
코드]],'ABC-XYZ분석 (2)'!C:C,'ABC-XYZ분석 (2)'!AC:AC)</f>
        <v/>
      </c>
      <c r="G51" s="509">
        <f>_xlfn.XLOOKUP(표7[[#This Row],[SKU
코드]],'ABC-XYZ분석 (2)'!C:C,'ABC-XYZ분석 (2)'!AG:AG)</f>
        <v/>
      </c>
      <c r="H51" s="510">
        <f>_xlfn.XLOOKUP(표7[[#This Row],[ABC]],L:L,N:N)</f>
        <v/>
      </c>
      <c r="I51" s="508">
        <f>ROUND(E51*SQRT(C51)*표7[[#This Row],[안전
계수]]*_xlfn.XLOOKUP(표7[[#This Row],[XYZ]],Q:Q,R:R),0)</f>
        <v/>
      </c>
      <c r="J51" s="281" t="inlineStr">
        <is>
          <t>표준편차×√LT×안전계수x보정계수</t>
        </is>
      </c>
      <c r="L51" s="220" t="n"/>
      <c r="N51" s="143" t="n"/>
      <c r="O51" s="143" t="n"/>
    </row>
    <row r="52">
      <c r="A52" s="456" t="inlineStr">
        <is>
          <t>ABC51</t>
        </is>
      </c>
      <c r="B52" s="27" t="n"/>
      <c r="C52" s="3" t="n">
        <v>30</v>
      </c>
      <c r="D52" s="508">
        <f>30/SUMIF('ABC-XYZ분석 (2)'!C:C,안전재고!A52,'ABC-XYZ분석 (2)'!X:X)</f>
        <v/>
      </c>
      <c r="E52" s="509">
        <f>IFERROR('ABC-XYZ분석 (2)'!AE52/30,0)</f>
        <v/>
      </c>
      <c r="F52" s="509">
        <f>_xlfn.XLOOKUP(표7[[#This Row],[SKU
코드]],'ABC-XYZ분석 (2)'!C:C,'ABC-XYZ분석 (2)'!AC:AC)</f>
        <v/>
      </c>
      <c r="G52" s="509">
        <f>_xlfn.XLOOKUP(표7[[#This Row],[SKU
코드]],'ABC-XYZ분석 (2)'!C:C,'ABC-XYZ분석 (2)'!AG:AG)</f>
        <v/>
      </c>
      <c r="H52" s="510">
        <f>_xlfn.XLOOKUP(표7[[#This Row],[ABC]],L:L,N:N)</f>
        <v/>
      </c>
      <c r="I52" s="508">
        <f>ROUND(E52*SQRT(C52)*표7[[#This Row],[안전
계수]]*_xlfn.XLOOKUP(표7[[#This Row],[XYZ]],Q:Q,R:R),0)</f>
        <v/>
      </c>
      <c r="J52" s="281" t="inlineStr">
        <is>
          <t>표준편차×√LT×안전계수x보정계수</t>
        </is>
      </c>
      <c r="L52" s="220" t="n"/>
      <c r="N52" s="143" t="n"/>
      <c r="O52" s="143" t="n"/>
    </row>
    <row r="53">
      <c r="A53" s="456" t="inlineStr">
        <is>
          <t>ABC52</t>
        </is>
      </c>
      <c r="B53" s="27" t="n"/>
      <c r="C53" s="3" t="n">
        <v>30</v>
      </c>
      <c r="D53" s="508">
        <f>30/SUMIF('ABC-XYZ분석 (2)'!C:C,안전재고!A53,'ABC-XYZ분석 (2)'!X:X)</f>
        <v/>
      </c>
      <c r="E53" s="509">
        <f>IFERROR('ABC-XYZ분석 (2)'!AE53/30,0)</f>
        <v/>
      </c>
      <c r="F53" s="509">
        <f>_xlfn.XLOOKUP(표7[[#This Row],[SKU
코드]],'ABC-XYZ분석 (2)'!C:C,'ABC-XYZ분석 (2)'!AC:AC)</f>
        <v/>
      </c>
      <c r="G53" s="509">
        <f>_xlfn.XLOOKUP(표7[[#This Row],[SKU
코드]],'ABC-XYZ분석 (2)'!C:C,'ABC-XYZ분석 (2)'!AG:AG)</f>
        <v/>
      </c>
      <c r="H53" s="510">
        <f>_xlfn.XLOOKUP(표7[[#This Row],[ABC]],L:L,N:N)</f>
        <v/>
      </c>
      <c r="I53" s="508">
        <f>ROUND(E53*SQRT(C53)*표7[[#This Row],[안전
계수]]*_xlfn.XLOOKUP(표7[[#This Row],[XYZ]],Q:Q,R:R),0)</f>
        <v/>
      </c>
      <c r="J53" s="281" t="inlineStr">
        <is>
          <t>표준편차×√LT×안전계수x보정계수</t>
        </is>
      </c>
      <c r="L53" s="220" t="n"/>
      <c r="N53" s="143" t="n"/>
      <c r="O53" s="143" t="n"/>
    </row>
    <row r="54">
      <c r="A54" s="456" t="inlineStr">
        <is>
          <t>ABC53</t>
        </is>
      </c>
      <c r="B54" s="27" t="n"/>
      <c r="C54" s="3" t="n">
        <v>30</v>
      </c>
      <c r="D54" s="508">
        <f>30/SUMIF('ABC-XYZ분석 (2)'!C:C,안전재고!A54,'ABC-XYZ분석 (2)'!X:X)</f>
        <v/>
      </c>
      <c r="E54" s="509">
        <f>IFERROR('ABC-XYZ분석 (2)'!AE54/30,0)</f>
        <v/>
      </c>
      <c r="F54" s="509">
        <f>_xlfn.XLOOKUP(표7[[#This Row],[SKU
코드]],'ABC-XYZ분석 (2)'!C:C,'ABC-XYZ분석 (2)'!AC:AC)</f>
        <v/>
      </c>
      <c r="G54" s="509">
        <f>_xlfn.XLOOKUP(표7[[#This Row],[SKU
코드]],'ABC-XYZ분석 (2)'!C:C,'ABC-XYZ분석 (2)'!AG:AG)</f>
        <v/>
      </c>
      <c r="H54" s="510">
        <f>_xlfn.XLOOKUP(표7[[#This Row],[ABC]],L:L,N:N)</f>
        <v/>
      </c>
      <c r="I54" s="508">
        <f>ROUND(E54*SQRT(C54)*표7[[#This Row],[안전
계수]]*_xlfn.XLOOKUP(표7[[#This Row],[XYZ]],Q:Q,R:R),0)</f>
        <v/>
      </c>
      <c r="J54" s="281" t="inlineStr">
        <is>
          <t>표준편차×√LT×안전계수x보정계수</t>
        </is>
      </c>
      <c r="L54" s="220" t="n"/>
      <c r="N54" s="143" t="n"/>
      <c r="O54" s="143" t="n"/>
    </row>
    <row r="55">
      <c r="A55" s="456" t="inlineStr">
        <is>
          <t>ABC54</t>
        </is>
      </c>
      <c r="B55" s="27" t="n"/>
      <c r="C55" s="3" t="n">
        <v>30</v>
      </c>
      <c r="D55" s="508">
        <f>30/SUMIF('ABC-XYZ분석 (2)'!C:C,안전재고!A55,'ABC-XYZ분석 (2)'!X:X)</f>
        <v/>
      </c>
      <c r="E55" s="509">
        <f>IFERROR('ABC-XYZ분석 (2)'!AE55/30,0)</f>
        <v/>
      </c>
      <c r="F55" s="509">
        <f>_xlfn.XLOOKUP(표7[[#This Row],[SKU
코드]],'ABC-XYZ분석 (2)'!C:C,'ABC-XYZ분석 (2)'!AC:AC)</f>
        <v/>
      </c>
      <c r="G55" s="509">
        <f>_xlfn.XLOOKUP(표7[[#This Row],[SKU
코드]],'ABC-XYZ분석 (2)'!C:C,'ABC-XYZ분석 (2)'!AG:AG)</f>
        <v/>
      </c>
      <c r="H55" s="510">
        <f>_xlfn.XLOOKUP(표7[[#This Row],[ABC]],L:L,N:N)</f>
        <v/>
      </c>
      <c r="I55" s="508">
        <f>ROUND(E55*SQRT(C55)*표7[[#This Row],[안전
계수]]*_xlfn.XLOOKUP(표7[[#This Row],[XYZ]],Q:Q,R:R),0)</f>
        <v/>
      </c>
      <c r="J55" s="281" t="inlineStr">
        <is>
          <t>표준편차×√LT×안전계수x보정계수</t>
        </is>
      </c>
      <c r="L55" s="220" t="n"/>
      <c r="N55" s="143" t="n"/>
      <c r="O55" s="143" t="n"/>
    </row>
    <row r="56">
      <c r="A56" s="456" t="inlineStr">
        <is>
          <t>ABC55</t>
        </is>
      </c>
      <c r="B56" s="27" t="n"/>
      <c r="C56" s="3" t="n">
        <v>30</v>
      </c>
      <c r="D56" s="508">
        <f>30/SUMIF('ABC-XYZ분석 (2)'!C:C,안전재고!A56,'ABC-XYZ분석 (2)'!X:X)</f>
        <v/>
      </c>
      <c r="E56" s="509">
        <f>IFERROR('ABC-XYZ분석 (2)'!AE56/30,0)</f>
        <v/>
      </c>
      <c r="F56" s="509">
        <f>_xlfn.XLOOKUP(표7[[#This Row],[SKU
코드]],'ABC-XYZ분석 (2)'!C:C,'ABC-XYZ분석 (2)'!AC:AC)</f>
        <v/>
      </c>
      <c r="G56" s="509">
        <f>_xlfn.XLOOKUP(표7[[#This Row],[SKU
코드]],'ABC-XYZ분석 (2)'!C:C,'ABC-XYZ분석 (2)'!AG:AG)</f>
        <v/>
      </c>
      <c r="H56" s="510">
        <f>_xlfn.XLOOKUP(표7[[#This Row],[ABC]],L:L,N:N)</f>
        <v/>
      </c>
      <c r="I56" s="508">
        <f>ROUND(E56*SQRT(C56)*표7[[#This Row],[안전
계수]]*_xlfn.XLOOKUP(표7[[#This Row],[XYZ]],Q:Q,R:R),0)</f>
        <v/>
      </c>
      <c r="J56" s="281" t="inlineStr">
        <is>
          <t>표준편차×√LT×안전계수x보정계수</t>
        </is>
      </c>
      <c r="L56" s="220" t="n"/>
      <c r="N56" s="143" t="n"/>
      <c r="O56" s="143" t="n"/>
    </row>
    <row r="57">
      <c r="A57" s="456" t="inlineStr">
        <is>
          <t>ABC56</t>
        </is>
      </c>
      <c r="B57" s="27" t="n"/>
      <c r="C57" s="3" t="n">
        <v>30</v>
      </c>
      <c r="D57" s="508">
        <f>30/SUMIF('ABC-XYZ분석 (2)'!C:C,안전재고!A57,'ABC-XYZ분석 (2)'!X:X)</f>
        <v/>
      </c>
      <c r="E57" s="509">
        <f>IFERROR('ABC-XYZ분석 (2)'!AE57/30,0)</f>
        <v/>
      </c>
      <c r="F57" s="509">
        <f>_xlfn.XLOOKUP(표7[[#This Row],[SKU
코드]],'ABC-XYZ분석 (2)'!C:C,'ABC-XYZ분석 (2)'!AC:AC)</f>
        <v/>
      </c>
      <c r="G57" s="509">
        <f>_xlfn.XLOOKUP(표7[[#This Row],[SKU
코드]],'ABC-XYZ분석 (2)'!C:C,'ABC-XYZ분석 (2)'!AG:AG)</f>
        <v/>
      </c>
      <c r="H57" s="510">
        <f>_xlfn.XLOOKUP(표7[[#This Row],[ABC]],L:L,N:N)</f>
        <v/>
      </c>
      <c r="I57" s="508">
        <f>ROUND(E57*SQRT(C57)*표7[[#This Row],[안전
계수]]*_xlfn.XLOOKUP(표7[[#This Row],[XYZ]],Q:Q,R:R),0)</f>
        <v/>
      </c>
      <c r="J57" s="281" t="inlineStr">
        <is>
          <t>표준편차×√LT×안전계수x보정계수</t>
        </is>
      </c>
      <c r="L57" s="220" t="n"/>
      <c r="N57" s="143" t="n"/>
      <c r="O57" s="143" t="n"/>
    </row>
    <row r="58">
      <c r="A58" s="456" t="inlineStr">
        <is>
          <t>ABC57</t>
        </is>
      </c>
      <c r="B58" s="27" t="n"/>
      <c r="C58" s="3" t="n">
        <v>30</v>
      </c>
      <c r="D58" s="508">
        <f>30/SUMIF('ABC-XYZ분석 (2)'!C:C,안전재고!A58,'ABC-XYZ분석 (2)'!X:X)</f>
        <v/>
      </c>
      <c r="E58" s="509">
        <f>IFERROR('ABC-XYZ분석 (2)'!AE58/30,0)</f>
        <v/>
      </c>
      <c r="F58" s="509">
        <f>_xlfn.XLOOKUP(표7[[#This Row],[SKU
코드]],'ABC-XYZ분석 (2)'!C:C,'ABC-XYZ분석 (2)'!AC:AC)</f>
        <v/>
      </c>
      <c r="G58" s="509">
        <f>_xlfn.XLOOKUP(표7[[#This Row],[SKU
코드]],'ABC-XYZ분석 (2)'!C:C,'ABC-XYZ분석 (2)'!AG:AG)</f>
        <v/>
      </c>
      <c r="H58" s="510">
        <f>_xlfn.XLOOKUP(표7[[#This Row],[ABC]],L:L,N:N)</f>
        <v/>
      </c>
      <c r="I58" s="508">
        <f>ROUND(E58*SQRT(C58)*표7[[#This Row],[안전
계수]]*_xlfn.XLOOKUP(표7[[#This Row],[XYZ]],Q:Q,R:R),0)</f>
        <v/>
      </c>
      <c r="J58" s="281" t="inlineStr">
        <is>
          <t>표준편차×√LT×안전계수x보정계수</t>
        </is>
      </c>
      <c r="L58" s="220" t="n"/>
      <c r="N58" s="143" t="n"/>
      <c r="O58" s="143" t="n"/>
    </row>
    <row r="59">
      <c r="A59" s="456" t="inlineStr">
        <is>
          <t>ABC58</t>
        </is>
      </c>
      <c r="B59" s="27" t="n"/>
      <c r="C59" s="3" t="n">
        <v>30</v>
      </c>
      <c r="D59" s="508">
        <f>30/SUMIF('ABC-XYZ분석 (2)'!C:C,안전재고!A59,'ABC-XYZ분석 (2)'!X:X)</f>
        <v/>
      </c>
      <c r="E59" s="509">
        <f>IFERROR('ABC-XYZ분석 (2)'!AE59/30,0)</f>
        <v/>
      </c>
      <c r="F59" s="509">
        <f>_xlfn.XLOOKUP(표7[[#This Row],[SKU
코드]],'ABC-XYZ분석 (2)'!C:C,'ABC-XYZ분석 (2)'!AC:AC)</f>
        <v/>
      </c>
      <c r="G59" s="509">
        <f>_xlfn.XLOOKUP(표7[[#This Row],[SKU
코드]],'ABC-XYZ분석 (2)'!C:C,'ABC-XYZ분석 (2)'!AG:AG)</f>
        <v/>
      </c>
      <c r="H59" s="510">
        <f>_xlfn.XLOOKUP(표7[[#This Row],[ABC]],L:L,N:N)</f>
        <v/>
      </c>
      <c r="I59" s="508">
        <f>ROUND(E59*SQRT(C59)*표7[[#This Row],[안전
계수]]*_xlfn.XLOOKUP(표7[[#This Row],[XYZ]],Q:Q,R:R),0)</f>
        <v/>
      </c>
      <c r="J59" s="281" t="inlineStr">
        <is>
          <t>표준편차×√LT×안전계수x보정계수</t>
        </is>
      </c>
      <c r="L59" s="220" t="n"/>
      <c r="N59" s="143" t="n"/>
      <c r="O59" s="143" t="n"/>
    </row>
    <row r="60">
      <c r="A60" s="456" t="inlineStr">
        <is>
          <t>ABC59</t>
        </is>
      </c>
      <c r="B60" s="27" t="n"/>
      <c r="C60" s="3" t="n">
        <v>30</v>
      </c>
      <c r="D60" s="508">
        <f>30/SUMIF('ABC-XYZ분석 (2)'!C:C,안전재고!A60,'ABC-XYZ분석 (2)'!X:X)</f>
        <v/>
      </c>
      <c r="E60" s="509">
        <f>IFERROR('ABC-XYZ분석 (2)'!AE60/30,0)</f>
        <v/>
      </c>
      <c r="F60" s="509">
        <f>_xlfn.XLOOKUP(표7[[#This Row],[SKU
코드]],'ABC-XYZ분석 (2)'!C:C,'ABC-XYZ분석 (2)'!AC:AC)</f>
        <v/>
      </c>
      <c r="G60" s="509">
        <f>_xlfn.XLOOKUP(표7[[#This Row],[SKU
코드]],'ABC-XYZ분석 (2)'!C:C,'ABC-XYZ분석 (2)'!AG:AG)</f>
        <v/>
      </c>
      <c r="H60" s="510">
        <f>_xlfn.XLOOKUP(표7[[#This Row],[ABC]],L:L,N:N)</f>
        <v/>
      </c>
      <c r="I60" s="508">
        <f>ROUND(E60*SQRT(C60)*표7[[#This Row],[안전
계수]]*_xlfn.XLOOKUP(표7[[#This Row],[XYZ]],Q:Q,R:R),0)</f>
        <v/>
      </c>
      <c r="J60" s="281" t="inlineStr">
        <is>
          <t>표준편차×√LT×안전계수x보정계수</t>
        </is>
      </c>
      <c r="L60" s="220" t="n"/>
      <c r="N60" s="143" t="n"/>
      <c r="O60" s="143" t="n"/>
    </row>
    <row r="61">
      <c r="A61" s="456" t="inlineStr">
        <is>
          <t>ABC60</t>
        </is>
      </c>
      <c r="B61" s="27" t="n"/>
      <c r="C61" s="3" t="n">
        <v>30</v>
      </c>
      <c r="D61" s="508">
        <f>30/SUMIF('ABC-XYZ분석 (2)'!C:C,안전재고!A61,'ABC-XYZ분석 (2)'!X:X)</f>
        <v/>
      </c>
      <c r="E61" s="509">
        <f>IFERROR('ABC-XYZ분석 (2)'!AE61/30,0)</f>
        <v/>
      </c>
      <c r="F61" s="509">
        <f>_xlfn.XLOOKUP(표7[[#This Row],[SKU
코드]],'ABC-XYZ분석 (2)'!C:C,'ABC-XYZ분석 (2)'!AC:AC)</f>
        <v/>
      </c>
      <c r="G61" s="509">
        <f>_xlfn.XLOOKUP(표7[[#This Row],[SKU
코드]],'ABC-XYZ분석 (2)'!C:C,'ABC-XYZ분석 (2)'!AG:AG)</f>
        <v/>
      </c>
      <c r="H61" s="510">
        <f>_xlfn.XLOOKUP(표7[[#This Row],[ABC]],L:L,N:N)</f>
        <v/>
      </c>
      <c r="I61" s="508">
        <f>ROUND(E61*SQRT(C61)*표7[[#This Row],[안전
계수]]*_xlfn.XLOOKUP(표7[[#This Row],[XYZ]],Q:Q,R:R),0)</f>
        <v/>
      </c>
      <c r="J61" s="281" t="inlineStr">
        <is>
          <t>표준편차×√LT×안전계수x보정계수</t>
        </is>
      </c>
      <c r="L61" s="220" t="n"/>
      <c r="N61" s="143" t="n"/>
      <c r="O61" s="143" t="n"/>
    </row>
    <row r="62">
      <c r="A62" s="456" t="inlineStr">
        <is>
          <t>ABC61</t>
        </is>
      </c>
      <c r="B62" s="27" t="n"/>
      <c r="C62" s="3" t="n">
        <v>30</v>
      </c>
      <c r="D62" s="508">
        <f>30/SUMIF('ABC-XYZ분석 (2)'!C:C,안전재고!A62,'ABC-XYZ분석 (2)'!X:X)</f>
        <v/>
      </c>
      <c r="E62" s="509">
        <f>IFERROR('ABC-XYZ분석 (2)'!AE62/30,0)</f>
        <v/>
      </c>
      <c r="F62" s="509">
        <f>_xlfn.XLOOKUP(표7[[#This Row],[SKU
코드]],'ABC-XYZ분석 (2)'!C:C,'ABC-XYZ분석 (2)'!AC:AC)</f>
        <v/>
      </c>
      <c r="G62" s="509">
        <f>_xlfn.XLOOKUP(표7[[#This Row],[SKU
코드]],'ABC-XYZ분석 (2)'!C:C,'ABC-XYZ분석 (2)'!AG:AG)</f>
        <v/>
      </c>
      <c r="H62" s="510">
        <f>_xlfn.XLOOKUP(표7[[#This Row],[ABC]],L:L,N:N)</f>
        <v/>
      </c>
      <c r="I62" s="508">
        <f>ROUND(E62*SQRT(C62)*표7[[#This Row],[안전
계수]]*_xlfn.XLOOKUP(표7[[#This Row],[XYZ]],Q:Q,R:R),0)</f>
        <v/>
      </c>
      <c r="J62" s="281" t="inlineStr">
        <is>
          <t>표준편차×√LT×안전계수x보정계수</t>
        </is>
      </c>
      <c r="L62" s="220" t="n"/>
      <c r="N62" s="143" t="n"/>
      <c r="O62" s="143" t="n"/>
    </row>
    <row r="63">
      <c r="A63" s="456" t="inlineStr">
        <is>
          <t>ABC62</t>
        </is>
      </c>
      <c r="B63" s="27" t="n"/>
      <c r="C63" s="3" t="n">
        <v>30</v>
      </c>
      <c r="D63" s="508">
        <f>30/SUMIF('ABC-XYZ분석 (2)'!C:C,안전재고!A63,'ABC-XYZ분석 (2)'!X:X)</f>
        <v/>
      </c>
      <c r="E63" s="509">
        <f>IFERROR('ABC-XYZ분석 (2)'!AE63/30,0)</f>
        <v/>
      </c>
      <c r="F63" s="509">
        <f>_xlfn.XLOOKUP(표7[[#This Row],[SKU
코드]],'ABC-XYZ분석 (2)'!C:C,'ABC-XYZ분석 (2)'!AC:AC)</f>
        <v/>
      </c>
      <c r="G63" s="509">
        <f>_xlfn.XLOOKUP(표7[[#This Row],[SKU
코드]],'ABC-XYZ분석 (2)'!C:C,'ABC-XYZ분석 (2)'!AG:AG)</f>
        <v/>
      </c>
      <c r="H63" s="510">
        <f>_xlfn.XLOOKUP(표7[[#This Row],[ABC]],L:L,N:N)</f>
        <v/>
      </c>
      <c r="I63" s="508">
        <f>ROUND(E63*SQRT(C63)*표7[[#This Row],[안전
계수]]*_xlfn.XLOOKUP(표7[[#This Row],[XYZ]],Q:Q,R:R),0)</f>
        <v/>
      </c>
      <c r="J63" s="281" t="inlineStr">
        <is>
          <t>표준편차×√LT×안전계수x보정계수</t>
        </is>
      </c>
      <c r="L63" s="220" t="n"/>
      <c r="N63" s="143" t="n"/>
      <c r="O63" s="143" t="n"/>
    </row>
    <row r="64">
      <c r="A64" s="456" t="inlineStr">
        <is>
          <t>ABC63</t>
        </is>
      </c>
      <c r="B64" s="27" t="n"/>
      <c r="C64" s="3" t="n">
        <v>30</v>
      </c>
      <c r="D64" s="508">
        <f>30/SUMIF('ABC-XYZ분석 (2)'!C:C,안전재고!A64,'ABC-XYZ분석 (2)'!X:X)</f>
        <v/>
      </c>
      <c r="E64" s="509">
        <f>IFERROR('ABC-XYZ분석 (2)'!AE64/30,0)</f>
        <v/>
      </c>
      <c r="F64" s="509">
        <f>_xlfn.XLOOKUP(표7[[#This Row],[SKU
코드]],'ABC-XYZ분석 (2)'!C:C,'ABC-XYZ분석 (2)'!AC:AC)</f>
        <v/>
      </c>
      <c r="G64" s="509">
        <f>_xlfn.XLOOKUP(표7[[#This Row],[SKU
코드]],'ABC-XYZ분석 (2)'!C:C,'ABC-XYZ분석 (2)'!AG:AG)</f>
        <v/>
      </c>
      <c r="H64" s="510">
        <f>_xlfn.XLOOKUP(표7[[#This Row],[ABC]],L:L,N:N)</f>
        <v/>
      </c>
      <c r="I64" s="508">
        <f>ROUND(E64*SQRT(C64)*표7[[#This Row],[안전
계수]]*_xlfn.XLOOKUP(표7[[#This Row],[XYZ]],Q:Q,R:R),0)</f>
        <v/>
      </c>
      <c r="J64" s="281" t="inlineStr">
        <is>
          <t>표준편차×√LT×안전계수x보정계수</t>
        </is>
      </c>
      <c r="L64" s="220" t="n"/>
      <c r="N64" s="143" t="n"/>
      <c r="O64" s="143" t="n"/>
    </row>
    <row r="65">
      <c r="A65" s="456" t="inlineStr">
        <is>
          <t>ABC64</t>
        </is>
      </c>
      <c r="B65" s="27" t="n"/>
      <c r="C65" s="3" t="n">
        <v>30</v>
      </c>
      <c r="D65" s="508">
        <f>30/SUMIF('ABC-XYZ분석 (2)'!C:C,안전재고!A65,'ABC-XYZ분석 (2)'!X:X)</f>
        <v/>
      </c>
      <c r="E65" s="509">
        <f>IFERROR('ABC-XYZ분석 (2)'!AE65/30,0)</f>
        <v/>
      </c>
      <c r="F65" s="509">
        <f>_xlfn.XLOOKUP(표7[[#This Row],[SKU
코드]],'ABC-XYZ분석 (2)'!C:C,'ABC-XYZ분석 (2)'!AC:AC)</f>
        <v/>
      </c>
      <c r="G65" s="509">
        <f>_xlfn.XLOOKUP(표7[[#This Row],[SKU
코드]],'ABC-XYZ분석 (2)'!C:C,'ABC-XYZ분석 (2)'!AG:AG)</f>
        <v/>
      </c>
      <c r="H65" s="510">
        <f>_xlfn.XLOOKUP(표7[[#This Row],[ABC]],L:L,N:N)</f>
        <v/>
      </c>
      <c r="I65" s="508">
        <f>ROUND(E65*SQRT(C65)*표7[[#This Row],[안전
계수]]*_xlfn.XLOOKUP(표7[[#This Row],[XYZ]],Q:Q,R:R),0)</f>
        <v/>
      </c>
      <c r="J65" s="281" t="inlineStr">
        <is>
          <t>표준편차×√LT×안전계수x보정계수</t>
        </is>
      </c>
      <c r="L65" s="220" t="n"/>
      <c r="N65" s="143" t="n"/>
      <c r="O65" s="143" t="n"/>
    </row>
    <row r="66">
      <c r="A66" s="456" t="inlineStr">
        <is>
          <t>ABC65</t>
        </is>
      </c>
      <c r="B66" s="27" t="n"/>
      <c r="C66" s="3" t="n">
        <v>30</v>
      </c>
      <c r="D66" s="508">
        <f>30/SUMIF('ABC-XYZ분석 (2)'!C:C,안전재고!A66,'ABC-XYZ분석 (2)'!X:X)</f>
        <v/>
      </c>
      <c r="E66" s="509">
        <f>IFERROR('ABC-XYZ분석 (2)'!AE66/30,0)</f>
        <v/>
      </c>
      <c r="F66" s="509">
        <f>_xlfn.XLOOKUP(표7[[#This Row],[SKU
코드]],'ABC-XYZ분석 (2)'!C:C,'ABC-XYZ분석 (2)'!AC:AC)</f>
        <v/>
      </c>
      <c r="G66" s="509">
        <f>_xlfn.XLOOKUP(표7[[#This Row],[SKU
코드]],'ABC-XYZ분석 (2)'!C:C,'ABC-XYZ분석 (2)'!AG:AG)</f>
        <v/>
      </c>
      <c r="H66" s="510">
        <f>_xlfn.XLOOKUP(표7[[#This Row],[ABC]],L:L,N:N)</f>
        <v/>
      </c>
      <c r="I66" s="508">
        <f>ROUND(E66*SQRT(C66)*표7[[#This Row],[안전
계수]]*_xlfn.XLOOKUP(표7[[#This Row],[XYZ]],Q:Q,R:R),0)</f>
        <v/>
      </c>
      <c r="J66" s="281" t="inlineStr">
        <is>
          <t>표준편차×√LT×안전계수x보정계수</t>
        </is>
      </c>
      <c r="L66" s="220" t="n"/>
      <c r="N66" s="143" t="n"/>
      <c r="O66" s="143" t="n"/>
    </row>
    <row r="67">
      <c r="A67" s="456" t="inlineStr">
        <is>
          <t>ABC66</t>
        </is>
      </c>
      <c r="B67" s="27" t="n"/>
      <c r="C67" s="3" t="n">
        <v>30</v>
      </c>
      <c r="D67" s="508">
        <f>30/SUMIF('ABC-XYZ분석 (2)'!C:C,안전재고!A67,'ABC-XYZ분석 (2)'!X:X)</f>
        <v/>
      </c>
      <c r="E67" s="509">
        <f>IFERROR('ABC-XYZ분석 (2)'!AE67/30,0)</f>
        <v/>
      </c>
      <c r="F67" s="509">
        <f>_xlfn.XLOOKUP(표7[[#This Row],[SKU
코드]],'ABC-XYZ분석 (2)'!C:C,'ABC-XYZ분석 (2)'!AC:AC)</f>
        <v/>
      </c>
      <c r="G67" s="509">
        <f>_xlfn.XLOOKUP(표7[[#This Row],[SKU
코드]],'ABC-XYZ분석 (2)'!C:C,'ABC-XYZ분석 (2)'!AG:AG)</f>
        <v/>
      </c>
      <c r="H67" s="510">
        <f>_xlfn.XLOOKUP(표7[[#This Row],[ABC]],L:L,N:N)</f>
        <v/>
      </c>
      <c r="I67" s="508">
        <f>ROUND(E67*SQRT(C67)*표7[[#This Row],[안전
계수]]*_xlfn.XLOOKUP(표7[[#This Row],[XYZ]],Q:Q,R:R),0)</f>
        <v/>
      </c>
      <c r="J67" s="281" t="inlineStr">
        <is>
          <t>표준편차×√LT×안전계수x보정계수</t>
        </is>
      </c>
      <c r="L67" s="220" t="n"/>
      <c r="N67" s="143" t="n"/>
      <c r="O67" s="143" t="n"/>
    </row>
    <row r="68">
      <c r="A68" s="456" t="inlineStr">
        <is>
          <t>ABC67</t>
        </is>
      </c>
      <c r="B68" s="27" t="n"/>
      <c r="C68" s="3" t="n">
        <v>30</v>
      </c>
      <c r="D68" s="508">
        <f>30/SUMIF('ABC-XYZ분석 (2)'!C:C,안전재고!A68,'ABC-XYZ분석 (2)'!X:X)</f>
        <v/>
      </c>
      <c r="E68" s="509">
        <f>IFERROR('ABC-XYZ분석 (2)'!AE68/30,0)</f>
        <v/>
      </c>
      <c r="F68" s="509">
        <f>_xlfn.XLOOKUP(표7[[#This Row],[SKU
코드]],'ABC-XYZ분석 (2)'!C:C,'ABC-XYZ분석 (2)'!AC:AC)</f>
        <v/>
      </c>
      <c r="G68" s="509">
        <f>_xlfn.XLOOKUP(표7[[#This Row],[SKU
코드]],'ABC-XYZ분석 (2)'!C:C,'ABC-XYZ분석 (2)'!AG:AG)</f>
        <v/>
      </c>
      <c r="H68" s="510">
        <f>_xlfn.XLOOKUP(표7[[#This Row],[ABC]],L:L,N:N)</f>
        <v/>
      </c>
      <c r="I68" s="508">
        <f>ROUND(E68*SQRT(C68)*표7[[#This Row],[안전
계수]]*_xlfn.XLOOKUP(표7[[#This Row],[XYZ]],Q:Q,R:R),0)</f>
        <v/>
      </c>
      <c r="J68" s="281" t="inlineStr">
        <is>
          <t>표준편차×√LT×안전계수x보정계수</t>
        </is>
      </c>
      <c r="L68" s="220" t="n"/>
      <c r="N68" s="143" t="n"/>
      <c r="O68" s="143" t="n"/>
    </row>
    <row r="69">
      <c r="A69" s="456" t="inlineStr">
        <is>
          <t>ABC68</t>
        </is>
      </c>
      <c r="B69" s="27" t="n"/>
      <c r="C69" s="3" t="n">
        <v>30</v>
      </c>
      <c r="D69" s="508">
        <f>30/SUMIF('ABC-XYZ분석 (2)'!C:C,안전재고!A69,'ABC-XYZ분석 (2)'!X:X)</f>
        <v/>
      </c>
      <c r="E69" s="509">
        <f>IFERROR('ABC-XYZ분석 (2)'!AE69/30,0)</f>
        <v/>
      </c>
      <c r="F69" s="509">
        <f>_xlfn.XLOOKUP(표7[[#This Row],[SKU
코드]],'ABC-XYZ분석 (2)'!C:C,'ABC-XYZ분석 (2)'!AC:AC)</f>
        <v/>
      </c>
      <c r="G69" s="509">
        <f>_xlfn.XLOOKUP(표7[[#This Row],[SKU
코드]],'ABC-XYZ분석 (2)'!C:C,'ABC-XYZ분석 (2)'!AG:AG)</f>
        <v/>
      </c>
      <c r="H69" s="510">
        <f>_xlfn.XLOOKUP(표7[[#This Row],[ABC]],L:L,N:N)</f>
        <v/>
      </c>
      <c r="I69" s="508">
        <f>ROUND(E69*SQRT(C69)*표7[[#This Row],[안전
계수]]*_xlfn.XLOOKUP(표7[[#This Row],[XYZ]],Q:Q,R:R),0)</f>
        <v/>
      </c>
      <c r="J69" s="281" t="inlineStr">
        <is>
          <t>표준편차×√LT×안전계수x보정계수</t>
        </is>
      </c>
      <c r="L69" s="220" t="n"/>
      <c r="N69" s="143" t="n"/>
      <c r="O69" s="143" t="n"/>
    </row>
    <row r="70">
      <c r="A70" s="456" t="inlineStr">
        <is>
          <t>ABC69</t>
        </is>
      </c>
      <c r="B70" s="27" t="n"/>
      <c r="C70" s="3" t="n">
        <v>30</v>
      </c>
      <c r="D70" s="508">
        <f>30/SUMIF('ABC-XYZ분석 (2)'!C:C,안전재고!A70,'ABC-XYZ분석 (2)'!X:X)</f>
        <v/>
      </c>
      <c r="E70" s="509">
        <f>IFERROR('ABC-XYZ분석 (2)'!AE70/30,0)</f>
        <v/>
      </c>
      <c r="F70" s="509">
        <f>_xlfn.XLOOKUP(표7[[#This Row],[SKU
코드]],'ABC-XYZ분석 (2)'!C:C,'ABC-XYZ분석 (2)'!AC:AC)</f>
        <v/>
      </c>
      <c r="G70" s="509">
        <f>_xlfn.XLOOKUP(표7[[#This Row],[SKU
코드]],'ABC-XYZ분석 (2)'!C:C,'ABC-XYZ분석 (2)'!AG:AG)</f>
        <v/>
      </c>
      <c r="H70" s="510">
        <f>_xlfn.XLOOKUP(표7[[#This Row],[ABC]],L:L,N:N)</f>
        <v/>
      </c>
      <c r="I70" s="508">
        <f>ROUND(E70*SQRT(C70)*표7[[#This Row],[안전
계수]]*_xlfn.XLOOKUP(표7[[#This Row],[XYZ]],Q:Q,R:R),0)</f>
        <v/>
      </c>
      <c r="J70" s="281" t="inlineStr">
        <is>
          <t>표준편차×√LT×안전계수x보정계수</t>
        </is>
      </c>
      <c r="L70" s="220" t="n"/>
      <c r="N70" s="143" t="n"/>
      <c r="O70" s="143" t="n"/>
    </row>
    <row r="71">
      <c r="A71" s="456" t="inlineStr">
        <is>
          <t>ABC70</t>
        </is>
      </c>
      <c r="B71" s="27" t="n"/>
      <c r="C71" s="3" t="n">
        <v>30</v>
      </c>
      <c r="D71" s="508">
        <f>30/SUMIF('ABC-XYZ분석 (2)'!C:C,안전재고!A71,'ABC-XYZ분석 (2)'!X:X)</f>
        <v/>
      </c>
      <c r="E71" s="509">
        <f>IFERROR('ABC-XYZ분석 (2)'!AE71/30,0)</f>
        <v/>
      </c>
      <c r="F71" s="509">
        <f>_xlfn.XLOOKUP(표7[[#This Row],[SKU
코드]],'ABC-XYZ분석 (2)'!C:C,'ABC-XYZ분석 (2)'!AC:AC)</f>
        <v/>
      </c>
      <c r="G71" s="509">
        <f>_xlfn.XLOOKUP(표7[[#This Row],[SKU
코드]],'ABC-XYZ분석 (2)'!C:C,'ABC-XYZ분석 (2)'!AG:AG)</f>
        <v/>
      </c>
      <c r="H71" s="510">
        <f>_xlfn.XLOOKUP(표7[[#This Row],[ABC]],L:L,N:N)</f>
        <v/>
      </c>
      <c r="I71" s="508">
        <f>ROUND(E71*SQRT(C71)*표7[[#This Row],[안전
계수]]*_xlfn.XLOOKUP(표7[[#This Row],[XYZ]],Q:Q,R:R),0)</f>
        <v/>
      </c>
      <c r="J71" s="281" t="inlineStr">
        <is>
          <t>표준편차×√LT×안전계수x보정계수</t>
        </is>
      </c>
      <c r="L71" s="220" t="n"/>
      <c r="N71" s="143" t="n"/>
      <c r="O71" s="143" t="n"/>
    </row>
    <row r="72">
      <c r="A72" s="456" t="inlineStr">
        <is>
          <t>ABC71</t>
        </is>
      </c>
      <c r="B72" s="27" t="n"/>
      <c r="C72" s="3" t="n">
        <v>30</v>
      </c>
      <c r="D72" s="508">
        <f>30/SUMIF('ABC-XYZ분석 (2)'!C:C,안전재고!A72,'ABC-XYZ분석 (2)'!X:X)</f>
        <v/>
      </c>
      <c r="E72" s="509">
        <f>IFERROR('ABC-XYZ분석 (2)'!AE72/30,0)</f>
        <v/>
      </c>
      <c r="F72" s="509">
        <f>_xlfn.XLOOKUP(표7[[#This Row],[SKU
코드]],'ABC-XYZ분석 (2)'!C:C,'ABC-XYZ분석 (2)'!AC:AC)</f>
        <v/>
      </c>
      <c r="G72" s="509">
        <f>_xlfn.XLOOKUP(표7[[#This Row],[SKU
코드]],'ABC-XYZ분석 (2)'!C:C,'ABC-XYZ분석 (2)'!AG:AG)</f>
        <v/>
      </c>
      <c r="H72" s="510">
        <f>_xlfn.XLOOKUP(표7[[#This Row],[ABC]],L:L,N:N)</f>
        <v/>
      </c>
      <c r="I72" s="508">
        <f>ROUND(E72*SQRT(C72)*표7[[#This Row],[안전
계수]]*_xlfn.XLOOKUP(표7[[#This Row],[XYZ]],Q:Q,R:R),0)</f>
        <v/>
      </c>
      <c r="J72" s="281" t="inlineStr">
        <is>
          <t>표준편차×√LT×안전계수x보정계수</t>
        </is>
      </c>
      <c r="L72" s="220" t="n"/>
      <c r="N72" s="143" t="n"/>
      <c r="O72" s="143" t="n"/>
    </row>
    <row r="73">
      <c r="A73" s="456" t="inlineStr">
        <is>
          <t>ABC72</t>
        </is>
      </c>
      <c r="B73" s="27" t="n"/>
      <c r="C73" s="3" t="n">
        <v>30</v>
      </c>
      <c r="D73" s="508">
        <f>30/SUMIF('ABC-XYZ분석 (2)'!C:C,안전재고!A73,'ABC-XYZ분석 (2)'!X:X)</f>
        <v/>
      </c>
      <c r="E73" s="509">
        <f>IFERROR('ABC-XYZ분석 (2)'!AE73/30,0)</f>
        <v/>
      </c>
      <c r="F73" s="509">
        <f>_xlfn.XLOOKUP(표7[[#This Row],[SKU
코드]],'ABC-XYZ분석 (2)'!C:C,'ABC-XYZ분석 (2)'!AC:AC)</f>
        <v/>
      </c>
      <c r="G73" s="509">
        <f>_xlfn.XLOOKUP(표7[[#This Row],[SKU
코드]],'ABC-XYZ분석 (2)'!C:C,'ABC-XYZ분석 (2)'!AG:AG)</f>
        <v/>
      </c>
      <c r="H73" s="510">
        <f>_xlfn.XLOOKUP(표7[[#This Row],[ABC]],L:L,N:N)</f>
        <v/>
      </c>
      <c r="I73" s="508">
        <f>ROUND(E73*SQRT(C73)*표7[[#This Row],[안전
계수]]*_xlfn.XLOOKUP(표7[[#This Row],[XYZ]],Q:Q,R:R),0)</f>
        <v/>
      </c>
      <c r="J73" s="281" t="inlineStr">
        <is>
          <t>표준편차×√LT×안전계수x보정계수</t>
        </is>
      </c>
      <c r="L73" s="220" t="n"/>
      <c r="N73" s="143" t="n"/>
      <c r="O73" s="143" t="n"/>
    </row>
    <row r="74">
      <c r="A74" s="456" t="inlineStr">
        <is>
          <t>ABC73</t>
        </is>
      </c>
      <c r="B74" s="27" t="n"/>
      <c r="C74" s="3" t="n">
        <v>30</v>
      </c>
      <c r="D74" s="508">
        <f>30/SUMIF('ABC-XYZ분석 (2)'!C:C,안전재고!A74,'ABC-XYZ분석 (2)'!X:X)</f>
        <v/>
      </c>
      <c r="E74" s="509">
        <f>IFERROR('ABC-XYZ분석 (2)'!AE74/30,0)</f>
        <v/>
      </c>
      <c r="F74" s="509">
        <f>_xlfn.XLOOKUP(표7[[#This Row],[SKU
코드]],'ABC-XYZ분석 (2)'!C:C,'ABC-XYZ분석 (2)'!AC:AC)</f>
        <v/>
      </c>
      <c r="G74" s="509">
        <f>_xlfn.XLOOKUP(표7[[#This Row],[SKU
코드]],'ABC-XYZ분석 (2)'!C:C,'ABC-XYZ분석 (2)'!AG:AG)</f>
        <v/>
      </c>
      <c r="H74" s="510">
        <f>_xlfn.XLOOKUP(표7[[#This Row],[ABC]],L:L,N:N)</f>
        <v/>
      </c>
      <c r="I74" s="508">
        <f>ROUND(E74*SQRT(C74)*표7[[#This Row],[안전
계수]]*_xlfn.XLOOKUP(표7[[#This Row],[XYZ]],Q:Q,R:R),0)</f>
        <v/>
      </c>
      <c r="J74" s="281" t="inlineStr">
        <is>
          <t>표준편차×√LT×안전계수x보정계수</t>
        </is>
      </c>
      <c r="L74" s="220" t="n"/>
      <c r="N74" s="143" t="n"/>
      <c r="O74" s="143" t="n"/>
    </row>
    <row r="75">
      <c r="A75" s="456" t="inlineStr">
        <is>
          <t>ABC74</t>
        </is>
      </c>
      <c r="B75" s="27" t="n"/>
      <c r="C75" s="3" t="n">
        <v>30</v>
      </c>
      <c r="D75" s="508">
        <f>30/SUMIF('ABC-XYZ분석 (2)'!C:C,안전재고!A75,'ABC-XYZ분석 (2)'!X:X)</f>
        <v/>
      </c>
      <c r="E75" s="509">
        <f>IFERROR('ABC-XYZ분석 (2)'!AE75/30,0)</f>
        <v/>
      </c>
      <c r="F75" s="509">
        <f>_xlfn.XLOOKUP(표7[[#This Row],[SKU
코드]],'ABC-XYZ분석 (2)'!C:C,'ABC-XYZ분석 (2)'!AC:AC)</f>
        <v/>
      </c>
      <c r="G75" s="509">
        <f>_xlfn.XLOOKUP(표7[[#This Row],[SKU
코드]],'ABC-XYZ분석 (2)'!C:C,'ABC-XYZ분석 (2)'!AG:AG)</f>
        <v/>
      </c>
      <c r="H75" s="510">
        <f>_xlfn.XLOOKUP(표7[[#This Row],[ABC]],L:L,N:N)</f>
        <v/>
      </c>
      <c r="I75" s="508">
        <f>ROUND(E75*SQRT(C75)*표7[[#This Row],[안전
계수]]*_xlfn.XLOOKUP(표7[[#This Row],[XYZ]],Q:Q,R:R),0)</f>
        <v/>
      </c>
      <c r="J75" s="281" t="inlineStr">
        <is>
          <t>표준편차×√LT×안전계수x보정계수</t>
        </is>
      </c>
      <c r="L75" s="220" t="n"/>
      <c r="N75" s="143" t="n"/>
      <c r="O75" s="143" t="n"/>
    </row>
    <row r="76">
      <c r="A76" s="456" t="inlineStr">
        <is>
          <t>ABC75</t>
        </is>
      </c>
      <c r="B76" s="27" t="n"/>
      <c r="C76" s="3" t="n">
        <v>30</v>
      </c>
      <c r="D76" s="508">
        <f>30/SUMIF('ABC-XYZ분석 (2)'!C:C,안전재고!A76,'ABC-XYZ분석 (2)'!X:X)</f>
        <v/>
      </c>
      <c r="E76" s="509">
        <f>IFERROR('ABC-XYZ분석 (2)'!AE76/30,0)</f>
        <v/>
      </c>
      <c r="F76" s="509">
        <f>_xlfn.XLOOKUP(표7[[#This Row],[SKU
코드]],'ABC-XYZ분석 (2)'!C:C,'ABC-XYZ분석 (2)'!AC:AC)</f>
        <v/>
      </c>
      <c r="G76" s="509">
        <f>_xlfn.XLOOKUP(표7[[#This Row],[SKU
코드]],'ABC-XYZ분석 (2)'!C:C,'ABC-XYZ분석 (2)'!AG:AG)</f>
        <v/>
      </c>
      <c r="H76" s="510">
        <f>_xlfn.XLOOKUP(표7[[#This Row],[ABC]],L:L,N:N)</f>
        <v/>
      </c>
      <c r="I76" s="508">
        <f>ROUND(E76*SQRT(C76)*표7[[#This Row],[안전
계수]]*_xlfn.XLOOKUP(표7[[#This Row],[XYZ]],Q:Q,R:R),0)</f>
        <v/>
      </c>
      <c r="J76" s="281" t="inlineStr">
        <is>
          <t>표준편차×√LT×안전계수x보정계수</t>
        </is>
      </c>
      <c r="L76" s="220" t="n"/>
      <c r="N76" s="143" t="n"/>
      <c r="O76" s="143" t="n"/>
    </row>
    <row r="77">
      <c r="A77" s="456" t="inlineStr">
        <is>
          <t>ABC76</t>
        </is>
      </c>
      <c r="B77" s="27" t="n"/>
      <c r="C77" s="3" t="n">
        <v>30</v>
      </c>
      <c r="D77" s="508">
        <f>30/SUMIF('ABC-XYZ분석 (2)'!C:C,안전재고!A77,'ABC-XYZ분석 (2)'!X:X)</f>
        <v/>
      </c>
      <c r="E77" s="509">
        <f>IFERROR('ABC-XYZ분석 (2)'!AE77/30,0)</f>
        <v/>
      </c>
      <c r="F77" s="509">
        <f>_xlfn.XLOOKUP(표7[[#This Row],[SKU
코드]],'ABC-XYZ분석 (2)'!C:C,'ABC-XYZ분석 (2)'!AC:AC)</f>
        <v/>
      </c>
      <c r="G77" s="509">
        <f>_xlfn.XLOOKUP(표7[[#This Row],[SKU
코드]],'ABC-XYZ분석 (2)'!C:C,'ABC-XYZ분석 (2)'!AG:AG)</f>
        <v/>
      </c>
      <c r="H77" s="510">
        <f>_xlfn.XLOOKUP(표7[[#This Row],[ABC]],L:L,N:N)</f>
        <v/>
      </c>
      <c r="I77" s="508">
        <f>ROUND(E77*SQRT(C77)*표7[[#This Row],[안전
계수]]*_xlfn.XLOOKUP(표7[[#This Row],[XYZ]],Q:Q,R:R),0)</f>
        <v/>
      </c>
      <c r="J77" s="281" t="inlineStr">
        <is>
          <t>표준편차×√LT×안전계수x보정계수</t>
        </is>
      </c>
      <c r="L77" s="220" t="n"/>
      <c r="N77" s="143" t="n"/>
      <c r="O77" s="143" t="n"/>
    </row>
    <row r="78">
      <c r="A78" s="456" t="inlineStr">
        <is>
          <t>ABC77</t>
        </is>
      </c>
      <c r="B78" s="27" t="n"/>
      <c r="C78" s="3" t="n">
        <v>30</v>
      </c>
      <c r="D78" s="508">
        <f>30/SUMIF('ABC-XYZ분석 (2)'!C:C,안전재고!A78,'ABC-XYZ분석 (2)'!X:X)</f>
        <v/>
      </c>
      <c r="E78" s="509">
        <f>IFERROR('ABC-XYZ분석 (2)'!AE78/30,0)</f>
        <v/>
      </c>
      <c r="F78" s="509">
        <f>_xlfn.XLOOKUP(표7[[#This Row],[SKU
코드]],'ABC-XYZ분석 (2)'!C:C,'ABC-XYZ분석 (2)'!AC:AC)</f>
        <v/>
      </c>
      <c r="G78" s="509">
        <f>_xlfn.XLOOKUP(표7[[#This Row],[SKU
코드]],'ABC-XYZ분석 (2)'!C:C,'ABC-XYZ분석 (2)'!AG:AG)</f>
        <v/>
      </c>
      <c r="H78" s="510">
        <f>_xlfn.XLOOKUP(표7[[#This Row],[ABC]],L:L,N:N)</f>
        <v/>
      </c>
      <c r="I78" s="508">
        <f>ROUND(E78*SQRT(C78)*표7[[#This Row],[안전
계수]]*_xlfn.XLOOKUP(표7[[#This Row],[XYZ]],Q:Q,R:R),0)</f>
        <v/>
      </c>
      <c r="J78" s="281" t="inlineStr">
        <is>
          <t>표준편차×√LT×안전계수x보정계수</t>
        </is>
      </c>
      <c r="L78" s="220" t="n"/>
      <c r="N78" s="143" t="n"/>
      <c r="O78" s="143" t="n"/>
    </row>
    <row r="79">
      <c r="A79" s="456" t="inlineStr">
        <is>
          <t>ABC78</t>
        </is>
      </c>
      <c r="B79" s="27" t="n"/>
      <c r="C79" s="3" t="n">
        <v>30</v>
      </c>
      <c r="D79" s="508">
        <f>30/SUMIF('ABC-XYZ분석 (2)'!C:C,안전재고!A79,'ABC-XYZ분석 (2)'!X:X)</f>
        <v/>
      </c>
      <c r="E79" s="509">
        <f>IFERROR('ABC-XYZ분석 (2)'!AE79/30,0)</f>
        <v/>
      </c>
      <c r="F79" s="509">
        <f>_xlfn.XLOOKUP(표7[[#This Row],[SKU
코드]],'ABC-XYZ분석 (2)'!C:C,'ABC-XYZ분석 (2)'!AC:AC)</f>
        <v/>
      </c>
      <c r="G79" s="509">
        <f>_xlfn.XLOOKUP(표7[[#This Row],[SKU
코드]],'ABC-XYZ분석 (2)'!C:C,'ABC-XYZ분석 (2)'!AG:AG)</f>
        <v/>
      </c>
      <c r="H79" s="510">
        <f>_xlfn.XLOOKUP(표7[[#This Row],[ABC]],L:L,N:N)</f>
        <v/>
      </c>
      <c r="I79" s="508">
        <f>ROUND(E79*SQRT(C79)*표7[[#This Row],[안전
계수]]*_xlfn.XLOOKUP(표7[[#This Row],[XYZ]],Q:Q,R:R),0)</f>
        <v/>
      </c>
      <c r="J79" s="281" t="inlineStr">
        <is>
          <t>표준편차×√LT×안전계수x보정계수</t>
        </is>
      </c>
      <c r="L79" s="220" t="n"/>
      <c r="N79" s="143" t="n"/>
      <c r="O79" s="143" t="n"/>
    </row>
    <row r="80">
      <c r="A80" s="456" t="inlineStr">
        <is>
          <t>ABC79</t>
        </is>
      </c>
      <c r="B80" s="27" t="n"/>
      <c r="C80" s="3" t="n">
        <v>30</v>
      </c>
      <c r="D80" s="508">
        <f>30/SUMIF('ABC-XYZ분석 (2)'!C:C,안전재고!A80,'ABC-XYZ분석 (2)'!X:X)</f>
        <v/>
      </c>
      <c r="E80" s="509">
        <f>IFERROR('ABC-XYZ분석 (2)'!AE80/30,0)</f>
        <v/>
      </c>
      <c r="F80" s="509">
        <f>_xlfn.XLOOKUP(표7[[#This Row],[SKU
코드]],'ABC-XYZ분석 (2)'!C:C,'ABC-XYZ분석 (2)'!AC:AC)</f>
        <v/>
      </c>
      <c r="G80" s="509">
        <f>_xlfn.XLOOKUP(표7[[#This Row],[SKU
코드]],'ABC-XYZ분석 (2)'!C:C,'ABC-XYZ분석 (2)'!AG:AG)</f>
        <v/>
      </c>
      <c r="H80" s="510">
        <f>_xlfn.XLOOKUP(표7[[#This Row],[ABC]],L:L,N:N)</f>
        <v/>
      </c>
      <c r="I80" s="508">
        <f>ROUND(E80*SQRT(C80)*표7[[#This Row],[안전
계수]]*_xlfn.XLOOKUP(표7[[#This Row],[XYZ]],Q:Q,R:R),0)</f>
        <v/>
      </c>
      <c r="J80" s="281" t="inlineStr">
        <is>
          <t>표준편차×√LT×안전계수x보정계수</t>
        </is>
      </c>
      <c r="L80" s="220" t="n"/>
      <c r="N80" s="143" t="n"/>
      <c r="O80" s="143" t="n"/>
    </row>
    <row r="81">
      <c r="A81" s="456" t="inlineStr">
        <is>
          <t>ABC80</t>
        </is>
      </c>
      <c r="B81" s="27" t="n"/>
      <c r="C81" s="3" t="n">
        <v>30</v>
      </c>
      <c r="D81" s="508">
        <f>30/SUMIF('ABC-XYZ분석 (2)'!C:C,안전재고!A81,'ABC-XYZ분석 (2)'!X:X)</f>
        <v/>
      </c>
      <c r="E81" s="509">
        <f>IFERROR('ABC-XYZ분석 (2)'!AE81/30,0)</f>
        <v/>
      </c>
      <c r="F81" s="509">
        <f>_xlfn.XLOOKUP(표7[[#This Row],[SKU
코드]],'ABC-XYZ분석 (2)'!C:C,'ABC-XYZ분석 (2)'!AC:AC)</f>
        <v/>
      </c>
      <c r="G81" s="509">
        <f>_xlfn.XLOOKUP(표7[[#This Row],[SKU
코드]],'ABC-XYZ분석 (2)'!C:C,'ABC-XYZ분석 (2)'!AG:AG)</f>
        <v/>
      </c>
      <c r="H81" s="510">
        <f>_xlfn.XLOOKUP(표7[[#This Row],[ABC]],L:L,N:N)</f>
        <v/>
      </c>
      <c r="I81" s="508">
        <f>ROUND(E81*SQRT(C81)*표7[[#This Row],[안전
계수]]*_xlfn.XLOOKUP(표7[[#This Row],[XYZ]],Q:Q,R:R),0)</f>
        <v/>
      </c>
      <c r="J81" s="281" t="inlineStr">
        <is>
          <t>표준편차×√LT×안전계수x보정계수</t>
        </is>
      </c>
      <c r="L81" s="220" t="n"/>
      <c r="N81" s="143" t="n"/>
      <c r="O81" s="143" t="n"/>
    </row>
    <row r="82">
      <c r="A82" s="456" t="inlineStr">
        <is>
          <t>ABC81</t>
        </is>
      </c>
      <c r="B82" s="27" t="n"/>
      <c r="C82" s="3" t="n">
        <v>30</v>
      </c>
      <c r="D82" s="508">
        <f>30/SUMIF('ABC-XYZ분석 (2)'!C:C,안전재고!A82,'ABC-XYZ분석 (2)'!X:X)</f>
        <v/>
      </c>
      <c r="E82" s="509">
        <f>IFERROR('ABC-XYZ분석 (2)'!AE82/30,0)</f>
        <v/>
      </c>
      <c r="F82" s="509">
        <f>_xlfn.XLOOKUP(표7[[#This Row],[SKU
코드]],'ABC-XYZ분석 (2)'!C:C,'ABC-XYZ분석 (2)'!AC:AC)</f>
        <v/>
      </c>
      <c r="G82" s="509">
        <f>_xlfn.XLOOKUP(표7[[#This Row],[SKU
코드]],'ABC-XYZ분석 (2)'!C:C,'ABC-XYZ분석 (2)'!AG:AG)</f>
        <v/>
      </c>
      <c r="H82" s="510">
        <f>_xlfn.XLOOKUP(표7[[#This Row],[ABC]],L:L,N:N)</f>
        <v/>
      </c>
      <c r="I82" s="508">
        <f>ROUND(E82*SQRT(C82)*표7[[#This Row],[안전
계수]]*_xlfn.XLOOKUP(표7[[#This Row],[XYZ]],Q:Q,R:R),0)</f>
        <v/>
      </c>
      <c r="J82" s="281" t="inlineStr">
        <is>
          <t>표준편차×√LT×안전계수x보정계수</t>
        </is>
      </c>
      <c r="L82" s="220" t="n"/>
      <c r="N82" s="143" t="n"/>
      <c r="O82" s="143" t="n"/>
    </row>
    <row r="83">
      <c r="A83" s="456" t="inlineStr">
        <is>
          <t>ABC82</t>
        </is>
      </c>
      <c r="B83" s="27" t="n"/>
      <c r="C83" s="3" t="n">
        <v>30</v>
      </c>
      <c r="D83" s="508">
        <f>30/SUMIF('ABC-XYZ분석 (2)'!C:C,안전재고!A83,'ABC-XYZ분석 (2)'!X:X)</f>
        <v/>
      </c>
      <c r="E83" s="509">
        <f>IFERROR('ABC-XYZ분석 (2)'!AE83/30,0)</f>
        <v/>
      </c>
      <c r="F83" s="509">
        <f>_xlfn.XLOOKUP(표7[[#This Row],[SKU
코드]],'ABC-XYZ분석 (2)'!C:C,'ABC-XYZ분석 (2)'!AC:AC)</f>
        <v/>
      </c>
      <c r="G83" s="509">
        <f>_xlfn.XLOOKUP(표7[[#This Row],[SKU
코드]],'ABC-XYZ분석 (2)'!C:C,'ABC-XYZ분석 (2)'!AG:AG)</f>
        <v/>
      </c>
      <c r="H83" s="510">
        <f>_xlfn.XLOOKUP(표7[[#This Row],[ABC]],L:L,N:N)</f>
        <v/>
      </c>
      <c r="I83" s="508">
        <f>ROUND(E83*SQRT(C83)*표7[[#This Row],[안전
계수]]*_xlfn.XLOOKUP(표7[[#This Row],[XYZ]],Q:Q,R:R),0)</f>
        <v/>
      </c>
      <c r="J83" s="281" t="inlineStr">
        <is>
          <t>표준편차×√LT×안전계수x보정계수</t>
        </is>
      </c>
      <c r="L83" s="220" t="n"/>
      <c r="N83" s="143" t="n"/>
      <c r="O83" s="143" t="n"/>
    </row>
    <row r="84">
      <c r="A84" s="456" t="inlineStr">
        <is>
          <t>ABC83</t>
        </is>
      </c>
      <c r="B84" s="27" t="n"/>
      <c r="C84" s="3" t="n">
        <v>30</v>
      </c>
      <c r="D84" s="508">
        <f>30/SUMIF('ABC-XYZ분석 (2)'!C:C,안전재고!A84,'ABC-XYZ분석 (2)'!X:X)</f>
        <v/>
      </c>
      <c r="E84" s="509">
        <f>IFERROR('ABC-XYZ분석 (2)'!AE84/30,0)</f>
        <v/>
      </c>
      <c r="F84" s="509">
        <f>_xlfn.XLOOKUP(표7[[#This Row],[SKU
코드]],'ABC-XYZ분석 (2)'!C:C,'ABC-XYZ분석 (2)'!AC:AC)</f>
        <v/>
      </c>
      <c r="G84" s="509">
        <f>_xlfn.XLOOKUP(표7[[#This Row],[SKU
코드]],'ABC-XYZ분석 (2)'!C:C,'ABC-XYZ분석 (2)'!AG:AG)</f>
        <v/>
      </c>
      <c r="H84" s="510">
        <f>_xlfn.XLOOKUP(표7[[#This Row],[ABC]],L:L,N:N)</f>
        <v/>
      </c>
      <c r="I84" s="508">
        <f>ROUND(E84*SQRT(C84)*표7[[#This Row],[안전
계수]]*_xlfn.XLOOKUP(표7[[#This Row],[XYZ]],Q:Q,R:R),0)</f>
        <v/>
      </c>
      <c r="J84" s="281" t="inlineStr">
        <is>
          <t>표준편차×√LT×안전계수x보정계수</t>
        </is>
      </c>
      <c r="L84" s="220" t="n"/>
      <c r="N84" s="143" t="n"/>
      <c r="O84" s="143" t="n"/>
    </row>
    <row r="85">
      <c r="A85" s="456" t="inlineStr">
        <is>
          <t>ABC84</t>
        </is>
      </c>
      <c r="B85" s="27" t="n"/>
      <c r="C85" s="3" t="n">
        <v>30</v>
      </c>
      <c r="D85" s="508">
        <f>30/SUMIF('ABC-XYZ분석 (2)'!C:C,안전재고!A85,'ABC-XYZ분석 (2)'!X:X)</f>
        <v/>
      </c>
      <c r="E85" s="509">
        <f>IFERROR('ABC-XYZ분석 (2)'!AE85/30,0)</f>
        <v/>
      </c>
      <c r="F85" s="509">
        <f>_xlfn.XLOOKUP(표7[[#This Row],[SKU
코드]],'ABC-XYZ분석 (2)'!C:C,'ABC-XYZ분석 (2)'!AC:AC)</f>
        <v/>
      </c>
      <c r="G85" s="509">
        <f>_xlfn.XLOOKUP(표7[[#This Row],[SKU
코드]],'ABC-XYZ분석 (2)'!C:C,'ABC-XYZ분석 (2)'!AG:AG)</f>
        <v/>
      </c>
      <c r="H85" s="510">
        <f>_xlfn.XLOOKUP(표7[[#This Row],[ABC]],L:L,N:N)</f>
        <v/>
      </c>
      <c r="I85" s="508">
        <f>ROUND(E85*SQRT(C85)*표7[[#This Row],[안전
계수]]*_xlfn.XLOOKUP(표7[[#This Row],[XYZ]],Q:Q,R:R),0)</f>
        <v/>
      </c>
      <c r="J85" s="281" t="inlineStr">
        <is>
          <t>표준편차×√LT×안전계수x보정계수</t>
        </is>
      </c>
      <c r="L85" s="220" t="n"/>
      <c r="N85" s="143" t="n"/>
      <c r="O85" s="143" t="n"/>
    </row>
    <row r="86">
      <c r="A86" s="456" t="inlineStr">
        <is>
          <t>ABC85</t>
        </is>
      </c>
      <c r="B86" s="27" t="n"/>
      <c r="C86" s="3" t="n">
        <v>30</v>
      </c>
      <c r="D86" s="508">
        <f>30/SUMIF('ABC-XYZ분석 (2)'!C:C,안전재고!A86,'ABC-XYZ분석 (2)'!X:X)</f>
        <v/>
      </c>
      <c r="E86" s="509">
        <f>IFERROR('ABC-XYZ분석 (2)'!AE86/30,0)</f>
        <v/>
      </c>
      <c r="F86" s="509">
        <f>_xlfn.XLOOKUP(표7[[#This Row],[SKU
코드]],'ABC-XYZ분석 (2)'!C:C,'ABC-XYZ분석 (2)'!AC:AC)</f>
        <v/>
      </c>
      <c r="G86" s="509">
        <f>_xlfn.XLOOKUP(표7[[#This Row],[SKU
코드]],'ABC-XYZ분석 (2)'!C:C,'ABC-XYZ분석 (2)'!AG:AG)</f>
        <v/>
      </c>
      <c r="H86" s="510">
        <f>_xlfn.XLOOKUP(표7[[#This Row],[ABC]],L:L,N:N)</f>
        <v/>
      </c>
      <c r="I86" s="508">
        <f>ROUND(E86*SQRT(C86)*표7[[#This Row],[안전
계수]]*_xlfn.XLOOKUP(표7[[#This Row],[XYZ]],Q:Q,R:R),0)</f>
        <v/>
      </c>
      <c r="J86" s="281" t="inlineStr">
        <is>
          <t>표준편차×√LT×안전계수x보정계수</t>
        </is>
      </c>
      <c r="L86" s="220" t="n"/>
      <c r="N86" s="143" t="n"/>
      <c r="O86" s="143" t="n"/>
    </row>
    <row r="87">
      <c r="A87" s="456" t="inlineStr">
        <is>
          <t>ABC86</t>
        </is>
      </c>
      <c r="B87" s="27" t="n"/>
      <c r="C87" s="3" t="n">
        <v>30</v>
      </c>
      <c r="D87" s="508">
        <f>30/SUMIF('ABC-XYZ분석 (2)'!C:C,안전재고!A87,'ABC-XYZ분석 (2)'!X:X)</f>
        <v/>
      </c>
      <c r="E87" s="509">
        <f>IFERROR('ABC-XYZ분석 (2)'!AE87/30,0)</f>
        <v/>
      </c>
      <c r="F87" s="509">
        <f>_xlfn.XLOOKUP(표7[[#This Row],[SKU
코드]],'ABC-XYZ분석 (2)'!C:C,'ABC-XYZ분석 (2)'!AC:AC)</f>
        <v/>
      </c>
      <c r="G87" s="509">
        <f>_xlfn.XLOOKUP(표7[[#This Row],[SKU
코드]],'ABC-XYZ분석 (2)'!C:C,'ABC-XYZ분석 (2)'!AG:AG)</f>
        <v/>
      </c>
      <c r="H87" s="510">
        <f>_xlfn.XLOOKUP(표7[[#This Row],[ABC]],L:L,N:N)</f>
        <v/>
      </c>
      <c r="I87" s="508">
        <f>ROUND(E87*SQRT(C87)*표7[[#This Row],[안전
계수]]*_xlfn.XLOOKUP(표7[[#This Row],[XYZ]],Q:Q,R:R),0)</f>
        <v/>
      </c>
      <c r="J87" s="281" t="inlineStr">
        <is>
          <t>표준편차×√LT×안전계수x보정계수</t>
        </is>
      </c>
      <c r="L87" s="220" t="n"/>
      <c r="N87" s="143" t="n"/>
      <c r="O87" s="143" t="n"/>
    </row>
    <row r="88">
      <c r="A88" s="456" t="inlineStr">
        <is>
          <t>ABC87</t>
        </is>
      </c>
      <c r="B88" s="27" t="n"/>
      <c r="C88" s="3" t="n">
        <v>30</v>
      </c>
      <c r="D88" s="508">
        <f>30/SUMIF('ABC-XYZ분석 (2)'!C:C,안전재고!A88,'ABC-XYZ분석 (2)'!X:X)</f>
        <v/>
      </c>
      <c r="E88" s="509">
        <f>IFERROR('ABC-XYZ분석 (2)'!AE88/30,0)</f>
        <v/>
      </c>
      <c r="F88" s="509">
        <f>_xlfn.XLOOKUP(표7[[#This Row],[SKU
코드]],'ABC-XYZ분석 (2)'!C:C,'ABC-XYZ분석 (2)'!AC:AC)</f>
        <v/>
      </c>
      <c r="G88" s="509">
        <f>_xlfn.XLOOKUP(표7[[#This Row],[SKU
코드]],'ABC-XYZ분석 (2)'!C:C,'ABC-XYZ분석 (2)'!AG:AG)</f>
        <v/>
      </c>
      <c r="H88" s="510">
        <f>_xlfn.XLOOKUP(표7[[#This Row],[ABC]],L:L,N:N)</f>
        <v/>
      </c>
      <c r="I88" s="508">
        <f>ROUND(E88*SQRT(C88)*표7[[#This Row],[안전
계수]]*_xlfn.XLOOKUP(표7[[#This Row],[XYZ]],Q:Q,R:R),0)</f>
        <v/>
      </c>
      <c r="J88" s="281" t="inlineStr">
        <is>
          <t>표준편차×√LT×안전계수x보정계수</t>
        </is>
      </c>
      <c r="L88" s="220" t="n"/>
      <c r="N88" s="143" t="n"/>
      <c r="O88" s="143" t="n"/>
    </row>
    <row r="89">
      <c r="A89" s="456" t="inlineStr">
        <is>
          <t>ABC88</t>
        </is>
      </c>
      <c r="B89" s="27" t="n"/>
      <c r="C89" s="3" t="n">
        <v>30</v>
      </c>
      <c r="D89" s="508">
        <f>30/SUMIF('ABC-XYZ분석 (2)'!C:C,안전재고!A89,'ABC-XYZ분석 (2)'!X:X)</f>
        <v/>
      </c>
      <c r="E89" s="509">
        <f>IFERROR('ABC-XYZ분석 (2)'!AE89/30,0)</f>
        <v/>
      </c>
      <c r="F89" s="509">
        <f>_xlfn.XLOOKUP(표7[[#This Row],[SKU
코드]],'ABC-XYZ분석 (2)'!C:C,'ABC-XYZ분석 (2)'!AC:AC)</f>
        <v/>
      </c>
      <c r="G89" s="509">
        <f>_xlfn.XLOOKUP(표7[[#This Row],[SKU
코드]],'ABC-XYZ분석 (2)'!C:C,'ABC-XYZ분석 (2)'!AG:AG)</f>
        <v/>
      </c>
      <c r="H89" s="510">
        <f>_xlfn.XLOOKUP(표7[[#This Row],[ABC]],L:L,N:N)</f>
        <v/>
      </c>
      <c r="I89" s="508">
        <f>ROUND(E89*SQRT(C89)*표7[[#This Row],[안전
계수]]*_xlfn.XLOOKUP(표7[[#This Row],[XYZ]],Q:Q,R:R),0)</f>
        <v/>
      </c>
      <c r="J89" s="281" t="inlineStr">
        <is>
          <t>표준편차×√LT×안전계수x보정계수</t>
        </is>
      </c>
      <c r="L89" s="220" t="n"/>
      <c r="N89" s="143" t="n"/>
      <c r="O89" s="143" t="n"/>
    </row>
    <row r="90">
      <c r="A90" s="456" t="inlineStr">
        <is>
          <t>ABC89</t>
        </is>
      </c>
      <c r="B90" s="27" t="n"/>
      <c r="C90" s="3" t="n">
        <v>30</v>
      </c>
      <c r="D90" s="508">
        <f>30/SUMIF('ABC-XYZ분석 (2)'!C:C,안전재고!A90,'ABC-XYZ분석 (2)'!X:X)</f>
        <v/>
      </c>
      <c r="E90" s="509">
        <f>IFERROR('ABC-XYZ분석 (2)'!AE90/30,0)</f>
        <v/>
      </c>
      <c r="F90" s="509">
        <f>_xlfn.XLOOKUP(표7[[#This Row],[SKU
코드]],'ABC-XYZ분석 (2)'!C:C,'ABC-XYZ분석 (2)'!AC:AC)</f>
        <v/>
      </c>
      <c r="G90" s="509">
        <f>_xlfn.XLOOKUP(표7[[#This Row],[SKU
코드]],'ABC-XYZ분석 (2)'!C:C,'ABC-XYZ분석 (2)'!AG:AG)</f>
        <v/>
      </c>
      <c r="H90" s="510">
        <f>_xlfn.XLOOKUP(표7[[#This Row],[ABC]],L:L,N:N)</f>
        <v/>
      </c>
      <c r="I90" s="508">
        <f>ROUND(E90*SQRT(C90)*표7[[#This Row],[안전
계수]]*_xlfn.XLOOKUP(표7[[#This Row],[XYZ]],Q:Q,R:R),0)</f>
        <v/>
      </c>
      <c r="J90" s="281" t="inlineStr">
        <is>
          <t>표준편차×√LT×안전계수x보정계수</t>
        </is>
      </c>
      <c r="L90" s="220" t="n"/>
      <c r="N90" s="143" t="n"/>
      <c r="O90" s="143" t="n"/>
    </row>
    <row r="91">
      <c r="A91" s="456" t="inlineStr">
        <is>
          <t>ABC90</t>
        </is>
      </c>
      <c r="B91" s="27" t="n"/>
      <c r="C91" s="3" t="n">
        <v>30</v>
      </c>
      <c r="D91" s="508">
        <f>30/SUMIF('ABC-XYZ분석 (2)'!C:C,안전재고!A91,'ABC-XYZ분석 (2)'!X:X)</f>
        <v/>
      </c>
      <c r="E91" s="509">
        <f>IFERROR('ABC-XYZ분석 (2)'!AE91/30,0)</f>
        <v/>
      </c>
      <c r="F91" s="509">
        <f>_xlfn.XLOOKUP(표7[[#This Row],[SKU
코드]],'ABC-XYZ분석 (2)'!C:C,'ABC-XYZ분석 (2)'!AC:AC)</f>
        <v/>
      </c>
      <c r="G91" s="509">
        <f>_xlfn.XLOOKUP(표7[[#This Row],[SKU
코드]],'ABC-XYZ분석 (2)'!C:C,'ABC-XYZ분석 (2)'!AG:AG)</f>
        <v/>
      </c>
      <c r="H91" s="510">
        <f>_xlfn.XLOOKUP(표7[[#This Row],[ABC]],L:L,N:N)</f>
        <v/>
      </c>
      <c r="I91" s="508">
        <f>ROUND(E91*SQRT(C91)*표7[[#This Row],[안전
계수]]*_xlfn.XLOOKUP(표7[[#This Row],[XYZ]],Q:Q,R:R),0)</f>
        <v/>
      </c>
      <c r="J91" s="281" t="inlineStr">
        <is>
          <t>표준편차×√LT×안전계수x보정계수</t>
        </is>
      </c>
      <c r="L91" s="220" t="n"/>
      <c r="N91" s="143" t="n"/>
      <c r="O91" s="143" t="n"/>
    </row>
    <row r="92">
      <c r="A92" s="456" t="inlineStr">
        <is>
          <t>ABC91</t>
        </is>
      </c>
      <c r="B92" s="27" t="n"/>
      <c r="C92" s="3" t="n">
        <v>30</v>
      </c>
      <c r="D92" s="508">
        <f>30/SUMIF('ABC-XYZ분석 (2)'!C:C,안전재고!A92,'ABC-XYZ분석 (2)'!X:X)</f>
        <v/>
      </c>
      <c r="E92" s="509">
        <f>IFERROR('ABC-XYZ분석 (2)'!AE92/30,0)</f>
        <v/>
      </c>
      <c r="F92" s="509">
        <f>_xlfn.XLOOKUP(표7[[#This Row],[SKU
코드]],'ABC-XYZ분석 (2)'!C:C,'ABC-XYZ분석 (2)'!AC:AC)</f>
        <v/>
      </c>
      <c r="G92" s="509">
        <f>_xlfn.XLOOKUP(표7[[#This Row],[SKU
코드]],'ABC-XYZ분석 (2)'!C:C,'ABC-XYZ분석 (2)'!AG:AG)</f>
        <v/>
      </c>
      <c r="H92" s="510">
        <f>_xlfn.XLOOKUP(표7[[#This Row],[ABC]],L:L,N:N)</f>
        <v/>
      </c>
      <c r="I92" s="508">
        <f>ROUND(E92*SQRT(C92)*표7[[#This Row],[안전
계수]]*_xlfn.XLOOKUP(표7[[#This Row],[XYZ]],Q:Q,R:R),0)</f>
        <v/>
      </c>
      <c r="J92" s="281" t="inlineStr">
        <is>
          <t>표준편차×√LT×안전계수x보정계수</t>
        </is>
      </c>
      <c r="L92" s="220" t="n"/>
      <c r="N92" s="143" t="n"/>
      <c r="O92" s="143" t="n"/>
    </row>
    <row r="93">
      <c r="A93" s="456" t="inlineStr">
        <is>
          <t>ABC92</t>
        </is>
      </c>
      <c r="B93" s="27" t="n"/>
      <c r="C93" s="3" t="n">
        <v>30</v>
      </c>
      <c r="D93" s="508">
        <f>30/SUMIF('ABC-XYZ분석 (2)'!C:C,안전재고!A93,'ABC-XYZ분석 (2)'!X:X)</f>
        <v/>
      </c>
      <c r="E93" s="509">
        <f>IFERROR('ABC-XYZ분석 (2)'!AE93/30,0)</f>
        <v/>
      </c>
      <c r="F93" s="509">
        <f>_xlfn.XLOOKUP(표7[[#This Row],[SKU
코드]],'ABC-XYZ분석 (2)'!C:C,'ABC-XYZ분석 (2)'!AC:AC)</f>
        <v/>
      </c>
      <c r="G93" s="509">
        <f>_xlfn.XLOOKUP(표7[[#This Row],[SKU
코드]],'ABC-XYZ분석 (2)'!C:C,'ABC-XYZ분석 (2)'!AG:AG)</f>
        <v/>
      </c>
      <c r="H93" s="510">
        <f>_xlfn.XLOOKUP(표7[[#This Row],[ABC]],L:L,N:N)</f>
        <v/>
      </c>
      <c r="I93" s="508">
        <f>ROUND(E93*SQRT(C93)*표7[[#This Row],[안전
계수]]*_xlfn.XLOOKUP(표7[[#This Row],[XYZ]],Q:Q,R:R),0)</f>
        <v/>
      </c>
      <c r="J93" s="281" t="inlineStr">
        <is>
          <t>표준편차×√LT×안전계수x보정계수</t>
        </is>
      </c>
      <c r="L93" s="220" t="n"/>
      <c r="N93" s="143" t="n"/>
      <c r="O93" s="143" t="n"/>
    </row>
    <row r="94">
      <c r="A94" s="456" t="inlineStr">
        <is>
          <t>ABC93</t>
        </is>
      </c>
      <c r="B94" s="27" t="n"/>
      <c r="C94" s="3" t="n">
        <v>30</v>
      </c>
      <c r="D94" s="508">
        <f>30/SUMIF('ABC-XYZ분석 (2)'!C:C,안전재고!A94,'ABC-XYZ분석 (2)'!X:X)</f>
        <v/>
      </c>
      <c r="E94" s="509">
        <f>IFERROR('ABC-XYZ분석 (2)'!AE94/30,0)</f>
        <v/>
      </c>
      <c r="F94" s="509">
        <f>_xlfn.XLOOKUP(표7[[#This Row],[SKU
코드]],'ABC-XYZ분석 (2)'!C:C,'ABC-XYZ분석 (2)'!AC:AC)</f>
        <v/>
      </c>
      <c r="G94" s="509">
        <f>_xlfn.XLOOKUP(표7[[#This Row],[SKU
코드]],'ABC-XYZ분석 (2)'!C:C,'ABC-XYZ분석 (2)'!AG:AG)</f>
        <v/>
      </c>
      <c r="H94" s="510">
        <f>_xlfn.XLOOKUP(표7[[#This Row],[ABC]],L:L,N:N)</f>
        <v/>
      </c>
      <c r="I94" s="508">
        <f>ROUND(E94*SQRT(C94)*표7[[#This Row],[안전
계수]]*_xlfn.XLOOKUP(표7[[#This Row],[XYZ]],Q:Q,R:R),0)</f>
        <v/>
      </c>
      <c r="J94" s="281" t="inlineStr">
        <is>
          <t>표준편차×√LT×안전계수x보정계수</t>
        </is>
      </c>
      <c r="L94" s="220" t="n"/>
      <c r="N94" s="143" t="n"/>
      <c r="O94" s="143" t="n"/>
    </row>
    <row r="95">
      <c r="A95" s="456" t="inlineStr">
        <is>
          <t>ABC94</t>
        </is>
      </c>
      <c r="B95" s="27" t="n"/>
      <c r="C95" s="3" t="n">
        <v>30</v>
      </c>
      <c r="D95" s="508">
        <f>30/SUMIF('ABC-XYZ분석 (2)'!C:C,안전재고!A95,'ABC-XYZ분석 (2)'!X:X)</f>
        <v/>
      </c>
      <c r="E95" s="509">
        <f>IFERROR('ABC-XYZ분석 (2)'!AE95/30,0)</f>
        <v/>
      </c>
      <c r="F95" s="509">
        <f>_xlfn.XLOOKUP(표7[[#This Row],[SKU
코드]],'ABC-XYZ분석 (2)'!C:C,'ABC-XYZ분석 (2)'!AC:AC)</f>
        <v/>
      </c>
      <c r="G95" s="509">
        <f>_xlfn.XLOOKUP(표7[[#This Row],[SKU
코드]],'ABC-XYZ분석 (2)'!C:C,'ABC-XYZ분석 (2)'!AG:AG)</f>
        <v/>
      </c>
      <c r="H95" s="510">
        <f>_xlfn.XLOOKUP(표7[[#This Row],[ABC]],L:L,N:N)</f>
        <v/>
      </c>
      <c r="I95" s="508">
        <f>ROUND(E95*SQRT(C95)*표7[[#This Row],[안전
계수]]*_xlfn.XLOOKUP(표7[[#This Row],[XYZ]],Q:Q,R:R),0)</f>
        <v/>
      </c>
      <c r="J95" s="281" t="inlineStr">
        <is>
          <t>표준편차×√LT×안전계수x보정계수</t>
        </is>
      </c>
      <c r="L95" s="220" t="n"/>
      <c r="N95" s="143" t="n"/>
      <c r="O95" s="143" t="n"/>
    </row>
    <row r="96">
      <c r="A96" s="456" t="inlineStr">
        <is>
          <t>ABC95</t>
        </is>
      </c>
      <c r="B96" s="27" t="n"/>
      <c r="C96" s="3" t="n">
        <v>30</v>
      </c>
      <c r="D96" s="508">
        <f>30/SUMIF('ABC-XYZ분석 (2)'!C:C,안전재고!A96,'ABC-XYZ분석 (2)'!X:X)</f>
        <v/>
      </c>
      <c r="E96" s="509">
        <f>IFERROR('ABC-XYZ분석 (2)'!AE96/30,0)</f>
        <v/>
      </c>
      <c r="F96" s="509">
        <f>_xlfn.XLOOKUP(표7[[#This Row],[SKU
코드]],'ABC-XYZ분석 (2)'!C:C,'ABC-XYZ분석 (2)'!AC:AC)</f>
        <v/>
      </c>
      <c r="G96" s="509">
        <f>_xlfn.XLOOKUP(표7[[#This Row],[SKU
코드]],'ABC-XYZ분석 (2)'!C:C,'ABC-XYZ분석 (2)'!AG:AG)</f>
        <v/>
      </c>
      <c r="H96" s="510">
        <f>_xlfn.XLOOKUP(표7[[#This Row],[ABC]],L:L,N:N)</f>
        <v/>
      </c>
      <c r="I96" s="508">
        <f>ROUND(E96*SQRT(C96)*표7[[#This Row],[안전
계수]]*_xlfn.XLOOKUP(표7[[#This Row],[XYZ]],Q:Q,R:R),0)</f>
        <v/>
      </c>
      <c r="J96" s="281" t="inlineStr">
        <is>
          <t>표준편차×√LT×안전계수x보정계수</t>
        </is>
      </c>
      <c r="L96" s="220" t="n"/>
      <c r="N96" s="143" t="n"/>
      <c r="O96" s="143" t="n"/>
    </row>
    <row r="97">
      <c r="A97" s="456" t="inlineStr">
        <is>
          <t>ABC96</t>
        </is>
      </c>
      <c r="B97" s="27" t="n"/>
      <c r="C97" s="3" t="n">
        <v>30</v>
      </c>
      <c r="D97" s="508">
        <f>30/SUMIF('ABC-XYZ분석 (2)'!C:C,안전재고!A97,'ABC-XYZ분석 (2)'!X:X)</f>
        <v/>
      </c>
      <c r="E97" s="509">
        <f>IFERROR('ABC-XYZ분석 (2)'!AE97/30,0)</f>
        <v/>
      </c>
      <c r="F97" s="509">
        <f>_xlfn.XLOOKUP(표7[[#This Row],[SKU
코드]],'ABC-XYZ분석 (2)'!C:C,'ABC-XYZ분석 (2)'!AC:AC)</f>
        <v/>
      </c>
      <c r="G97" s="509">
        <f>_xlfn.XLOOKUP(표7[[#This Row],[SKU
코드]],'ABC-XYZ분석 (2)'!C:C,'ABC-XYZ분석 (2)'!AG:AG)</f>
        <v/>
      </c>
      <c r="H97" s="510">
        <f>_xlfn.XLOOKUP(표7[[#This Row],[ABC]],L:L,N:N)</f>
        <v/>
      </c>
      <c r="I97" s="508">
        <f>ROUND(E97*SQRT(C97)*표7[[#This Row],[안전
계수]]*_xlfn.XLOOKUP(표7[[#This Row],[XYZ]],Q:Q,R:R),0)</f>
        <v/>
      </c>
      <c r="J97" s="281" t="inlineStr">
        <is>
          <t>표준편차×√LT×안전계수x보정계수</t>
        </is>
      </c>
      <c r="L97" s="220" t="n"/>
      <c r="N97" s="143" t="n"/>
      <c r="O97" s="143" t="n"/>
    </row>
    <row r="98">
      <c r="A98" s="456" t="inlineStr">
        <is>
          <t>ABC97</t>
        </is>
      </c>
      <c r="B98" s="27" t="n"/>
      <c r="C98" s="3" t="n">
        <v>30</v>
      </c>
      <c r="D98" s="508">
        <f>30/SUMIF('ABC-XYZ분석 (2)'!C:C,안전재고!A98,'ABC-XYZ분석 (2)'!X:X)</f>
        <v/>
      </c>
      <c r="E98" s="509">
        <f>IFERROR('ABC-XYZ분석 (2)'!AE98/30,0)</f>
        <v/>
      </c>
      <c r="F98" s="509">
        <f>_xlfn.XLOOKUP(표7[[#This Row],[SKU
코드]],'ABC-XYZ분석 (2)'!C:C,'ABC-XYZ분석 (2)'!AC:AC)</f>
        <v/>
      </c>
      <c r="G98" s="509">
        <f>_xlfn.XLOOKUP(표7[[#This Row],[SKU
코드]],'ABC-XYZ분석 (2)'!C:C,'ABC-XYZ분석 (2)'!AG:AG)</f>
        <v/>
      </c>
      <c r="H98" s="510">
        <f>_xlfn.XLOOKUP(표7[[#This Row],[ABC]],L:L,N:N)</f>
        <v/>
      </c>
      <c r="I98" s="508">
        <f>ROUND(E98*SQRT(C98)*표7[[#This Row],[안전
계수]]*_xlfn.XLOOKUP(표7[[#This Row],[XYZ]],Q:Q,R:R),0)</f>
        <v/>
      </c>
      <c r="J98" s="281" t="inlineStr">
        <is>
          <t>표준편차×√LT×안전계수x보정계수</t>
        </is>
      </c>
      <c r="L98" s="220" t="n"/>
      <c r="N98" s="143" t="n"/>
      <c r="O98" s="143" t="n"/>
    </row>
    <row r="99">
      <c r="A99" s="456" t="inlineStr">
        <is>
          <t>ABC98</t>
        </is>
      </c>
      <c r="B99" s="27" t="n"/>
      <c r="C99" s="3" t="n">
        <v>30</v>
      </c>
      <c r="D99" s="508">
        <f>30/SUMIF('ABC-XYZ분석 (2)'!C:C,안전재고!A99,'ABC-XYZ분석 (2)'!X:X)</f>
        <v/>
      </c>
      <c r="E99" s="509">
        <f>IFERROR('ABC-XYZ분석 (2)'!AE99/30,0)</f>
        <v/>
      </c>
      <c r="F99" s="509">
        <f>_xlfn.XLOOKUP(표7[[#This Row],[SKU
코드]],'ABC-XYZ분석 (2)'!C:C,'ABC-XYZ분석 (2)'!AC:AC)</f>
        <v/>
      </c>
      <c r="G99" s="509">
        <f>_xlfn.XLOOKUP(표7[[#This Row],[SKU
코드]],'ABC-XYZ분석 (2)'!C:C,'ABC-XYZ분석 (2)'!AG:AG)</f>
        <v/>
      </c>
      <c r="H99" s="510">
        <f>_xlfn.XLOOKUP(표7[[#This Row],[ABC]],L:L,N:N)</f>
        <v/>
      </c>
      <c r="I99" s="508">
        <f>ROUND(E99*SQRT(C99)*표7[[#This Row],[안전
계수]]*_xlfn.XLOOKUP(표7[[#This Row],[XYZ]],Q:Q,R:R),0)</f>
        <v/>
      </c>
      <c r="J99" s="281" t="inlineStr">
        <is>
          <t>표준편차×√LT×안전계수x보정계수</t>
        </is>
      </c>
      <c r="L99" s="220" t="n"/>
      <c r="N99" s="143" t="n"/>
      <c r="O99" s="143" t="n"/>
    </row>
    <row r="100">
      <c r="A100" s="456" t="inlineStr">
        <is>
          <t>ABC99</t>
        </is>
      </c>
      <c r="B100" s="27" t="n"/>
      <c r="C100" s="3" t="n">
        <v>30</v>
      </c>
      <c r="D100" s="508">
        <f>30/SUMIF('ABC-XYZ분석 (2)'!C:C,안전재고!A100,'ABC-XYZ분석 (2)'!X:X)</f>
        <v/>
      </c>
      <c r="E100" s="509">
        <f>IFERROR('ABC-XYZ분석 (2)'!AE100/30,0)</f>
        <v/>
      </c>
      <c r="F100" s="509">
        <f>_xlfn.XLOOKUP(표7[[#This Row],[SKU
코드]],'ABC-XYZ분석 (2)'!C:C,'ABC-XYZ분석 (2)'!AC:AC)</f>
        <v/>
      </c>
      <c r="G100" s="513">
        <f>_xlfn.XLOOKUP(표7[[#This Row],[SKU
코드]],'ABC-XYZ분석 (2)'!C:C,'ABC-XYZ분석 (2)'!AG:AG)</f>
        <v/>
      </c>
      <c r="H100" s="510">
        <f>_xlfn.XLOOKUP(표7[[#This Row],[ABC]],L:L,N:N)</f>
        <v/>
      </c>
      <c r="I100" s="508">
        <f>ROUND(E100*SQRT(C100)*표7[[#This Row],[안전
계수]]*_xlfn.XLOOKUP(표7[[#This Row],[XYZ]],Q:Q,R:R),0)</f>
        <v/>
      </c>
      <c r="J100" s="281" t="inlineStr">
        <is>
          <t>표준편차×√LT×안전계수x보정계수</t>
        </is>
      </c>
      <c r="L100" s="220" t="n"/>
      <c r="N100" s="143" t="n"/>
      <c r="O100" s="143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BR100"/>
  <sheetViews>
    <sheetView showGridLines="0" zoomScaleNormal="100" workbookViewId="0">
      <pane xSplit="8" ySplit="1" topLeftCell="I2" activePane="bottomRight" state="frozen"/>
      <selection activeCell="AU31" sqref="AU31"/>
      <selection pane="topRight" activeCell="AU31" sqref="AU31"/>
      <selection pane="bottomLeft" activeCell="AU31" sqref="AU31"/>
      <selection pane="bottomRight" activeCell="AF2" sqref="AF2"/>
    </sheetView>
  </sheetViews>
  <sheetFormatPr baseColWidth="8" defaultColWidth="8.625" defaultRowHeight="16.5"/>
  <cols>
    <col hidden="1" width="7.5" customWidth="1" style="41" min="1" max="1"/>
    <col width="6.375" customWidth="1" style="41" min="2" max="2"/>
    <col width="11.125" customWidth="1" style="41" min="3" max="3"/>
    <col hidden="1" outlineLevel="1" width="12.5" customWidth="1" style="41" min="4" max="4"/>
    <col hidden="1" outlineLevel="1" width="5.75" customWidth="1" style="41" min="5" max="5"/>
    <col hidden="1" outlineLevel="1" width="11.375" customWidth="1" style="41" min="6" max="6"/>
    <col collapsed="1" width="11.375" bestFit="1" customWidth="1" style="41" min="7" max="7"/>
    <col width="7.875" customWidth="1" style="41" min="8" max="8"/>
    <col width="7.125" customWidth="1" style="32" min="9" max="9"/>
    <col outlineLevel="1" collapsed="1" width="9.875" customWidth="1" style="41" min="10" max="10"/>
    <col outlineLevel="1" width="9.875" customWidth="1" style="41" min="11" max="21"/>
    <col outlineLevel="1" width="9.875" customWidth="1" style="514" min="22" max="22"/>
    <col width="10.625" customWidth="1" style="514" min="23" max="23"/>
    <col width="13.875" customWidth="1" style="514" min="24" max="24"/>
    <col width="13.625" bestFit="1" customWidth="1" style="514" min="25" max="25"/>
    <col width="13" bestFit="1" customWidth="1" style="514" min="26" max="26"/>
    <col width="9" customWidth="1" style="515" min="27" max="27"/>
    <col width="8.875" customWidth="1" style="74" min="28" max="28"/>
    <col width="5.625" customWidth="1" style="32" min="29" max="29"/>
    <col width="12.875" customWidth="1" style="514" min="30" max="30"/>
    <col width="8" customWidth="1" style="514" min="31" max="31"/>
    <col width="9.75" customWidth="1" style="32" min="32" max="32"/>
    <col width="5.5" bestFit="1" customWidth="1" style="32" min="33" max="33"/>
    <col width="9.875" bestFit="1" customWidth="1" style="32" min="34" max="34"/>
    <col width="17" customWidth="1" style="516" min="35" max="35"/>
    <col width="11.5" customWidth="1" style="514" min="36" max="36"/>
    <col width="23.875" bestFit="1" customWidth="1" style="41" min="37" max="37"/>
    <col hidden="1" width="5.5" customWidth="1" style="41" min="38" max="38"/>
    <col hidden="1" width="5.375" customWidth="1" style="41" min="39" max="39"/>
    <col hidden="1" width="6.125" customWidth="1" style="41" min="40" max="40"/>
    <col hidden="1" width="14.75" customWidth="1" style="514" min="41" max="41"/>
    <col hidden="1" width="6.125" customWidth="1" style="514" min="42" max="42"/>
    <col hidden="1" width="15.875" customWidth="1" style="41" min="43" max="43"/>
    <col width="3" customWidth="1" style="41" min="44" max="44"/>
    <col width="8.125" customWidth="1" style="41" min="45" max="45"/>
    <col width="14" customWidth="1" style="41" min="46" max="46"/>
    <col width="14.875" customWidth="1" style="41" min="47" max="47"/>
    <col width="12.625" customWidth="1" style="41" min="48" max="48"/>
    <col width="8.875" customWidth="1" style="41" min="49" max="49"/>
    <col width="9.875" customWidth="1" style="41" min="50" max="50"/>
    <col width="10.875" customWidth="1" style="41" min="51" max="51"/>
    <col width="5.25" customWidth="1" style="32" min="52" max="52"/>
    <col width="5.25" customWidth="1" style="41" min="53" max="53"/>
    <col hidden="1" width="15.375" customWidth="1" style="514" min="54" max="54"/>
    <col width="5.25" customWidth="1" style="41" min="55" max="55"/>
    <col width="9.625" bestFit="1" customWidth="1" style="41" min="56" max="56"/>
    <col width="11.625" bestFit="1" customWidth="1" style="41" min="57" max="57"/>
    <col width="11.625" customWidth="1" style="41" min="58" max="60"/>
    <col width="12.625" bestFit="1" customWidth="1" style="41" min="61" max="61"/>
    <col width="14.625" bestFit="1" customWidth="1" style="41" min="62" max="63"/>
    <col hidden="1" width="22" customWidth="1" style="41" min="64" max="64"/>
    <col width="26.625" bestFit="1" customWidth="1" style="41" min="65" max="65"/>
    <col width="23.375" customWidth="1" style="41" min="66" max="66"/>
    <col width="8.625" customWidth="1" style="41" min="67" max="72"/>
    <col width="8.625" customWidth="1" style="41" min="73" max="16384"/>
  </cols>
  <sheetData>
    <row r="1" ht="49.5" customFormat="1" customHeight="1" s="36">
      <c r="A1" s="290" t="inlineStr">
        <is>
          <t>#</t>
        </is>
      </c>
      <c r="B1" s="291" t="inlineStr">
        <is>
          <t>현황</t>
        </is>
      </c>
      <c r="C1" s="290" t="inlineStr">
        <is>
          <t>SKU#</t>
        </is>
      </c>
      <c r="D1" s="291" t="inlineStr">
        <is>
          <t>사방넷#</t>
        </is>
      </c>
      <c r="E1" s="291" t="inlineStr">
        <is>
          <t>바코드</t>
        </is>
      </c>
      <c r="F1" s="291" t="inlineStr">
        <is>
          <t>최종
상품명</t>
        </is>
      </c>
      <c r="G1" s="291" t="inlineStr">
        <is>
          <t>상품명</t>
        </is>
      </c>
      <c r="H1" s="291" t="inlineStr">
        <is>
          <t>구분</t>
        </is>
      </c>
      <c r="I1" s="291" t="inlineStr">
        <is>
          <t>계절</t>
        </is>
      </c>
      <c r="J1" s="291" t="inlineStr">
        <is>
          <t>25년
1월</t>
        </is>
      </c>
      <c r="K1" s="291" t="inlineStr">
        <is>
          <t>25년
2월</t>
        </is>
      </c>
      <c r="L1" s="291" t="inlineStr">
        <is>
          <t>25년
3월</t>
        </is>
      </c>
      <c r="M1" s="291" t="inlineStr">
        <is>
          <t>25년
4월</t>
        </is>
      </c>
      <c r="N1" s="291" t="inlineStr">
        <is>
          <t>25년
5월</t>
        </is>
      </c>
      <c r="O1" s="291" t="inlineStr">
        <is>
          <t>25년
6월</t>
        </is>
      </c>
      <c r="P1" s="291" t="inlineStr">
        <is>
          <t>25년
7월</t>
        </is>
      </c>
      <c r="Q1" s="291" t="inlineStr">
        <is>
          <t>25년
8월</t>
        </is>
      </c>
      <c r="R1" s="291" t="inlineStr">
        <is>
          <t>25년
9월</t>
        </is>
      </c>
      <c r="S1" s="291" t="inlineStr">
        <is>
          <t>25년
10월</t>
        </is>
      </c>
      <c r="T1" s="291" t="inlineStr">
        <is>
          <t>25년
11월</t>
        </is>
      </c>
      <c r="U1" s="291" t="inlineStr">
        <is>
          <t>25년
12월</t>
        </is>
      </c>
      <c r="V1" s="517" t="inlineStr">
        <is>
          <t>매입
원가</t>
        </is>
      </c>
      <c r="W1" s="517" t="inlineStr">
        <is>
          <t>25년 연간
판매수량</t>
        </is>
      </c>
      <c r="X1" s="517" t="inlineStr">
        <is>
          <t>최근3개월 
월 출고평균량</t>
        </is>
      </c>
      <c r="Y1" s="517" t="inlineStr">
        <is>
          <t>10~12월
출고원가</t>
        </is>
      </c>
      <c r="Z1" s="518" t="inlineStr">
        <is>
          <t>25년 연간
출고원가</t>
        </is>
      </c>
      <c r="AA1" s="519" t="inlineStr">
        <is>
          <t>출고원가
비중(%)</t>
        </is>
      </c>
      <c r="AB1" s="294" t="inlineStr">
        <is>
          <t>25년 출고원가
누적(%)</t>
        </is>
      </c>
      <c r="AC1" s="291" t="inlineStr">
        <is>
          <t>ABC
등급</t>
        </is>
      </c>
      <c r="AD1" s="517" t="inlineStr">
        <is>
          <t>25년 월평균
판매수량</t>
        </is>
      </c>
      <c r="AE1" s="517" t="inlineStr">
        <is>
          <t>표준
편차</t>
        </is>
      </c>
      <c r="AF1" s="291" t="inlineStr">
        <is>
          <t>변동계수
(CV)</t>
        </is>
      </c>
      <c r="AG1" s="291" t="inlineStr">
        <is>
          <t>XYZ
등급</t>
        </is>
      </c>
      <c r="AH1" s="291" t="inlineStr">
        <is>
          <t>ABC-XYZ
등급</t>
        </is>
      </c>
      <c r="AI1" s="517" t="inlineStr">
        <is>
          <t>전년 대비 성장률
(1월발주/3월입고)</t>
        </is>
      </c>
      <c r="AJ1" s="520" t="inlineStr">
        <is>
          <t>발주여부</t>
        </is>
      </c>
      <c r="AK1" s="517" t="inlineStr">
        <is>
          <t>재고전략</t>
        </is>
      </c>
      <c r="AL1" s="37" t="inlineStr">
        <is>
          <t>등급</t>
        </is>
      </c>
      <c r="AM1" s="37" t="inlineStr">
        <is>
          <t>SKU</t>
        </is>
      </c>
      <c r="AN1" s="34" t="inlineStr">
        <is>
          <t>SKU
비중</t>
        </is>
      </c>
      <c r="AO1" s="521" t="inlineStr">
        <is>
          <t>연간매출</t>
        </is>
      </c>
      <c r="AP1" s="522" t="inlineStr">
        <is>
          <t>매출
비중</t>
        </is>
      </c>
      <c r="AQ1" s="303" t="inlineStr">
        <is>
          <t>누적매출</t>
        </is>
      </c>
      <c r="AS1" s="37" t="inlineStr">
        <is>
          <t>등급</t>
        </is>
      </c>
      <c r="AT1" s="37" t="inlineStr">
        <is>
          <t>SKU</t>
        </is>
      </c>
      <c r="AU1" s="37" t="inlineStr">
        <is>
          <t>SKU</t>
        </is>
      </c>
      <c r="AV1" s="37" t="inlineStr">
        <is>
          <t>매출비중</t>
        </is>
      </c>
      <c r="AW1" s="37" t="inlineStr">
        <is>
          <t>누적매출</t>
        </is>
      </c>
      <c r="AY1" s="141" t="inlineStr">
        <is>
          <t>정상 상황일시 (장기재고 낮고, 창고공간 충분할시)</t>
        </is>
      </c>
      <c r="AZ1" s="140" t="n"/>
      <c r="BA1" s="140" t="n"/>
      <c r="BB1" s="516" t="n"/>
      <c r="BC1" s="32" t="n"/>
      <c r="BD1" s="32" t="n"/>
      <c r="BE1" s="32" t="n"/>
      <c r="BF1" s="32" t="n"/>
      <c r="BG1" s="32" t="n"/>
      <c r="BH1" s="32" t="n"/>
      <c r="BI1" s="32" t="n"/>
      <c r="BJ1" s="32" t="n"/>
      <c r="BK1" s="32" t="n"/>
      <c r="BL1" s="32" t="n"/>
      <c r="BM1" s="32" t="n"/>
      <c r="BR1" s="41" t="n"/>
    </row>
    <row r="2" ht="33" customHeight="1" s="480">
      <c r="A2" s="287" t="n">
        <v>1</v>
      </c>
      <c r="B2" s="472" t="inlineStr">
        <is>
          <t>신재품</t>
        </is>
      </c>
      <c r="C2" s="430" t="inlineStr">
        <is>
          <t>ABC1</t>
        </is>
      </c>
      <c r="D2" s="523" t="n"/>
      <c r="E2" s="524" t="n"/>
      <c r="F2" s="42" t="n"/>
      <c r="G2" s="42" t="n"/>
      <c r="H2" s="42" t="n"/>
      <c r="I2" s="45" t="inlineStr">
        <is>
          <t>여름</t>
        </is>
      </c>
      <c r="J2" s="525" t="n">
        <v>0</v>
      </c>
      <c r="K2" s="526" t="n">
        <v>0</v>
      </c>
      <c r="L2" s="526" t="n">
        <v>0</v>
      </c>
      <c r="M2" s="526" t="n">
        <v>265</v>
      </c>
      <c r="N2" s="526" t="n">
        <v>873</v>
      </c>
      <c r="O2" s="526" t="n">
        <v>2183</v>
      </c>
      <c r="P2" s="526" t="n">
        <v>913</v>
      </c>
      <c r="Q2" s="526" t="n">
        <v>138</v>
      </c>
      <c r="R2" s="526" t="n">
        <v>25</v>
      </c>
      <c r="S2" s="526" t="n">
        <v>8</v>
      </c>
      <c r="T2" s="527" t="n">
        <v>8</v>
      </c>
      <c r="U2" s="528" t="n">
        <v>2</v>
      </c>
      <c r="V2" s="529" t="n">
        <v>47046</v>
      </c>
      <c r="W2" s="529">
        <f>SUM(J2:U2)</f>
        <v/>
      </c>
      <c r="X2" s="530">
        <f>AVERAGE(S2:U2)</f>
        <v/>
      </c>
      <c r="Y2" s="529">
        <f>(S2+T2+U2)*V2</f>
        <v/>
      </c>
      <c r="Z2" s="529">
        <f>W2*V2</f>
        <v/>
      </c>
      <c r="AA2" s="531">
        <f>Z2/SUM($Z$2:$Z$100)</f>
        <v/>
      </c>
      <c r="AB2" s="50">
        <f>SUM($AA$2:AA2)</f>
        <v/>
      </c>
      <c r="AC2" s="45">
        <f>IF(AB2&lt;=70%,"A",IF(AB2&lt;=90%,"B","C"))</f>
        <v/>
      </c>
      <c r="AD2" s="529">
        <f>AVERAGE(M2:S2)</f>
        <v/>
      </c>
      <c r="AE2" s="529">
        <f>_xlfn.STDEV.S(M2:S2)</f>
        <v/>
      </c>
      <c r="AF2" s="532">
        <f>IF(AD2=0,0,AE2/AD2)</f>
        <v/>
      </c>
      <c r="AG2" s="45">
        <f>IF(AF2&lt;0.5,"X",IF(AF2&lt;=1,"Y","Z"))</f>
        <v/>
      </c>
      <c r="AH2" s="45">
        <f>AC2&amp;AG2</f>
        <v/>
      </c>
      <c r="AI2" s="52">
        <f>IF(AH2="CZ",0%,IF(AH2="BZ",0%,IF(AH2="CY",5%,IF(I2="사계절",10%,IF(I2="봄",20%,IF(I2="여름",0%,IF(I2="가을",0%,IF(I2="겨울",0%,10%))))))))</f>
        <v/>
      </c>
      <c r="AJ2" s="288">
        <f>IF(AI2=0,"발주안함","발주")</f>
        <v/>
      </c>
      <c r="AK2" s="307">
        <f>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</f>
        <v/>
      </c>
      <c r="AL2" s="306" t="inlineStr">
        <is>
          <t>A</t>
        </is>
      </c>
      <c r="AM2" s="45">
        <f>COUNTIF(AC:AC,$AL2)</f>
        <v/>
      </c>
      <c r="AN2" s="52">
        <f>AM2/$AM$5</f>
        <v/>
      </c>
      <c r="AO2" s="533">
        <f>SUMIF(AC:AC,AL2,Z:Z)</f>
        <v/>
      </c>
      <c r="AP2" s="52">
        <f>AO2/$AO$5</f>
        <v/>
      </c>
      <c r="AQ2" s="534">
        <f>SUM($AO$2:AO2)</f>
        <v/>
      </c>
      <c r="AS2" s="45" t="inlineStr">
        <is>
          <t>A</t>
        </is>
      </c>
      <c r="AT2" s="149">
        <f>AU2/(SUM($AU$2:$AU$4))</f>
        <v/>
      </c>
      <c r="AU2" s="535">
        <f>COUNTIF(AC:AC,AS2)</f>
        <v/>
      </c>
      <c r="AV2" s="433">
        <f>SUMIF(AC:AC,AS2,Z:Z)/SUM($Z$2:$Z$100)</f>
        <v/>
      </c>
      <c r="AW2" s="45" t="inlineStr">
        <is>
          <t>0~70%</t>
        </is>
      </c>
      <c r="AY2" s="39" t="inlineStr">
        <is>
          <t>등급</t>
        </is>
      </c>
      <c r="AZ2" s="37" t="inlineStr">
        <is>
          <t>SKU</t>
        </is>
      </c>
      <c r="BA2" s="34" t="inlineStr">
        <is>
          <t>SKU
비중</t>
        </is>
      </c>
      <c r="BB2" s="522" t="inlineStr">
        <is>
          <t>연간
매출</t>
        </is>
      </c>
      <c r="BC2" s="522" t="inlineStr">
        <is>
          <t>매출
비중</t>
        </is>
      </c>
      <c r="BD2" s="34" t="inlineStr">
        <is>
          <t>중요도</t>
        </is>
      </c>
      <c r="BE2" s="34" t="inlineStr">
        <is>
          <t>수요 특성</t>
        </is>
      </c>
      <c r="BF2" s="34" t="inlineStr">
        <is>
          <t>발주주기</t>
        </is>
      </c>
      <c r="BG2" s="34" t="inlineStr">
        <is>
          <t>1회 발주량</t>
        </is>
      </c>
      <c r="BH2" s="34" t="inlineStr">
        <is>
          <t>안전재고</t>
        </is>
      </c>
      <c r="BI2" s="39" t="inlineStr">
        <is>
          <t>목표재고</t>
        </is>
      </c>
      <c r="BJ2" s="34" t="inlineStr">
        <is>
          <t>1회 발주량</t>
        </is>
      </c>
      <c r="BK2" s="39" t="inlineStr">
        <is>
          <t>핵심 로직</t>
        </is>
      </c>
      <c r="BL2" s="40" t="n"/>
      <c r="BM2" s="36" t="n"/>
    </row>
    <row r="3">
      <c r="A3" s="287" t="n">
        <v>3</v>
      </c>
      <c r="B3" s="472" t="inlineStr">
        <is>
          <t>신재품</t>
        </is>
      </c>
      <c r="C3" s="431" t="inlineStr">
        <is>
          <t>ABC2</t>
        </is>
      </c>
      <c r="D3" s="536" t="n"/>
      <c r="E3" s="524" t="n"/>
      <c r="F3" s="42" t="n"/>
      <c r="G3" s="42" t="n"/>
      <c r="H3" s="42" t="n"/>
      <c r="I3" s="45" t="inlineStr">
        <is>
          <t>여름</t>
        </is>
      </c>
      <c r="J3" s="537" t="n">
        <v>0</v>
      </c>
      <c r="K3" s="538" t="n">
        <v>0</v>
      </c>
      <c r="L3" s="538" t="n">
        <v>0</v>
      </c>
      <c r="M3" s="538" t="n">
        <v>268</v>
      </c>
      <c r="N3" s="538" t="n">
        <v>1023</v>
      </c>
      <c r="O3" s="538" t="n">
        <v>2417</v>
      </c>
      <c r="P3" s="538" t="n">
        <v>1106</v>
      </c>
      <c r="Q3" s="538" t="n">
        <v>157</v>
      </c>
      <c r="R3" s="538" t="n">
        <v>30</v>
      </c>
      <c r="S3" s="538" t="n">
        <v>6</v>
      </c>
      <c r="T3" s="539" t="n">
        <v>6</v>
      </c>
      <c r="U3" s="540" t="n">
        <v>7</v>
      </c>
      <c r="V3" s="529" t="n">
        <v>34731</v>
      </c>
      <c r="W3" s="529">
        <f>SUM(J3:U3)</f>
        <v/>
      </c>
      <c r="X3" s="530">
        <f>AVERAGE(S3:U3)</f>
        <v/>
      </c>
      <c r="Y3" s="529">
        <f>(S3+T3+U3)*V3</f>
        <v/>
      </c>
      <c r="Z3" s="529">
        <f>W3*V3</f>
        <v/>
      </c>
      <c r="AA3" s="531">
        <f>Z3/SUM($Z$2:$Z$100)</f>
        <v/>
      </c>
      <c r="AB3" s="50">
        <f>SUM($AA$2:AA3)</f>
        <v/>
      </c>
      <c r="AC3" s="45">
        <f>IF(AB3&lt;=70%,"A",IF(AB3&lt;=90%,"B","C"))</f>
        <v/>
      </c>
      <c r="AD3" s="529">
        <f>AVERAGE(M3:S3)</f>
        <v/>
      </c>
      <c r="AE3" s="529">
        <f>_xlfn.STDEV.S(M3:S3)</f>
        <v/>
      </c>
      <c r="AF3" s="532">
        <f>IF(AD3=0,0,AE3/AD3)</f>
        <v/>
      </c>
      <c r="AG3" s="45">
        <f>IF(AF3&lt;0.5,"X",IF(AF3&lt;=1,"Y","Z"))</f>
        <v/>
      </c>
      <c r="AH3" s="45">
        <f>AC3&amp;AG3</f>
        <v/>
      </c>
      <c r="AI3" s="52">
        <f>IF(AH3="CZ",0%,IF(AH3="BZ",0%,IF(AH3="CY",5%,IF(I3="사계절",10%,IF(I3="봄",20%,IF(I3="여름",0%,IF(I3="가을",0%,IF(I3="겨울",0%,10%))))))))</f>
        <v/>
      </c>
      <c r="AJ3" s="289">
        <f>IF(AI3=0,"발주안함","발주")</f>
        <v/>
      </c>
      <c r="AK3" s="307">
        <f>IF(AC3="A",IF(AG3="X","AX - 중간재고+월1회(LCL)",IF(AG3="Y","AY - 낮은재고+격주1회","AZ - 중단")),IF(AC3="B",IF(AG3="X","BX - 낮은재고+격월1회",IF(AG3="Y","BY - 최소재고+분기1회","BZ - 중단")),IF(AG3="X","CX - 중단(재고소진만)",IF(AG3="Y","CY - 중단(재고소진만)","CZ - 즉시단종"))))</f>
        <v/>
      </c>
      <c r="AL3" s="306" t="inlineStr">
        <is>
          <t>C</t>
        </is>
      </c>
      <c r="AM3" s="45">
        <f>COUNTIF(AC:AC,$AL3)</f>
        <v/>
      </c>
      <c r="AN3" s="52">
        <f>AM3/$AM$5</f>
        <v/>
      </c>
      <c r="AO3" s="533">
        <f>SUMIF(AC:AC,AL3,Z:Z)</f>
        <v/>
      </c>
      <c r="AP3" s="52">
        <f>AO3/$AO$5</f>
        <v/>
      </c>
      <c r="AQ3" s="534">
        <f>SUM($AO$2:AO3)</f>
        <v/>
      </c>
      <c r="AS3" s="45" t="inlineStr">
        <is>
          <t>B</t>
        </is>
      </c>
      <c r="AT3" s="149">
        <f>AU3/(SUM($AU$2:$AU$4))</f>
        <v/>
      </c>
      <c r="AU3" s="535">
        <f>COUNTIF(AC:AC,AS3)</f>
        <v/>
      </c>
      <c r="AV3" s="433">
        <f>SUMIF(AC:AC,AS3,Z:Z)/SUM($Z$2:$Z$100)</f>
        <v/>
      </c>
      <c r="AW3" s="45" t="inlineStr">
        <is>
          <t>70~90%</t>
        </is>
      </c>
      <c r="AY3" s="54" t="inlineStr">
        <is>
          <t>AX</t>
        </is>
      </c>
      <c r="AZ3" s="189">
        <f>COUNTIF(AH:AH,AY3)</f>
        <v/>
      </c>
      <c r="BA3" s="190">
        <f>AZ3/$AZ$12</f>
        <v/>
      </c>
      <c r="BB3" s="541">
        <f>SUMIF(AH:AH,AY3,Z:Z)</f>
        <v/>
      </c>
      <c r="BC3" s="192">
        <f>BB3/$BB$12</f>
        <v/>
      </c>
      <c r="BD3" s="55" t="inlineStr">
        <is>
          <t>매우 높음</t>
        </is>
      </c>
      <c r="BE3" s="55" t="inlineStr">
        <is>
          <t>매우 안정</t>
        </is>
      </c>
      <c r="BF3" s="56" t="inlineStr">
        <is>
          <t>매월 필수</t>
        </is>
      </c>
      <c r="BG3" s="56" t="inlineStr">
        <is>
          <t>1.0~1.2개월</t>
        </is>
      </c>
      <c r="BH3" s="56" t="inlineStr">
        <is>
          <t>0.3~0.5</t>
        </is>
      </c>
      <c r="BI3" s="57" t="inlineStr">
        <is>
          <t>1.3~1.7개월</t>
        </is>
      </c>
      <c r="BJ3" s="58" t="inlineStr">
        <is>
          <t>1.2~1.5개월치</t>
        </is>
      </c>
      <c r="BK3" s="55" t="inlineStr">
        <is>
          <t>결품=치명</t>
        </is>
      </c>
      <c r="BL3" s="59">
        <f>BI3&amp;"+"&amp;BK3</f>
        <v/>
      </c>
    </row>
    <row r="4">
      <c r="A4" s="287" t="n">
        <v>2</v>
      </c>
      <c r="B4" s="472" t="inlineStr">
        <is>
          <t>신재품</t>
        </is>
      </c>
      <c r="C4" s="431" t="inlineStr">
        <is>
          <t>ABC3</t>
        </is>
      </c>
      <c r="D4" s="536" t="n"/>
      <c r="E4" s="524" t="n"/>
      <c r="F4" s="42" t="n"/>
      <c r="G4" s="42" t="n"/>
      <c r="H4" s="42" t="n"/>
      <c r="I4" s="45" t="inlineStr">
        <is>
          <t>여름</t>
        </is>
      </c>
      <c r="J4" s="537" t="n">
        <v>0</v>
      </c>
      <c r="K4" s="538" t="n">
        <v>0</v>
      </c>
      <c r="L4" s="538" t="n">
        <v>0</v>
      </c>
      <c r="M4" s="538" t="n">
        <v>299</v>
      </c>
      <c r="N4" s="538" t="n">
        <v>1082</v>
      </c>
      <c r="O4" s="538" t="n">
        <v>2687</v>
      </c>
      <c r="P4" s="538" t="n">
        <v>1164</v>
      </c>
      <c r="Q4" s="538" t="n">
        <v>307</v>
      </c>
      <c r="R4" s="538" t="n">
        <v>61</v>
      </c>
      <c r="S4" s="538" t="n">
        <v>15</v>
      </c>
      <c r="T4" s="539" t="n">
        <v>6</v>
      </c>
      <c r="U4" s="540" t="n">
        <v>13</v>
      </c>
      <c r="V4" s="529" t="n">
        <v>29637</v>
      </c>
      <c r="W4" s="529">
        <f>SUM(J4:U4)</f>
        <v/>
      </c>
      <c r="X4" s="530">
        <f>AVERAGE(S4:U4)</f>
        <v/>
      </c>
      <c r="Y4" s="529">
        <f>(S4+T4+U4)*V4</f>
        <v/>
      </c>
      <c r="Z4" s="529">
        <f>W4*V4</f>
        <v/>
      </c>
      <c r="AA4" s="531">
        <f>Z4/SUM($Z$2:$Z$100)</f>
        <v/>
      </c>
      <c r="AB4" s="50">
        <f>SUM($AA$2:AA4)</f>
        <v/>
      </c>
      <c r="AC4" s="45">
        <f>IF(AB4&lt;=70%,"A",IF(AB4&lt;=90%,"B","C"))</f>
        <v/>
      </c>
      <c r="AD4" s="529">
        <f>AVERAGE(M4:S4)</f>
        <v/>
      </c>
      <c r="AE4" s="529">
        <f>_xlfn.STDEV.S(M4:S4)</f>
        <v/>
      </c>
      <c r="AF4" s="532">
        <f>IF(AD4=0,0,AE4/AD4)</f>
        <v/>
      </c>
      <c r="AG4" s="45">
        <f>IF(AF4&lt;0.5,"X",IF(AF4&lt;=1,"Y","Z"))</f>
        <v/>
      </c>
      <c r="AH4" s="45">
        <f>AC4&amp;AG4</f>
        <v/>
      </c>
      <c r="AI4" s="52">
        <f>IF(AH4="CZ",0%,IF(AH4="BZ",0%,IF(AH4="CY",5%,IF(I4="사계절",10%,IF(I4="봄",20%,IF(I4="여름",0%,IF(I4="가을",0%,IF(I4="겨울",0%,10%))))))))</f>
        <v/>
      </c>
      <c r="AJ4" s="289">
        <f>IF(AI4=0,"발주안함","발주")</f>
        <v/>
      </c>
      <c r="AK4" s="307">
        <f>IF(AC4="A",IF(AG4="X","AX - 중간재고+월1회(LCL)",IF(AG4="Y","AY - 낮은재고+격주1회","AZ - 중단")),IF(AC4="B",IF(AG4="X","BX - 낮은재고+격월1회",IF(AG4="Y","BY - 최소재고+분기1회","BZ - 중단")),IF(AG4="X","CX - 중단(재고소진만)",IF(AG4="Y","CY - 중단(재고소진만)","CZ - 즉시단종"))))</f>
        <v/>
      </c>
      <c r="AL4" s="306" t="inlineStr">
        <is>
          <t>B</t>
        </is>
      </c>
      <c r="AM4" s="45">
        <f>COUNTIF(AC:AC,$AL4)</f>
        <v/>
      </c>
      <c r="AN4" s="52">
        <f>AM4/$AM$5</f>
        <v/>
      </c>
      <c r="AO4" s="533">
        <f>SUMIF(AC:AC,AL4,Z:Z)</f>
        <v/>
      </c>
      <c r="AP4" s="52">
        <f>AO4/$AO$5</f>
        <v/>
      </c>
      <c r="AQ4" s="534">
        <f>SUM($AO$2:AO4)</f>
        <v/>
      </c>
      <c r="AS4" s="45" t="inlineStr">
        <is>
          <t>C</t>
        </is>
      </c>
      <c r="AT4" s="149">
        <f>AU4/(SUM($AU$2:$AU$4))</f>
        <v/>
      </c>
      <c r="AU4" s="535">
        <f>COUNTIF(AC:AC,AS4)</f>
        <v/>
      </c>
      <c r="AV4" s="433">
        <f>SUMIF(AC:AC,AS4,Z:Z)/SUM($Z$2:$Z$100)</f>
        <v/>
      </c>
      <c r="AW4" s="45" t="inlineStr">
        <is>
          <t>90~100%</t>
        </is>
      </c>
      <c r="AY4" s="54" t="inlineStr">
        <is>
          <t>AY</t>
        </is>
      </c>
      <c r="AZ4" s="189">
        <f>COUNTIF(AH:AH,AY4)</f>
        <v/>
      </c>
      <c r="BA4" s="190">
        <f>AZ4/$AZ$12</f>
        <v/>
      </c>
      <c r="BB4" s="541">
        <f>SUMIF(AH:AH,AY4,Z:Z)</f>
        <v/>
      </c>
      <c r="BC4" s="192">
        <f>BB4/$BB$12</f>
        <v/>
      </c>
      <c r="BD4" s="55" t="inlineStr">
        <is>
          <t>매우 높음</t>
        </is>
      </c>
      <c r="BE4" s="55" t="inlineStr">
        <is>
          <t>중간 변동</t>
        </is>
      </c>
      <c r="BF4" s="56" t="inlineStr">
        <is>
          <t>매월/격월</t>
        </is>
      </c>
      <c r="BG4" s="56" t="inlineStr">
        <is>
          <t>1.2~1.5개월</t>
        </is>
      </c>
      <c r="BH4" s="56" t="inlineStr">
        <is>
          <t>0.5~0.8</t>
        </is>
      </c>
      <c r="BI4" s="57" t="inlineStr">
        <is>
          <t>1.7~2.3개월</t>
        </is>
      </c>
      <c r="BJ4" s="58" t="inlineStr">
        <is>
          <t>1.5~2개월치</t>
        </is>
      </c>
      <c r="BK4" s="55" t="inlineStr">
        <is>
          <t>시즌 가중</t>
        </is>
      </c>
      <c r="BL4" s="59">
        <f>BI4&amp;"+"&amp;BK4</f>
        <v/>
      </c>
    </row>
    <row r="5">
      <c r="A5" s="287" t="n">
        <v>7</v>
      </c>
      <c r="B5" s="472" t="inlineStr">
        <is>
          <t>신재품</t>
        </is>
      </c>
      <c r="C5" s="431" t="inlineStr">
        <is>
          <t>ABC4</t>
        </is>
      </c>
      <c r="D5" s="536" t="n"/>
      <c r="E5" s="524" t="n"/>
      <c r="F5" s="42" t="n"/>
      <c r="G5" s="42" t="n"/>
      <c r="H5" s="42" t="n"/>
      <c r="I5" s="45" t="inlineStr">
        <is>
          <t>여름</t>
        </is>
      </c>
      <c r="J5" s="537" t="n">
        <v>0</v>
      </c>
      <c r="K5" s="538" t="n">
        <v>0</v>
      </c>
      <c r="L5" s="538" t="n">
        <v>0</v>
      </c>
      <c r="M5" s="538" t="n">
        <v>249</v>
      </c>
      <c r="N5" s="538" t="n">
        <v>846</v>
      </c>
      <c r="O5" s="538" t="n">
        <v>5379</v>
      </c>
      <c r="P5" s="538" t="n">
        <v>1250</v>
      </c>
      <c r="Q5" s="538" t="n">
        <v>282</v>
      </c>
      <c r="R5" s="538" t="n">
        <v>56</v>
      </c>
      <c r="S5" s="538" t="n">
        <v>10</v>
      </c>
      <c r="T5" s="539" t="n">
        <v>4</v>
      </c>
      <c r="U5" s="540" t="n">
        <v>8</v>
      </c>
      <c r="V5" s="529" t="n">
        <v>18313</v>
      </c>
      <c r="W5" s="529">
        <f>SUM(J5:U5)</f>
        <v/>
      </c>
      <c r="X5" s="530">
        <f>AVERAGE(S5:U5)</f>
        <v/>
      </c>
      <c r="Y5" s="529">
        <f>(S5+T5+U5)*V5</f>
        <v/>
      </c>
      <c r="Z5" s="529">
        <f>W5*V5</f>
        <v/>
      </c>
      <c r="AA5" s="531">
        <f>Z5/SUM($Z$2:$Z$100)</f>
        <v/>
      </c>
      <c r="AB5" s="50">
        <f>SUM($AA$2:AA5)</f>
        <v/>
      </c>
      <c r="AC5" s="45">
        <f>IF(AB5&lt;=70%,"A",IF(AB5&lt;=90%,"B","C"))</f>
        <v/>
      </c>
      <c r="AD5" s="529">
        <f>AVERAGE(M5:S5)</f>
        <v/>
      </c>
      <c r="AE5" s="529">
        <f>_xlfn.STDEV.S(M5:S5)</f>
        <v/>
      </c>
      <c r="AF5" s="532">
        <f>IF(AD5=0,0,AE5/AD5)</f>
        <v/>
      </c>
      <c r="AG5" s="45">
        <f>IF(AF5&lt;0.5,"X",IF(AF5&lt;=1,"Y","Z"))</f>
        <v/>
      </c>
      <c r="AH5" s="45">
        <f>AC5&amp;AG5</f>
        <v/>
      </c>
      <c r="AI5" s="52">
        <f>IF(AH5="CZ",0%,IF(AH5="BZ",0%,IF(AH5="CY",5%,IF(I5="사계절",10%,IF(I5="봄",20%,IF(I5="여름",0%,IF(I5="가을",0%,IF(I5="겨울",0%,10%))))))))</f>
        <v/>
      </c>
      <c r="AJ5" s="289">
        <f>IF(AI5=0,"발주안함","발주")</f>
        <v/>
      </c>
      <c r="AK5" s="307">
        <f>IF(AC5="A",IF(AG5="X","AX - 중간재고+월1회(LCL)",IF(AG5="Y","AY - 낮은재고+격주1회","AZ - 중단")),IF(AC5="B",IF(AG5="X","BX - 낮은재고+격월1회",IF(AG5="Y","BY - 최소재고+분기1회","BZ - 중단")),IF(AG5="X","CX - 중단(재고소진만)",IF(AG5="Y","CY - 중단(재고소진만)","CZ - 즉시단종"))))</f>
        <v/>
      </c>
      <c r="AL5" s="287" t="n"/>
      <c r="AM5" s="42" t="n"/>
      <c r="AN5" s="42" t="n"/>
      <c r="AO5" s="529" t="n"/>
      <c r="AP5" s="529" t="n"/>
      <c r="AQ5" s="305" t="n"/>
      <c r="AY5" s="54" t="inlineStr">
        <is>
          <t>AZ</t>
        </is>
      </c>
      <c r="AZ5" s="189">
        <f>COUNTIF(AH:AH,AY5)</f>
        <v/>
      </c>
      <c r="BA5" s="190">
        <f>AZ5/$AZ$12</f>
        <v/>
      </c>
      <c r="BB5" s="541">
        <f>SUMIF(AH:AH,AY5,Z:Z)</f>
        <v/>
      </c>
      <c r="BC5" s="192">
        <f>BB5/$BB$12</f>
        <v/>
      </c>
      <c r="BD5" s="55" t="inlineStr">
        <is>
          <t>매우 높음</t>
        </is>
      </c>
      <c r="BE5" s="55" t="inlineStr">
        <is>
          <t>불안정</t>
        </is>
      </c>
      <c r="BF5" s="56" t="inlineStr">
        <is>
          <t>필요월만</t>
        </is>
      </c>
      <c r="BG5" s="56" t="inlineStr">
        <is>
          <t>1~2개월</t>
        </is>
      </c>
      <c r="BH5" s="56" t="n">
        <v>1</v>
      </c>
      <c r="BI5" s="57" t="inlineStr">
        <is>
          <t>2.0~3.0개월</t>
        </is>
      </c>
      <c r="BJ5" s="58" t="inlineStr">
        <is>
          <t>2~3개월치</t>
        </is>
      </c>
      <c r="BK5" s="55" t="inlineStr">
        <is>
          <t>기획 반영</t>
        </is>
      </c>
      <c r="BL5" s="59">
        <f>BI5&amp;"+"&amp;BK5</f>
        <v/>
      </c>
    </row>
    <row r="6">
      <c r="A6" s="287" t="n">
        <v>8</v>
      </c>
      <c r="B6" s="472" t="inlineStr">
        <is>
          <t>신재품</t>
        </is>
      </c>
      <c r="C6" s="431" t="inlineStr">
        <is>
          <t>ABC5</t>
        </is>
      </c>
      <c r="D6" s="536" t="n"/>
      <c r="E6" s="524" t="n"/>
      <c r="F6" s="42" t="n"/>
      <c r="G6" s="42" t="n"/>
      <c r="H6" s="42" t="n"/>
      <c r="I6" s="45" t="inlineStr">
        <is>
          <t>여름</t>
        </is>
      </c>
      <c r="J6" s="537" t="n">
        <v>0</v>
      </c>
      <c r="K6" s="538" t="n">
        <v>0</v>
      </c>
      <c r="L6" s="538" t="n">
        <v>0</v>
      </c>
      <c r="M6" s="538" t="n">
        <v>264</v>
      </c>
      <c r="N6" s="538" t="n">
        <v>835</v>
      </c>
      <c r="O6" s="538" t="n">
        <v>1950</v>
      </c>
      <c r="P6" s="538" t="n">
        <v>818</v>
      </c>
      <c r="Q6" s="538" t="n">
        <v>204</v>
      </c>
      <c r="R6" s="538" t="n">
        <v>33</v>
      </c>
      <c r="S6" s="538" t="n">
        <v>8</v>
      </c>
      <c r="T6" s="539" t="n">
        <v>5</v>
      </c>
      <c r="U6" s="540" t="n">
        <v>3</v>
      </c>
      <c r="V6" s="529" t="n">
        <v>35416</v>
      </c>
      <c r="W6" s="529">
        <f>SUM(J6:U6)</f>
        <v/>
      </c>
      <c r="X6" s="530">
        <f>AVERAGE(S6:U6)</f>
        <v/>
      </c>
      <c r="Y6" s="529">
        <f>(S6+T6+U6)*V6</f>
        <v/>
      </c>
      <c r="Z6" s="529">
        <f>W6*V6</f>
        <v/>
      </c>
      <c r="AA6" s="531">
        <f>Z6/SUM($Z$2:$Z$100)</f>
        <v/>
      </c>
      <c r="AB6" s="50">
        <f>SUM($AA$2:AA6)</f>
        <v/>
      </c>
      <c r="AC6" s="45">
        <f>IF(AB6&lt;=70%,"A",IF(AB6&lt;=90%,"B","C"))</f>
        <v/>
      </c>
      <c r="AD6" s="529">
        <f>AVERAGE(M6:S6)</f>
        <v/>
      </c>
      <c r="AE6" s="529">
        <f>_xlfn.STDEV.S(M6:S6)</f>
        <v/>
      </c>
      <c r="AF6" s="532">
        <f>IF(AD6=0,0,AE6/AD6)</f>
        <v/>
      </c>
      <c r="AG6" s="45">
        <f>IF(AF6&lt;0.5,"X",IF(AF6&lt;=1,"Y","Z"))</f>
        <v/>
      </c>
      <c r="AH6" s="45">
        <f>AC6&amp;AG6</f>
        <v/>
      </c>
      <c r="AI6" s="52">
        <f>IF(AH6="CZ",0%,IF(AH6="BZ",0%,IF(AH6="CY",5%,IF(I6="사계절",10%,IF(I6="봄",20%,IF(I6="여름",0%,IF(I6="가을",0%,IF(I6="겨울",0%,10%))))))))</f>
        <v/>
      </c>
      <c r="AJ6" s="289">
        <f>IF(AI6=0,"발주안함","발주")</f>
        <v/>
      </c>
      <c r="AK6" s="307">
        <f>IF(AC6="A",IF(AG6="X","AX - 중간재고+월1회(LCL)",IF(AG6="Y","AY - 낮은재고+격주1회","AZ - 중단")),IF(AC6="B",IF(AG6="X","BX - 낮은재고+격월1회",IF(AG6="Y","BY - 최소재고+분기1회","BZ - 중단")),IF(AG6="X","CX - 중단(재고소진만)",IF(AG6="Y","CY - 중단(재고소진만)","CZ - 즉시단종"))))</f>
        <v/>
      </c>
      <c r="AS6" s="183" t="inlineStr">
        <is>
          <t>XYZ변동성 기준</t>
        </is>
      </c>
      <c r="AY6" s="54" t="inlineStr">
        <is>
          <t>BX</t>
        </is>
      </c>
      <c r="AZ6" s="189">
        <f>COUNTIF(AH:AH,AY6)</f>
        <v/>
      </c>
      <c r="BA6" s="190">
        <f>AZ6/$AZ$12</f>
        <v/>
      </c>
      <c r="BB6" s="541">
        <f>SUMIF(AH:AH,AY6,Z:Z)</f>
        <v/>
      </c>
      <c r="BC6" s="542">
        <f>BB6/$BB$12</f>
        <v/>
      </c>
      <c r="BD6" s="55" t="inlineStr">
        <is>
          <t>중간</t>
        </is>
      </c>
      <c r="BE6" s="55" t="inlineStr">
        <is>
          <t>안정</t>
        </is>
      </c>
      <c r="BF6" s="56" t="inlineStr">
        <is>
          <t>매월</t>
        </is>
      </c>
      <c r="BG6" s="56" t="inlineStr">
        <is>
          <t>1.0개월</t>
        </is>
      </c>
      <c r="BH6" s="56" t="n">
        <v>0.3</v>
      </c>
      <c r="BI6" s="57" t="inlineStr">
        <is>
          <t>1.3개월</t>
        </is>
      </c>
      <c r="BJ6" s="58" t="inlineStr">
        <is>
          <t>1~1.3개월치</t>
        </is>
      </c>
      <c r="BK6" s="55" t="inlineStr">
        <is>
          <t>자동 계산</t>
        </is>
      </c>
      <c r="BL6" s="59">
        <f>BI6&amp;"+"&amp;BK6</f>
        <v/>
      </c>
    </row>
    <row r="7">
      <c r="A7" s="287" t="n">
        <v>6</v>
      </c>
      <c r="B7" s="472" t="inlineStr">
        <is>
          <t>신재품</t>
        </is>
      </c>
      <c r="C7" s="431" t="inlineStr">
        <is>
          <t>ABC6</t>
        </is>
      </c>
      <c r="D7" s="536" t="n"/>
      <c r="E7" s="524" t="n"/>
      <c r="F7" s="42" t="n"/>
      <c r="G7" s="42" t="n"/>
      <c r="H7" s="42" t="n"/>
      <c r="I7" s="45" t="inlineStr">
        <is>
          <t>여름</t>
        </is>
      </c>
      <c r="J7" s="537" t="n">
        <v>0</v>
      </c>
      <c r="K7" s="538" t="n">
        <v>0</v>
      </c>
      <c r="L7" s="538" t="n">
        <v>0</v>
      </c>
      <c r="M7" s="538" t="n">
        <v>256</v>
      </c>
      <c r="N7" s="538" t="n">
        <v>1114</v>
      </c>
      <c r="O7" s="538" t="n">
        <v>7793</v>
      </c>
      <c r="P7" s="538" t="n">
        <v>929</v>
      </c>
      <c r="Q7" s="538" t="n">
        <v>155</v>
      </c>
      <c r="R7" s="538" t="n">
        <v>26</v>
      </c>
      <c r="S7" s="538" t="n">
        <v>4</v>
      </c>
      <c r="T7" s="539" t="n">
        <v>6</v>
      </c>
      <c r="U7" s="540" t="n">
        <v>5</v>
      </c>
      <c r="V7" s="529" t="n">
        <v>14046</v>
      </c>
      <c r="W7" s="529">
        <f>SUM(J7:U7)</f>
        <v/>
      </c>
      <c r="X7" s="530">
        <f>AVERAGE(S7:U7)</f>
        <v/>
      </c>
      <c r="Y7" s="529">
        <f>(S7+T7+U7)*V7</f>
        <v/>
      </c>
      <c r="Z7" s="529">
        <f>W7*V7</f>
        <v/>
      </c>
      <c r="AA7" s="531">
        <f>Z7/SUM($Z$2:$Z$100)</f>
        <v/>
      </c>
      <c r="AB7" s="50">
        <f>SUM($AA$2:AA7)</f>
        <v/>
      </c>
      <c r="AC7" s="45">
        <f>IF(AB7&lt;=70%,"A",IF(AB7&lt;=90%,"B","C"))</f>
        <v/>
      </c>
      <c r="AD7" s="529">
        <f>AVERAGE(M7:S7)</f>
        <v/>
      </c>
      <c r="AE7" s="529">
        <f>_xlfn.STDEV.S(M7:S7)</f>
        <v/>
      </c>
      <c r="AF7" s="532">
        <f>IF(AD7=0,0,AE7/AD7)</f>
        <v/>
      </c>
      <c r="AG7" s="45">
        <f>IF(AF7&lt;0.5,"X",IF(AF7&lt;=1,"Y","Z"))</f>
        <v/>
      </c>
      <c r="AH7" s="45">
        <f>AC7&amp;AG7</f>
        <v/>
      </c>
      <c r="AI7" s="52">
        <f>IF(AH7="CZ",0%,IF(AH7="BZ",0%,IF(AH7="CY",5%,IF(I7="사계절",10%,IF(I7="봄",20%,IF(I7="여름",0%,IF(I7="가을",0%,IF(I7="겨울",0%,10%))))))))</f>
        <v/>
      </c>
      <c r="AJ7" s="289">
        <f>IF(AI7=0,"발주안함","발주")</f>
        <v/>
      </c>
      <c r="AK7" s="307">
        <f>IF(AC7="A",IF(AG7="X","AX - 중간재고+월1회(LCL)",IF(AG7="Y","AY - 낮은재고+격주1회","AZ - 중단")),IF(AC7="B",IF(AG7="X","BX - 낮은재고+격월1회",IF(AG7="Y","BY - 최소재고+분기1회","BZ - 중단")),IF(AG7="X","CX - 중단(재고소진만)",IF(AG7="Y","CY - 중단(재고소진만)","CZ - 즉시단종"))))</f>
        <v/>
      </c>
      <c r="AS7" s="180" t="inlineStr">
        <is>
          <t xml:space="preserve">X  </t>
        </is>
      </c>
      <c r="AT7" s="147" t="inlineStr">
        <is>
          <t>수요 변동 적음</t>
        </is>
      </c>
      <c r="AU7" s="181" t="inlineStr">
        <is>
          <t>&lt;0.5</t>
        </is>
      </c>
      <c r="AY7" s="54" t="inlineStr">
        <is>
          <t>BY</t>
        </is>
      </c>
      <c r="AZ7" s="194">
        <f>COUNTIF(AH:AH,AY7)</f>
        <v/>
      </c>
      <c r="BA7" s="192">
        <f>AZ7/$AZ$12</f>
        <v/>
      </c>
      <c r="BB7" s="541">
        <f>SUMIF(AH:AH,AY7,Z:Z)</f>
        <v/>
      </c>
      <c r="BC7" s="542">
        <f>BB7/$BB$12</f>
        <v/>
      </c>
      <c r="BD7" s="55" t="inlineStr">
        <is>
          <t>중간</t>
        </is>
      </c>
      <c r="BE7" s="55" t="inlineStr">
        <is>
          <t>중간 변동</t>
        </is>
      </c>
      <c r="BF7" s="56" t="inlineStr">
        <is>
          <t>격월</t>
        </is>
      </c>
      <c r="BG7" s="56" t="inlineStr">
        <is>
          <t>1.5개월</t>
        </is>
      </c>
      <c r="BH7" s="56" t="n">
        <v>0.5</v>
      </c>
      <c r="BI7" s="57" t="inlineStr">
        <is>
          <t>2.0개월</t>
        </is>
      </c>
      <c r="BJ7" s="58" t="inlineStr">
        <is>
          <t>1.5~2개월치</t>
        </is>
      </c>
      <c r="BK7" s="55" t="inlineStr">
        <is>
          <t>추세 확인</t>
        </is>
      </c>
      <c r="BL7" s="59">
        <f>BI7&amp;"+"&amp;BK7</f>
        <v/>
      </c>
    </row>
    <row r="8">
      <c r="A8" s="287" t="n">
        <v>9</v>
      </c>
      <c r="B8" s="472" t="inlineStr">
        <is>
          <t>신재품</t>
        </is>
      </c>
      <c r="C8" s="431" t="inlineStr">
        <is>
          <t>ABC7</t>
        </is>
      </c>
      <c r="D8" s="536" t="n"/>
      <c r="E8" s="524" t="n"/>
      <c r="F8" s="42" t="n"/>
      <c r="G8" s="42" t="n"/>
      <c r="H8" s="42" t="n"/>
      <c r="I8" s="45" t="inlineStr">
        <is>
          <t>여름</t>
        </is>
      </c>
      <c r="J8" s="537" t="n">
        <v>0</v>
      </c>
      <c r="K8" s="538" t="n">
        <v>0</v>
      </c>
      <c r="L8" s="538" t="n">
        <v>0</v>
      </c>
      <c r="M8" s="538" t="n">
        <v>319</v>
      </c>
      <c r="N8" s="538" t="n">
        <v>1023</v>
      </c>
      <c r="O8" s="538" t="n">
        <v>6529</v>
      </c>
      <c r="P8" s="538" t="n">
        <v>1253</v>
      </c>
      <c r="Q8" s="538" t="n">
        <v>249</v>
      </c>
      <c r="R8" s="538" t="n">
        <v>48</v>
      </c>
      <c r="S8" s="538" t="n">
        <v>10</v>
      </c>
      <c r="T8" s="539" t="n">
        <v>3</v>
      </c>
      <c r="U8" s="540" t="n">
        <v>5</v>
      </c>
      <c r="V8" s="529" t="n">
        <v>14434</v>
      </c>
      <c r="W8" s="529">
        <f>SUM(J8:U8)</f>
        <v/>
      </c>
      <c r="X8" s="530">
        <f>AVERAGE(S8:U8)</f>
        <v/>
      </c>
      <c r="Y8" s="529">
        <f>(S8+T8+U8)*V8</f>
        <v/>
      </c>
      <c r="Z8" s="529">
        <f>W8*V8</f>
        <v/>
      </c>
      <c r="AA8" s="531">
        <f>Z8/SUM($Z$2:$Z$100)</f>
        <v/>
      </c>
      <c r="AB8" s="50">
        <f>SUM($AA$2:AA8)</f>
        <v/>
      </c>
      <c r="AC8" s="45">
        <f>IF(AB8&lt;=70%,"A",IF(AB8&lt;=90%,"B","C"))</f>
        <v/>
      </c>
      <c r="AD8" s="529">
        <f>AVERAGE(M8:S8)</f>
        <v/>
      </c>
      <c r="AE8" s="529">
        <f>_xlfn.STDEV.S(M8:S8)</f>
        <v/>
      </c>
      <c r="AF8" s="532">
        <f>IF(AD8=0,0,AE8/AD8)</f>
        <v/>
      </c>
      <c r="AG8" s="45">
        <f>IF(AF8&lt;0.5,"X",IF(AF8&lt;=1,"Y","Z"))</f>
        <v/>
      </c>
      <c r="AH8" s="45">
        <f>AC8&amp;AG8</f>
        <v/>
      </c>
      <c r="AI8" s="52">
        <f>IF(AH8="CZ",0%,IF(AH8="BZ",0%,IF(AH8="CY",5%,IF(I8="사계절",10%,IF(I8="봄",20%,IF(I8="여름",0%,IF(I8="가을",0%,IF(I8="겨울",0%,10%))))))))</f>
        <v/>
      </c>
      <c r="AJ8" s="289">
        <f>IF(AI8=0,"발주안함","발주")</f>
        <v/>
      </c>
      <c r="AK8" s="307">
        <f>IF(AC8="A",IF(AG8="X","AX - 중간재고+월1회(LCL)",IF(AG8="Y","AY - 낮은재고+격주1회","AZ - 중단")),IF(AC8="B",IF(AG8="X","BX - 낮은재고+격월1회",IF(AG8="Y","BY - 최소재고+분기1회","BZ - 중단")),IF(AG8="X","CX - 중단(재고소진만)",IF(AG8="Y","CY - 중단(재고소진만)","CZ - 즉시단종"))))</f>
        <v/>
      </c>
      <c r="AS8" s="180" t="inlineStr">
        <is>
          <t xml:space="preserve">Y  </t>
        </is>
      </c>
      <c r="AT8" s="147" t="inlineStr">
        <is>
          <t>계절성/변동있음</t>
        </is>
      </c>
      <c r="AU8" s="181" t="inlineStr">
        <is>
          <t>&lt;=1</t>
        </is>
      </c>
      <c r="AY8" s="61" t="inlineStr">
        <is>
          <t>BZ</t>
        </is>
      </c>
      <c r="AZ8" s="195">
        <f>COUNTIF(AH:AH,AY8)</f>
        <v/>
      </c>
      <c r="BA8" s="196">
        <f>AZ8/$AZ$12</f>
        <v/>
      </c>
      <c r="BB8" s="543">
        <f>SUMIF(AH:AH,AY8,Z:Z)</f>
        <v/>
      </c>
      <c r="BC8" s="196">
        <f>BB8/$BB$12</f>
        <v/>
      </c>
      <c r="BD8" s="62" t="inlineStr">
        <is>
          <t>중간</t>
        </is>
      </c>
      <c r="BE8" s="62" t="inlineStr">
        <is>
          <t>불안정</t>
        </is>
      </c>
      <c r="BF8" s="63" t="inlineStr">
        <is>
          <t>필요시</t>
        </is>
      </c>
      <c r="BG8" s="63" t="inlineStr">
        <is>
          <t>최소</t>
        </is>
      </c>
      <c r="BH8" s="63" t="inlineStr">
        <is>
          <t>0.8~1.0</t>
        </is>
      </c>
      <c r="BI8" s="64" t="inlineStr">
        <is>
          <t>2.0~2.5개월</t>
        </is>
      </c>
      <c r="BJ8" s="65" t="inlineStr">
        <is>
          <t>2~3개월치</t>
        </is>
      </c>
      <c r="BK8" s="62" t="inlineStr">
        <is>
          <t>과잉 금지</t>
        </is>
      </c>
      <c r="BL8" s="66">
        <f>BI8&amp;"+"&amp;BK8</f>
        <v/>
      </c>
    </row>
    <row r="9">
      <c r="A9" s="287" t="n">
        <v>5</v>
      </c>
      <c r="B9" s="472" t="inlineStr">
        <is>
          <t>신재품</t>
        </is>
      </c>
      <c r="C9" s="431" t="inlineStr">
        <is>
          <t>ABC8</t>
        </is>
      </c>
      <c r="D9" s="536" t="n"/>
      <c r="E9" s="524" t="n"/>
      <c r="F9" s="42" t="n"/>
      <c r="G9" s="42" t="n"/>
      <c r="H9" s="42" t="n"/>
      <c r="I9" s="45" t="inlineStr">
        <is>
          <t>사계절</t>
        </is>
      </c>
      <c r="J9" s="537" t="n">
        <v>991</v>
      </c>
      <c r="K9" s="538" t="n">
        <v>1364</v>
      </c>
      <c r="L9" s="538" t="n">
        <v>1158</v>
      </c>
      <c r="M9" s="538" t="n">
        <v>1076</v>
      </c>
      <c r="N9" s="538" t="n">
        <v>885</v>
      </c>
      <c r="O9" s="538" t="n">
        <v>863</v>
      </c>
      <c r="P9" s="538" t="n">
        <v>571</v>
      </c>
      <c r="Q9" s="538" t="n">
        <v>438</v>
      </c>
      <c r="R9" s="538" t="n">
        <v>619</v>
      </c>
      <c r="S9" s="538" t="n">
        <v>770</v>
      </c>
      <c r="T9" s="539" t="n">
        <v>1022</v>
      </c>
      <c r="U9" s="540" t="n">
        <v>1293</v>
      </c>
      <c r="V9" s="529" t="n">
        <v>12300</v>
      </c>
      <c r="W9" s="529">
        <f>SUM(J9:U9)</f>
        <v/>
      </c>
      <c r="X9" s="530">
        <f>AVERAGE(S9:U9)</f>
        <v/>
      </c>
      <c r="Y9" s="529">
        <f>(S9+T9+U9)*V9</f>
        <v/>
      </c>
      <c r="Z9" s="529">
        <f>W9*V9</f>
        <v/>
      </c>
      <c r="AA9" s="531">
        <f>Z9/SUM($Z$2:$Z$100)</f>
        <v/>
      </c>
      <c r="AB9" s="50">
        <f>SUM($AA$2:AA9)</f>
        <v/>
      </c>
      <c r="AC9" s="45">
        <f>IF(AB9&lt;=70%,"A",IF(AB9&lt;=90%,"B","C"))</f>
        <v/>
      </c>
      <c r="AD9" s="529">
        <f>AVERAGE(J9:U9)</f>
        <v/>
      </c>
      <c r="AE9" s="529">
        <f>_xlfn.STDEV.P(J9:U9)</f>
        <v/>
      </c>
      <c r="AF9" s="532">
        <f>IF(AD9=0,0,AE9/AD9)</f>
        <v/>
      </c>
      <c r="AG9" s="45">
        <f>IF(AF9&lt;0.5,"X",IF(AF9&lt;=1,"Y","Z"))</f>
        <v/>
      </c>
      <c r="AH9" s="45">
        <f>AC9&amp;AG9</f>
        <v/>
      </c>
      <c r="AI9" s="52">
        <f>IF(AH9="CZ",0%,IF(AH9="BZ",0%,IF(AH9="CY",5%,IF(I9="사계절",10%,IF(I9="봄",20%,IF(I9="여름",0%,IF(I9="가을",0%,IF(I9="겨울",0%,10%))))))))</f>
        <v/>
      </c>
      <c r="AJ9" s="289">
        <f>IF(AI9=0,"발주안함","발주")</f>
        <v/>
      </c>
      <c r="AK9" s="307">
        <f>IF(AC9="A",IF(AG9="X","AX - 중간재고+월1회(LCL)",IF(AG9="Y","AY - 낮은재고+격주1회","AZ - 중단")),IF(AC9="B",IF(AG9="X","BX - 낮은재고+격월1회",IF(AG9="Y","BY - 최소재고+분기1회","BZ - 중단")),IF(AG9="X","CX - 중단(재고소진만)",IF(AG9="Y","CY - 중단(재고소진만)","CZ - 즉시단종"))))</f>
        <v/>
      </c>
      <c r="AS9" s="180" t="inlineStr">
        <is>
          <t xml:space="preserve">Z  </t>
        </is>
      </c>
      <c r="AT9" s="147" t="inlineStr">
        <is>
          <t>예측 어려움</t>
        </is>
      </c>
      <c r="AU9" s="181" t="inlineStr">
        <is>
          <t>&gt;1</t>
        </is>
      </c>
      <c r="AY9" s="54" t="inlineStr">
        <is>
          <t>CX</t>
        </is>
      </c>
      <c r="AZ9" s="194">
        <f>COUNTIF(AH:AH,AY9)</f>
        <v/>
      </c>
      <c r="BA9" s="192">
        <f>AZ9/$AZ$12</f>
        <v/>
      </c>
      <c r="BB9" s="541">
        <f>SUMIF(AH:AH,AY9,Z:Z)</f>
        <v/>
      </c>
      <c r="BC9" s="542">
        <f>BB9/$BB$12</f>
        <v/>
      </c>
      <c r="BD9" s="55" t="inlineStr">
        <is>
          <t>낮음</t>
        </is>
      </c>
      <c r="BE9" s="55" t="inlineStr">
        <is>
          <t>안정</t>
        </is>
      </c>
      <c r="BF9" s="56" t="inlineStr">
        <is>
          <t>격월</t>
        </is>
      </c>
      <c r="BG9" s="56" t="inlineStr">
        <is>
          <t>1~2개월</t>
        </is>
      </c>
      <c r="BH9" s="56" t="inlineStr">
        <is>
          <t>0.2~0.3</t>
        </is>
      </c>
      <c r="BI9" s="57" t="inlineStr">
        <is>
          <t>1.2~1.5개월</t>
        </is>
      </c>
      <c r="BJ9" s="58" t="inlineStr">
        <is>
          <t>2개월치</t>
        </is>
      </c>
      <c r="BK9" s="55" t="inlineStr">
        <is>
          <t>채움용</t>
        </is>
      </c>
      <c r="BL9" s="59">
        <f>BI9&amp;"+"&amp;BK9</f>
        <v/>
      </c>
    </row>
    <row r="10" ht="16.5" customHeight="1" s="480">
      <c r="A10" s="287" t="n">
        <v>10</v>
      </c>
      <c r="B10" s="472" t="inlineStr">
        <is>
          <t>신재품</t>
        </is>
      </c>
      <c r="C10" s="431" t="inlineStr">
        <is>
          <t>ABC9</t>
        </is>
      </c>
      <c r="D10" s="536" t="n"/>
      <c r="E10" s="524" t="n"/>
      <c r="F10" s="42" t="n"/>
      <c r="G10" s="42" t="n"/>
      <c r="H10" s="42" t="n"/>
      <c r="I10" s="45" t="inlineStr">
        <is>
          <t>여름</t>
        </is>
      </c>
      <c r="J10" s="537" t="n">
        <v>0</v>
      </c>
      <c r="K10" s="538" t="n">
        <v>0</v>
      </c>
      <c r="L10" s="538" t="n">
        <v>0</v>
      </c>
      <c r="M10" s="538" t="n">
        <v>212</v>
      </c>
      <c r="N10" s="538" t="n">
        <v>534</v>
      </c>
      <c r="O10" s="538" t="n">
        <v>5079</v>
      </c>
      <c r="P10" s="538" t="n">
        <v>763</v>
      </c>
      <c r="Q10" s="538" t="n">
        <v>144</v>
      </c>
      <c r="R10" s="538" t="n">
        <v>34</v>
      </c>
      <c r="S10" s="538" t="n">
        <v>6</v>
      </c>
      <c r="T10" s="539" t="n">
        <v>2</v>
      </c>
      <c r="U10" s="540" t="n">
        <v>3</v>
      </c>
      <c r="V10" s="529" t="n">
        <v>19722</v>
      </c>
      <c r="W10" s="529">
        <f>SUM(J10:U10)</f>
        <v/>
      </c>
      <c r="X10" s="530">
        <f>AVERAGE(S10:U10)</f>
        <v/>
      </c>
      <c r="Y10" s="529">
        <f>(S10+T10+U10)*V10</f>
        <v/>
      </c>
      <c r="Z10" s="529">
        <f>W10*V10</f>
        <v/>
      </c>
      <c r="AA10" s="531">
        <f>Z10/SUM($Z$2:$Z$100)</f>
        <v/>
      </c>
      <c r="AB10" s="50">
        <f>SUM($AA$2:AA10)</f>
        <v/>
      </c>
      <c r="AC10" s="45">
        <f>IF(AB10&lt;=70%,"A",IF(AB10&lt;=90%,"B","C"))</f>
        <v/>
      </c>
      <c r="AD10" s="529">
        <f>AVERAGE(M10:S10)</f>
        <v/>
      </c>
      <c r="AE10" s="529">
        <f>_xlfn.STDEV.S(M10:S10)</f>
        <v/>
      </c>
      <c r="AF10" s="532">
        <f>IF(AD10=0,0,AE10/AD10)</f>
        <v/>
      </c>
      <c r="AG10" s="45">
        <f>IF(AF10&lt;0.5,"X",IF(AF10&lt;=1,"Y","Z"))</f>
        <v/>
      </c>
      <c r="AH10" s="45">
        <f>AC10&amp;AG10</f>
        <v/>
      </c>
      <c r="AI10" s="52">
        <f>IF(AH10="CZ",0%,IF(AH10="BZ",0%,IF(AH10="CY",5%,IF(I10="사계절",10%,IF(I10="봄",20%,IF(I10="여름",0%,IF(I10="가을",0%,IF(I10="겨울",0%,10%))))))))</f>
        <v/>
      </c>
      <c r="AJ10" s="289">
        <f>IF(AI10=0,"발주안함","발주")</f>
        <v/>
      </c>
      <c r="AK10" s="307">
        <f>IF(AC10="A",IF(AG10="X","AX - 중간재고+월1회(LCL)",IF(AG10="Y","AY - 낮은재고+격주1회","AZ - 중단")),IF(AC10="B",IF(AG10="X","BX - 낮은재고+격월1회",IF(AG10="Y","BY - 최소재고+분기1회","BZ - 중단")),IF(AG10="X","CX - 중단(재고소진만)",IF(AG10="Y","CY - 중단(재고소진만)","CZ - 즉시단종"))))</f>
        <v/>
      </c>
      <c r="AS10" s="182" t="n"/>
      <c r="AY10" s="61" t="inlineStr">
        <is>
          <t>CY</t>
        </is>
      </c>
      <c r="AZ10" s="195">
        <f>COUNTIF(AH:AH,AY10)</f>
        <v/>
      </c>
      <c r="BA10" s="196">
        <f>AZ10/$AZ$12</f>
        <v/>
      </c>
      <c r="BB10" s="543">
        <f>SUMIF(AH:AH,AY10,Z:Z)</f>
        <v/>
      </c>
      <c r="BC10" s="544">
        <f>BB10/$BB$12</f>
        <v/>
      </c>
      <c r="BD10" s="62" t="inlineStr">
        <is>
          <t>낮음</t>
        </is>
      </c>
      <c r="BE10" s="62" t="inlineStr">
        <is>
          <t>불안정</t>
        </is>
      </c>
      <c r="BF10" s="63" t="inlineStr">
        <is>
          <t>분기</t>
        </is>
      </c>
      <c r="BG10" s="63" t="inlineStr">
        <is>
          <t>최소</t>
        </is>
      </c>
      <c r="BH10" s="63" t="inlineStr">
        <is>
          <t>0.5~1.0</t>
        </is>
      </c>
      <c r="BI10" s="64" t="inlineStr">
        <is>
          <t>1.5~2.5개월</t>
        </is>
      </c>
      <c r="BJ10" s="65" t="inlineStr">
        <is>
          <t>2~3개월치</t>
        </is>
      </c>
      <c r="BK10" s="62" t="inlineStr">
        <is>
          <t>축소</t>
        </is>
      </c>
      <c r="BL10" s="66">
        <f>BI10&amp;"+"&amp;BK10</f>
        <v/>
      </c>
    </row>
    <row r="11">
      <c r="A11" s="287" t="n">
        <v>4</v>
      </c>
      <c r="B11" s="472" t="inlineStr">
        <is>
          <t>신재품</t>
        </is>
      </c>
      <c r="C11" s="431" t="inlineStr">
        <is>
          <t>ABC10</t>
        </is>
      </c>
      <c r="D11" s="536" t="n"/>
      <c r="E11" s="524" t="n"/>
      <c r="F11" s="42" t="n"/>
      <c r="G11" s="42" t="n"/>
      <c r="H11" s="42" t="n"/>
      <c r="I11" s="45" t="inlineStr">
        <is>
          <t>사계절</t>
        </is>
      </c>
      <c r="J11" s="537" t="n">
        <v>295</v>
      </c>
      <c r="K11" s="538" t="n">
        <v>494</v>
      </c>
      <c r="L11" s="538" t="n">
        <v>714</v>
      </c>
      <c r="M11" s="538" t="n">
        <v>867</v>
      </c>
      <c r="N11" s="538" t="n">
        <v>614</v>
      </c>
      <c r="O11" s="538" t="n">
        <v>1031</v>
      </c>
      <c r="P11" s="538" t="n">
        <v>531</v>
      </c>
      <c r="Q11" s="538" t="n">
        <v>855</v>
      </c>
      <c r="R11" s="538" t="n">
        <v>1027</v>
      </c>
      <c r="S11" s="538" t="n">
        <v>656</v>
      </c>
      <c r="T11" s="539" t="n">
        <v>233</v>
      </c>
      <c r="U11" s="540" t="n">
        <v>554</v>
      </c>
      <c r="V11" s="529" t="n">
        <v>16641</v>
      </c>
      <c r="W11" s="529">
        <f>SUM(J11:U11)</f>
        <v/>
      </c>
      <c r="X11" s="530">
        <f>AVERAGE(S11:U11)</f>
        <v/>
      </c>
      <c r="Y11" s="529">
        <f>(S11+T11+U11)*V11</f>
        <v/>
      </c>
      <c r="Z11" s="529">
        <f>W11*V11</f>
        <v/>
      </c>
      <c r="AA11" s="531">
        <f>Z11/SUM($Z$2:$Z$100)</f>
        <v/>
      </c>
      <c r="AB11" s="50">
        <f>SUM($AA$2:AA11)</f>
        <v/>
      </c>
      <c r="AC11" s="45">
        <f>IF(AB11&lt;=70%,"A",IF(AB11&lt;=90%,"B","C"))</f>
        <v/>
      </c>
      <c r="AD11" s="529">
        <f>AVERAGE(J11:U11)</f>
        <v/>
      </c>
      <c r="AE11" s="529">
        <f>_xlfn.STDEV.P(J11:U11)</f>
        <v/>
      </c>
      <c r="AF11" s="532">
        <f>IF(AD11=0,0,AE11/AD11)</f>
        <v/>
      </c>
      <c r="AG11" s="45">
        <f>IF(AF11&lt;0.5,"X",IF(AF11&lt;=1,"Y","Z"))</f>
        <v/>
      </c>
      <c r="AH11" s="45">
        <f>AC11&amp;AG11</f>
        <v/>
      </c>
      <c r="AI11" s="52">
        <f>IF(AH11="CZ",0%,IF(AH11="BZ",0%,IF(AH11="CY",5%,IF(I11="사계절",10%,IF(I11="봄",20%,IF(I11="여름",0%,IF(I11="가을",0%,IF(I11="겨울",0%,10%))))))))</f>
        <v/>
      </c>
      <c r="AJ11" s="289">
        <f>IF(AI11=0,"발주안함","발주")</f>
        <v/>
      </c>
      <c r="AK11" s="307">
        <f>IF(AC11="A",IF(AG11="X","AX - 중간재고+월1회(LCL)",IF(AG11="Y","AY - 낮은재고+격주1회","AZ - 중단")),IF(AC11="B",IF(AG11="X","BX - 낮은재고+격월1회",IF(AG11="Y","BY - 최소재고+분기1회","BZ - 중단")),IF(AG11="X","CX - 중단(재고소진만)",IF(AG11="Y","CY - 중단(재고소진만)","CZ - 즉시단종"))))</f>
        <v/>
      </c>
      <c r="AL11" s="32" t="inlineStr">
        <is>
          <t>계</t>
        </is>
      </c>
      <c r="AM11" s="32">
        <f>SUM(AM8:AM10)</f>
        <v/>
      </c>
      <c r="AN11" s="146">
        <f>SUM(AN8:AN10)</f>
        <v/>
      </c>
      <c r="AO11" s="516">
        <f>SUM(AO8:AO10)</f>
        <v/>
      </c>
      <c r="AP11" s="146">
        <f>SUM(AP8:AP10)</f>
        <v/>
      </c>
      <c r="AQ11" s="545">
        <f>SUM($AO$2:AO11)</f>
        <v/>
      </c>
      <c r="AY11" s="61" t="inlineStr">
        <is>
          <t>CZ</t>
        </is>
      </c>
      <c r="AZ11" s="195">
        <f>COUNTIF(AH:AH,AY11)</f>
        <v/>
      </c>
      <c r="BA11" s="196">
        <f>AZ11/$AZ$12</f>
        <v/>
      </c>
      <c r="BB11" s="543">
        <f>SUMIF(AH:AH,AY11,Z:Z)</f>
        <v/>
      </c>
      <c r="BC11" s="544">
        <f>BB11/$BB$12</f>
        <v/>
      </c>
      <c r="BD11" s="62" t="inlineStr">
        <is>
          <t>매우 낮음</t>
        </is>
      </c>
      <c r="BE11" s="62" t="inlineStr">
        <is>
          <t>매우 불안정</t>
        </is>
      </c>
      <c r="BF11" s="63" t="inlineStr">
        <is>
          <t>수입 중단</t>
        </is>
      </c>
      <c r="BG11" s="63" t="n">
        <v>0</v>
      </c>
      <c r="BH11" s="63" t="n">
        <v>0</v>
      </c>
      <c r="BI11" s="64" t="n">
        <v>0</v>
      </c>
      <c r="BJ11" s="62" t="inlineStr">
        <is>
          <t>주문/기획별</t>
        </is>
      </c>
      <c r="BK11" s="67" t="inlineStr">
        <is>
          <t>재고 소진만/정리대상</t>
        </is>
      </c>
      <c r="BL11" s="66">
        <f>BI11&amp;"+"&amp;BK11</f>
        <v/>
      </c>
    </row>
    <row r="12">
      <c r="A12" s="287" t="n">
        <v>12</v>
      </c>
      <c r="B12" s="472" t="inlineStr">
        <is>
          <t>신재품</t>
        </is>
      </c>
      <c r="C12" s="431" t="inlineStr">
        <is>
          <t>ABC11</t>
        </is>
      </c>
      <c r="D12" s="536" t="n"/>
      <c r="E12" s="524" t="n"/>
      <c r="F12" s="42" t="n"/>
      <c r="G12" s="42" t="n"/>
      <c r="H12" s="42" t="n"/>
      <c r="I12" s="45" t="inlineStr">
        <is>
          <t>사계절</t>
        </is>
      </c>
      <c r="J12" s="537" t="n">
        <v>1566</v>
      </c>
      <c r="K12" s="538" t="n">
        <v>2477</v>
      </c>
      <c r="L12" s="538" t="n">
        <v>2127</v>
      </c>
      <c r="M12" s="538" t="n">
        <v>1550</v>
      </c>
      <c r="N12" s="538" t="n">
        <v>2679</v>
      </c>
      <c r="O12" s="538" t="n">
        <v>3569</v>
      </c>
      <c r="P12" s="538" t="n">
        <v>1775</v>
      </c>
      <c r="Q12" s="538" t="n">
        <v>802</v>
      </c>
      <c r="R12" s="538" t="n">
        <v>1153</v>
      </c>
      <c r="S12" s="538" t="n">
        <v>2273</v>
      </c>
      <c r="T12" s="539" t="n">
        <v>2156</v>
      </c>
      <c r="U12" s="540" t="n">
        <v>2048</v>
      </c>
      <c r="V12" s="529" t="n">
        <v>4954</v>
      </c>
      <c r="W12" s="529">
        <f>SUM(J12:U12)</f>
        <v/>
      </c>
      <c r="X12" s="530">
        <f>AVERAGE(S12:U12)</f>
        <v/>
      </c>
      <c r="Y12" s="529">
        <f>(S12+T12+U12)*V12</f>
        <v/>
      </c>
      <c r="Z12" s="529">
        <f>W12*V12</f>
        <v/>
      </c>
      <c r="AA12" s="531">
        <f>Z12/SUM($Z$2:$Z$100)</f>
        <v/>
      </c>
      <c r="AB12" s="50">
        <f>SUM($AA$2:AA12)</f>
        <v/>
      </c>
      <c r="AC12" s="45">
        <f>IF(AB12&lt;=70%,"A",IF(AB12&lt;=90%,"B","C"))</f>
        <v/>
      </c>
      <c r="AD12" s="529">
        <f>AVERAGE(J12:U12)</f>
        <v/>
      </c>
      <c r="AE12" s="529">
        <f>_xlfn.STDEV.P(J12:U12)</f>
        <v/>
      </c>
      <c r="AF12" s="532">
        <f>IF(AD12=0,0,AE12/AD12)</f>
        <v/>
      </c>
      <c r="AG12" s="45">
        <f>IF(AF12&lt;0.5,"X",IF(AF12&lt;=1,"Y","Z"))</f>
        <v/>
      </c>
      <c r="AH12" s="45">
        <f>AC12&amp;AG12</f>
        <v/>
      </c>
      <c r="AI12" s="52">
        <f>IF(AH12="CZ",0%,IF(AH12="BZ",0%,IF(AH12="CY",5%,IF(I12="사계절",10%,IF(I12="봄",20%,IF(I12="여름",0%,IF(I12="가을",0%,IF(I12="겨울",0%,10%))))))))</f>
        <v/>
      </c>
      <c r="AJ12" s="289">
        <f>IF(AI12=0,"발주안함","발주")</f>
        <v/>
      </c>
      <c r="AK12" s="307">
        <f>IF(AC12="A",IF(AG12="X","AX - 중간재고+월1회(LCL)",IF(AG12="Y","AY - 낮은재고+격주1회","AZ - 중단")),IF(AC12="B",IF(AG12="X","BX - 낮은재고+격월1회",IF(AG12="Y","BY - 최소재고+분기1회","BZ - 중단")),IF(AG12="X","CX - 중단(재고소진만)",IF(AG12="Y","CY - 중단(재고소진만)","CZ - 즉시단종"))))</f>
        <v/>
      </c>
      <c r="AS12" s="177" t="inlineStr">
        <is>
          <t>계절별 변동계수(CV) - 표준편차 산출 기준</t>
        </is>
      </c>
      <c r="AY12" s="185" t="inlineStr">
        <is>
          <t>계</t>
        </is>
      </c>
      <c r="AZ12" s="186">
        <f>SUM(AZ3:AZ11)</f>
        <v/>
      </c>
      <c r="BA12" s="187">
        <f>SUM(BA3:BA11)</f>
        <v/>
      </c>
      <c r="BB12" s="546">
        <f>SUM(BB3:BB11)</f>
        <v/>
      </c>
      <c r="BC12" s="187">
        <f>SUM(BC3:BC11)</f>
        <v/>
      </c>
      <c r="BD12" s="147" t="n"/>
      <c r="BE12" s="147" t="n"/>
      <c r="BF12" s="147" t="n"/>
      <c r="BG12" s="147" t="n"/>
      <c r="BH12" s="147" t="n"/>
      <c r="BI12" s="147" t="n"/>
      <c r="BJ12" s="147" t="n"/>
      <c r="BK12" s="147" t="n"/>
    </row>
    <row r="13">
      <c r="A13" s="287" t="n">
        <v>11</v>
      </c>
      <c r="B13" s="472" t="inlineStr">
        <is>
          <t>신재품</t>
        </is>
      </c>
      <c r="C13" s="431" t="inlineStr">
        <is>
          <t>ABC12</t>
        </is>
      </c>
      <c r="D13" s="536" t="n"/>
      <c r="E13" s="524" t="n"/>
      <c r="F13" s="42" t="n"/>
      <c r="G13" s="42" t="n"/>
      <c r="H13" s="42" t="n"/>
      <c r="I13" s="45" t="inlineStr">
        <is>
          <t>사계절</t>
        </is>
      </c>
      <c r="J13" s="537" t="n">
        <v>264</v>
      </c>
      <c r="K13" s="538" t="n">
        <v>253</v>
      </c>
      <c r="L13" s="538" t="n">
        <v>917</v>
      </c>
      <c r="M13" s="538" t="n">
        <v>404</v>
      </c>
      <c r="N13" s="538" t="n">
        <v>906</v>
      </c>
      <c r="O13" s="538" t="n">
        <v>606</v>
      </c>
      <c r="P13" s="538" t="n">
        <v>552</v>
      </c>
      <c r="Q13" s="538" t="n">
        <v>900</v>
      </c>
      <c r="R13" s="538" t="n">
        <v>644</v>
      </c>
      <c r="S13" s="538" t="n">
        <v>541</v>
      </c>
      <c r="T13" s="539" t="n">
        <v>537</v>
      </c>
      <c r="U13" s="540" t="n">
        <v>611</v>
      </c>
      <c r="V13" s="529" t="n">
        <v>15644</v>
      </c>
      <c r="W13" s="529">
        <f>SUM(J13:U13)</f>
        <v/>
      </c>
      <c r="X13" s="530">
        <f>AVERAGE(S13:U13)</f>
        <v/>
      </c>
      <c r="Y13" s="529">
        <f>(S13+T13+U13)*V13</f>
        <v/>
      </c>
      <c r="Z13" s="529">
        <f>W13*V13</f>
        <v/>
      </c>
      <c r="AA13" s="531">
        <f>Z13/SUM($Z$2:$Z$100)</f>
        <v/>
      </c>
      <c r="AB13" s="50">
        <f>SUM($AA$2:AA13)</f>
        <v/>
      </c>
      <c r="AC13" s="45">
        <f>IF(AB13&lt;=70%,"A",IF(AB13&lt;=90%,"B","C"))</f>
        <v/>
      </c>
      <c r="AD13" s="529">
        <f>AVERAGE(J13:U13)</f>
        <v/>
      </c>
      <c r="AE13" s="529">
        <f>_xlfn.STDEV.P(J13:U13)</f>
        <v/>
      </c>
      <c r="AF13" s="532">
        <f>IF(AD13=0,0,AE13/AD13)</f>
        <v/>
      </c>
      <c r="AG13" s="45">
        <f>IF(AF13&lt;0.5,"X",IF(AF13&lt;=1,"Y","Z"))</f>
        <v/>
      </c>
      <c r="AH13" s="45">
        <f>AC13&amp;AG13</f>
        <v/>
      </c>
      <c r="AI13" s="52">
        <f>IF(AH13="CZ",0%,IF(AH13="BZ",0%,IF(AH13="CY",5%,IF(I13="사계절",10%,IF(I13="봄",20%,IF(I13="여름",0%,IF(I13="가을",0%,IF(I13="겨울",0%,10%))))))))</f>
        <v/>
      </c>
      <c r="AJ13" s="289">
        <f>IF(AI13=0,"발주안함","발주")</f>
        <v/>
      </c>
      <c r="AK13" s="307">
        <f>IF(AC13="A",IF(AG13="X","AX - 중간재고+월1회(LCL)",IF(AG13="Y","AY - 낮은재고+격주1회","AZ - 중단")),IF(AC13="B",IF(AG13="X","BX - 낮은재고+격월1회",IF(AG13="Y","BY - 최소재고+분기1회","BZ - 중단")),IF(AG13="X","CX - 중단(재고소진만)",IF(AG13="Y","CY - 중단(재고소진만)","CZ - 즉시단종"))))</f>
        <v/>
      </c>
      <c r="AS13" s="199" t="inlineStr">
        <is>
          <t>카테고리</t>
        </is>
      </c>
      <c r="AT13" s="199" t="inlineStr">
        <is>
          <t>CV 계산 기간</t>
        </is>
      </c>
      <c r="AU13" s="199" t="inlineStr">
        <is>
          <t>제외 기간</t>
        </is>
      </c>
      <c r="AV13" s="199" t="inlineStr">
        <is>
          <t>이유</t>
        </is>
      </c>
      <c r="AY13" s="36" t="n"/>
      <c r="AZ13" s="36" t="n"/>
      <c r="BA13" s="36" t="n"/>
      <c r="BB13" s="547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</row>
    <row r="14">
      <c r="A14" s="287" t="n">
        <v>14</v>
      </c>
      <c r="B14" s="472" t="inlineStr">
        <is>
          <t>신재품</t>
        </is>
      </c>
      <c r="C14" s="431" t="inlineStr">
        <is>
          <t>ABC13</t>
        </is>
      </c>
      <c r="D14" s="536" t="n"/>
      <c r="E14" s="524" t="n"/>
      <c r="F14" s="42" t="n"/>
      <c r="G14" s="42" t="n"/>
      <c r="H14" s="42" t="n"/>
      <c r="I14" s="45" t="inlineStr">
        <is>
          <t>여름</t>
        </is>
      </c>
      <c r="J14" s="537" t="n">
        <v>0</v>
      </c>
      <c r="K14" s="538" t="n">
        <v>0</v>
      </c>
      <c r="L14" s="538" t="n">
        <v>0</v>
      </c>
      <c r="M14" s="538" t="n">
        <v>1059</v>
      </c>
      <c r="N14" s="538" t="n">
        <v>3427</v>
      </c>
      <c r="O14" s="538" t="n">
        <v>7650</v>
      </c>
      <c r="P14" s="538" t="n">
        <v>4237</v>
      </c>
      <c r="Q14" s="538" t="n">
        <v>1052</v>
      </c>
      <c r="R14" s="538" t="n">
        <v>299</v>
      </c>
      <c r="S14" s="538" t="n">
        <v>74</v>
      </c>
      <c r="T14" s="539" t="n">
        <v>66</v>
      </c>
      <c r="U14" s="540" t="n">
        <v>95</v>
      </c>
      <c r="V14" s="529" t="n">
        <v>5907</v>
      </c>
      <c r="W14" s="529">
        <f>SUM(J14:U14)</f>
        <v/>
      </c>
      <c r="X14" s="530">
        <f>AVERAGE(S14:U14)</f>
        <v/>
      </c>
      <c r="Y14" s="529">
        <f>(S14+T14+U14)*V14</f>
        <v/>
      </c>
      <c r="Z14" s="529">
        <f>W14*V14</f>
        <v/>
      </c>
      <c r="AA14" s="531">
        <f>Z14/SUM($Z$2:$Z$100)</f>
        <v/>
      </c>
      <c r="AB14" s="50">
        <f>SUM($AA$2:AA14)</f>
        <v/>
      </c>
      <c r="AC14" s="45">
        <f>IF(AB14&lt;=70%,"A",IF(AB14&lt;=90%,"B","C"))</f>
        <v/>
      </c>
      <c r="AD14" s="529">
        <f>AVERAGE(M14:S14)</f>
        <v/>
      </c>
      <c r="AE14" s="529">
        <f>_xlfn.STDEV.S(M14:S14)</f>
        <v/>
      </c>
      <c r="AF14" s="532">
        <f>IF(AD14=0,0,AE14/AD14)</f>
        <v/>
      </c>
      <c r="AG14" s="45">
        <f>IF(AF14&lt;0.5,"X",IF(AF14&lt;=1,"Y","Z"))</f>
        <v/>
      </c>
      <c r="AH14" s="45">
        <f>AC14&amp;AG14</f>
        <v/>
      </c>
      <c r="AI14" s="52">
        <f>IF(AH14="CZ",0%,IF(AH14="BZ",0%,IF(AH14="CY",5%,IF(I14="사계절",10%,IF(I14="봄",20%,IF(I14="여름",0%,IF(I14="가을",0%,IF(I14="겨울",0%,10%))))))))</f>
        <v/>
      </c>
      <c r="AJ14" s="289">
        <f>IF(AI14=0,"발주안함","발주")</f>
        <v/>
      </c>
      <c r="AK14" s="307">
        <f>IF(AC14="A",IF(AG14="X","AX - 중간재고+월1회(LCL)",IF(AG14="Y","AY - 낮은재고+격주1회","AZ - 중단")),IF(AC14="B",IF(AG14="X","BX - 낮은재고+격월1회",IF(AG14="Y","BY - 최소재고+분기1회","BZ - 중단")),IF(AG14="X","CX - 중단(재고소진만)",IF(AG14="Y","CY - 중단(재고소진만)","CZ - 즉시단종"))))</f>
        <v/>
      </c>
      <c r="AS14" s="184" t="inlineStr">
        <is>
          <t>봄</t>
        </is>
      </c>
      <c r="AT14" s="148" t="inlineStr">
        <is>
          <t>3~5월만</t>
        </is>
      </c>
      <c r="AU14" s="148" t="inlineStr">
        <is>
          <t>6~2월 제외</t>
        </is>
      </c>
      <c r="AV14" s="148" t="inlineStr">
        <is>
          <t>연중 판매</t>
        </is>
      </c>
      <c r="AY14" s="36" t="n"/>
      <c r="AZ14" s="36" t="n"/>
      <c r="BA14" s="36" t="n"/>
      <c r="BB14" s="547" t="n"/>
      <c r="BC14" s="36" t="n"/>
      <c r="BD14" s="36" t="n"/>
      <c r="BE14" s="36" t="n"/>
      <c r="BF14" s="36" t="n"/>
      <c r="BG14" s="36" t="n"/>
      <c r="BH14" s="36" t="n"/>
      <c r="BI14" s="36" t="n"/>
      <c r="BJ14" s="36" t="n"/>
      <c r="BK14" s="36" t="n"/>
      <c r="BL14" s="36" t="n"/>
      <c r="BM14" s="69" t="n"/>
    </row>
    <row r="15">
      <c r="A15" s="287" t="n">
        <v>13</v>
      </c>
      <c r="B15" s="472" t="inlineStr">
        <is>
          <t>신재품</t>
        </is>
      </c>
      <c r="C15" s="431" t="inlineStr">
        <is>
          <t>ABC14</t>
        </is>
      </c>
      <c r="D15" s="536" t="n"/>
      <c r="E15" s="524" t="n"/>
      <c r="F15" s="42" t="n"/>
      <c r="G15" s="42" t="n"/>
      <c r="H15" s="42" t="n"/>
      <c r="I15" s="45" t="inlineStr">
        <is>
          <t>사계절</t>
        </is>
      </c>
      <c r="J15" s="537" t="n">
        <v>288</v>
      </c>
      <c r="K15" s="538" t="n">
        <v>333</v>
      </c>
      <c r="L15" s="538" t="n">
        <v>540</v>
      </c>
      <c r="M15" s="538" t="n">
        <v>366</v>
      </c>
      <c r="N15" s="538" t="n">
        <v>228</v>
      </c>
      <c r="O15" s="538" t="n">
        <v>154</v>
      </c>
      <c r="P15" s="538" t="n">
        <v>81</v>
      </c>
      <c r="Q15" s="538" t="n">
        <v>110</v>
      </c>
      <c r="R15" s="538" t="n">
        <v>381</v>
      </c>
      <c r="S15" s="538" t="n">
        <v>560</v>
      </c>
      <c r="T15" s="539" t="n">
        <v>614</v>
      </c>
      <c r="U15" s="540" t="n">
        <v>499</v>
      </c>
      <c r="V15" s="529" t="n">
        <v>22456</v>
      </c>
      <c r="W15" s="529">
        <f>SUM(J15:U15)</f>
        <v/>
      </c>
      <c r="X15" s="530">
        <f>AVERAGE(S15:U15)</f>
        <v/>
      </c>
      <c r="Y15" s="529">
        <f>(S15+T15+U15)*V15</f>
        <v/>
      </c>
      <c r="Z15" s="529">
        <f>W15*V15</f>
        <v/>
      </c>
      <c r="AA15" s="531">
        <f>Z15/SUM($Z$2:$Z$100)</f>
        <v/>
      </c>
      <c r="AB15" s="50">
        <f>SUM($AA$2:AA15)</f>
        <v/>
      </c>
      <c r="AC15" s="45">
        <f>IF(AB15&lt;=70%,"A",IF(AB15&lt;=90%,"B","C"))</f>
        <v/>
      </c>
      <c r="AD15" s="529">
        <f>AVERAGE(J15:U15)</f>
        <v/>
      </c>
      <c r="AE15" s="529">
        <f>_xlfn.STDEV.P(J15:U15)</f>
        <v/>
      </c>
      <c r="AF15" s="532">
        <f>IF(AD15=0,0,AE15/AD15)</f>
        <v/>
      </c>
      <c r="AG15" s="45">
        <f>IF(AF15&lt;0.5,"X",IF(AF15&lt;=1,"Y","Z"))</f>
        <v/>
      </c>
      <c r="AH15" s="45">
        <f>AC15&amp;AG15</f>
        <v/>
      </c>
      <c r="AI15" s="52">
        <f>IF(AH15="CZ",0%,IF(AH15="BZ",0%,IF(AH15="CY",5%,IF(I15="사계절",10%,IF(I15="봄",20%,IF(I15="여름",0%,IF(I15="가을",0%,IF(I15="겨울",0%,10%))))))))</f>
        <v/>
      </c>
      <c r="AJ15" s="289">
        <f>IF(AI15=0,"발주안함","발주")</f>
        <v/>
      </c>
      <c r="AK15" s="307">
        <f>IF(AC15="A",IF(AG15="X","AX - 중간재고+월1회(LCL)",IF(AG15="Y","AY - 낮은재고+격주1회","AZ - 중단")),IF(AC15="B",IF(AG15="X","BX - 낮은재고+격월1회",IF(AG15="Y","BY - 최소재고+분기1회","BZ - 중단")),IF(AG15="X","CX - 중단(재고소진만)",IF(AG15="Y","CY - 중단(재고소진만)","CZ - 즉시단종"))))</f>
        <v/>
      </c>
      <c r="AS15" s="201" t="inlineStr">
        <is>
          <t>사계절</t>
        </is>
      </c>
      <c r="AT15" s="202" t="inlineStr">
        <is>
          <t>1~12월 전체</t>
        </is>
      </c>
      <c r="AU15" s="202" t="inlineStr">
        <is>
          <t>없음</t>
        </is>
      </c>
      <c r="AV15" s="148" t="inlineStr">
        <is>
          <t>비시즌 0개 제외</t>
        </is>
      </c>
      <c r="AY15" s="70" t="n"/>
      <c r="AZ15" s="36" t="n"/>
      <c r="BA15" s="70" t="n"/>
      <c r="BB15" s="548" t="n"/>
      <c r="BC15" s="70" t="n"/>
      <c r="BD15" s="72" t="n"/>
      <c r="BE15" s="72" t="n"/>
      <c r="BF15" s="72" t="n"/>
      <c r="BG15" s="72" t="n"/>
      <c r="BH15" s="72" t="n"/>
      <c r="BI15" s="72" t="n"/>
      <c r="BJ15" s="72" t="n"/>
      <c r="BK15" s="73" t="n"/>
      <c r="BL15" s="72" t="n"/>
      <c r="BM15" s="69" t="n"/>
    </row>
    <row r="16">
      <c r="A16" s="287" t="n">
        <v>18</v>
      </c>
      <c r="B16" s="472" t="inlineStr">
        <is>
          <t>신재품</t>
        </is>
      </c>
      <c r="C16" s="431" t="inlineStr">
        <is>
          <t>ABC15</t>
        </is>
      </c>
      <c r="D16" s="536" t="n"/>
      <c r="E16" s="524" t="n"/>
      <c r="F16" s="42" t="n"/>
      <c r="G16" s="42" t="n"/>
      <c r="H16" s="42" t="n"/>
      <c r="I16" s="45" t="inlineStr">
        <is>
          <t>여름</t>
        </is>
      </c>
      <c r="J16" s="537" t="n">
        <v>0</v>
      </c>
      <c r="K16" s="538" t="n">
        <v>0</v>
      </c>
      <c r="L16" s="538" t="n">
        <v>0</v>
      </c>
      <c r="M16" s="538" t="n">
        <v>108</v>
      </c>
      <c r="N16" s="538" t="n">
        <v>396</v>
      </c>
      <c r="O16" s="538" t="n">
        <v>809</v>
      </c>
      <c r="P16" s="538" t="n">
        <v>283</v>
      </c>
      <c r="Q16" s="538" t="n">
        <v>56</v>
      </c>
      <c r="R16" s="538" t="n">
        <v>8</v>
      </c>
      <c r="S16" s="538" t="n">
        <v>5</v>
      </c>
      <c r="T16" s="539" t="n">
        <v>2</v>
      </c>
      <c r="U16" s="540" t="n">
        <v>4</v>
      </c>
      <c r="V16" s="529" t="n">
        <v>52386</v>
      </c>
      <c r="W16" s="529">
        <f>SUM(J16:U16)</f>
        <v/>
      </c>
      <c r="X16" s="530">
        <f>AVERAGE(S16:U16)</f>
        <v/>
      </c>
      <c r="Y16" s="529">
        <f>(S16+T16+U16)*V16</f>
        <v/>
      </c>
      <c r="Z16" s="529">
        <f>W16*V16</f>
        <v/>
      </c>
      <c r="AA16" s="531">
        <f>Z16/SUM($Z$2:$Z$100)</f>
        <v/>
      </c>
      <c r="AB16" s="50">
        <f>SUM($AA$2:AA16)</f>
        <v/>
      </c>
      <c r="AC16" s="45">
        <f>IF(AB16&lt;=70%,"A",IF(AB16&lt;=90%,"B","C"))</f>
        <v/>
      </c>
      <c r="AD16" s="529">
        <f>AVERAGE(M16:S16)</f>
        <v/>
      </c>
      <c r="AE16" s="529">
        <f>_xlfn.STDEV.S(M16:S16)</f>
        <v/>
      </c>
      <c r="AF16" s="532">
        <f>IF(AD16=0,0,AE16/AD16)</f>
        <v/>
      </c>
      <c r="AG16" s="45">
        <f>IF(AF16&lt;0.5,"X",IF(AF16&lt;=1,"Y","Z"))</f>
        <v/>
      </c>
      <c r="AH16" s="45">
        <f>AC16&amp;AG16</f>
        <v/>
      </c>
      <c r="AI16" s="52">
        <f>IF(AH16="CZ",0%,IF(AH16="BZ",0%,IF(AH16="CY",5%,IF(I16="사계절",10%,IF(I16="봄",20%,IF(I16="여름",0%,IF(I16="가을",0%,IF(I16="겨울",0%,10%))))))))</f>
        <v/>
      </c>
      <c r="AJ16" s="289">
        <f>IF(AI16=0,"발주안함","발주")</f>
        <v/>
      </c>
      <c r="AK16" s="307">
        <f>IF(AC16="A",IF(AG16="X","AX - 중간재고+월1회(LCL)",IF(AG16="Y","AY - 낮은재고+격주1회","AZ - 중단")),IF(AC16="B",IF(AG16="X","BX - 낮은재고+격월1회",IF(AG16="Y","BY - 최소재고+분기1회","BZ - 중단")),IF(AG16="X","CX - 중단(재고소진만)",IF(AG16="Y","CY - 중단(재고소진만)","CZ - 즉시단종"))))</f>
        <v/>
      </c>
      <c r="AS16" s="201" t="inlineStr">
        <is>
          <t>여름</t>
        </is>
      </c>
      <c r="AT16" s="202" t="inlineStr">
        <is>
          <t>4~10월만</t>
        </is>
      </c>
      <c r="AU16" s="202" t="inlineStr">
        <is>
          <t>11~3월 제외</t>
        </is>
      </c>
      <c r="AV16" s="148" t="inlineStr">
        <is>
          <t>비시즌 0개 제외</t>
        </is>
      </c>
      <c r="AY16" s="70" t="n"/>
      <c r="AZ16" s="36" t="n"/>
      <c r="BA16" s="70" t="n"/>
      <c r="BB16" s="548" t="n"/>
      <c r="BC16" s="70" t="n"/>
      <c r="BD16" s="72" t="n"/>
      <c r="BE16" s="72" t="n"/>
      <c r="BF16" s="72" t="n"/>
      <c r="BG16" s="72" t="n"/>
      <c r="BH16" s="72" t="n"/>
      <c r="BI16" s="72" t="n"/>
      <c r="BJ16" s="72" t="n"/>
      <c r="BK16" s="73" t="n"/>
      <c r="BL16" s="72" t="n"/>
      <c r="BM16" s="69" t="n"/>
    </row>
    <row r="17">
      <c r="A17" s="287" t="n">
        <v>15</v>
      </c>
      <c r="B17" s="472" t="inlineStr">
        <is>
          <t>신재품</t>
        </is>
      </c>
      <c r="C17" s="431" t="inlineStr">
        <is>
          <t>ABC16</t>
        </is>
      </c>
      <c r="D17" s="536" t="n"/>
      <c r="E17" s="524" t="n"/>
      <c r="F17" s="42" t="n"/>
      <c r="G17" s="42" t="n"/>
      <c r="H17" s="42" t="n"/>
      <c r="I17" s="45" t="inlineStr">
        <is>
          <t>사계절</t>
        </is>
      </c>
      <c r="J17" s="537" t="n">
        <v>157</v>
      </c>
      <c r="K17" s="538" t="n">
        <v>231</v>
      </c>
      <c r="L17" s="538" t="n">
        <v>575</v>
      </c>
      <c r="M17" s="538" t="n">
        <v>660</v>
      </c>
      <c r="N17" s="538" t="n">
        <v>463</v>
      </c>
      <c r="O17" s="538" t="n">
        <v>281</v>
      </c>
      <c r="P17" s="538" t="n">
        <v>132</v>
      </c>
      <c r="Q17" s="538" t="n">
        <v>127</v>
      </c>
      <c r="R17" s="538" t="n">
        <v>207</v>
      </c>
      <c r="S17" s="538" t="n">
        <v>325</v>
      </c>
      <c r="T17" s="539" t="n">
        <v>248</v>
      </c>
      <c r="U17" s="540" t="n">
        <v>271</v>
      </c>
      <c r="V17" s="529" t="n">
        <v>22456</v>
      </c>
      <c r="W17" s="529">
        <f>SUM(J17:U17)</f>
        <v/>
      </c>
      <c r="X17" s="530">
        <f>AVERAGE(S17:U17)</f>
        <v/>
      </c>
      <c r="Y17" s="529">
        <f>(S17+T17+U17)*V17</f>
        <v/>
      </c>
      <c r="Z17" s="529">
        <f>W17*V17</f>
        <v/>
      </c>
      <c r="AA17" s="531">
        <f>Z17/SUM($Z$2:$Z$100)</f>
        <v/>
      </c>
      <c r="AB17" s="50">
        <f>SUM($AA$2:AA17)</f>
        <v/>
      </c>
      <c r="AC17" s="45">
        <f>IF(AB17&lt;=70%,"A",IF(AB17&lt;=90%,"B","C"))</f>
        <v/>
      </c>
      <c r="AD17" s="529">
        <f>AVERAGE(J17:U17)</f>
        <v/>
      </c>
      <c r="AE17" s="529">
        <f>_xlfn.STDEV.P(J17:U17)</f>
        <v/>
      </c>
      <c r="AF17" s="532">
        <f>IF(AD17=0,0,AE17/AD17)</f>
        <v/>
      </c>
      <c r="AG17" s="45">
        <f>IF(AF17&lt;0.5,"X",IF(AF17&lt;=1,"Y","Z"))</f>
        <v/>
      </c>
      <c r="AH17" s="45">
        <f>AC17&amp;AG17</f>
        <v/>
      </c>
      <c r="AI17" s="52">
        <f>IF(AH17="CZ",0%,IF(AH17="BZ",0%,IF(AH17="CY",5%,IF(I17="사계절",10%,IF(I17="봄",20%,IF(I17="여름",0%,IF(I17="가을",0%,IF(I17="겨울",0%,10%))))))))</f>
        <v/>
      </c>
      <c r="AJ17" s="289">
        <f>IF(AI17=0,"발주안함","발주")</f>
        <v/>
      </c>
      <c r="AK17" s="307">
        <f>IF(AC17="A",IF(AG17="X","AX - 중간재고+월1회(LCL)",IF(AG17="Y","AY - 낮은재고+격주1회","AZ - 중단")),IF(AC17="B",IF(AG17="X","BX - 낮은재고+격월1회",IF(AG17="Y","BY - 최소재고+분기1회","BZ - 중단")),IF(AG17="X","CX - 중단(재고소진만)",IF(AG17="Y","CY - 중단(재고소진만)","CZ - 즉시단종"))))</f>
        <v/>
      </c>
      <c r="AS17" s="184" t="inlineStr">
        <is>
          <t>가을</t>
        </is>
      </c>
      <c r="AT17" s="148" t="inlineStr">
        <is>
          <t>9~11월만</t>
        </is>
      </c>
      <c r="AU17" s="148" t="inlineStr">
        <is>
          <t>12~8월 제외</t>
        </is>
      </c>
      <c r="AV17" s="148" t="inlineStr">
        <is>
          <t>비시즌 0개 제외</t>
        </is>
      </c>
      <c r="AY17" s="70" t="n"/>
      <c r="AZ17" s="36" t="n"/>
      <c r="BA17" s="70" t="n"/>
      <c r="BB17" s="548" t="n"/>
      <c r="BC17" s="70" t="n"/>
      <c r="BD17" s="72" t="n"/>
      <c r="BE17" s="72" t="n"/>
      <c r="BF17" s="72" t="n"/>
      <c r="BG17" s="72" t="n"/>
      <c r="BH17" s="72" t="n"/>
      <c r="BI17" s="72" t="n"/>
      <c r="BJ17" s="72" t="n"/>
      <c r="BK17" s="73" t="n"/>
      <c r="BL17" s="72" t="n"/>
      <c r="BM17" s="69" t="n"/>
    </row>
    <row r="18">
      <c r="A18" s="287" t="n">
        <v>16</v>
      </c>
      <c r="B18" s="472" t="inlineStr">
        <is>
          <t>신재품</t>
        </is>
      </c>
      <c r="C18" s="431" t="inlineStr">
        <is>
          <t>ABC17</t>
        </is>
      </c>
      <c r="D18" s="536" t="n"/>
      <c r="E18" s="524" t="n"/>
      <c r="F18" s="42" t="n"/>
      <c r="G18" s="42" t="n"/>
      <c r="H18" s="42" t="n"/>
      <c r="I18" s="45" t="inlineStr">
        <is>
          <t>사계절</t>
        </is>
      </c>
      <c r="J18" s="537" t="n">
        <v>148</v>
      </c>
      <c r="K18" s="538" t="n">
        <v>249</v>
      </c>
      <c r="L18" s="538" t="n">
        <v>255</v>
      </c>
      <c r="M18" s="538" t="n">
        <v>155</v>
      </c>
      <c r="N18" s="538" t="n">
        <v>82</v>
      </c>
      <c r="O18" s="538" t="n">
        <v>89</v>
      </c>
      <c r="P18" s="538" t="n">
        <v>70</v>
      </c>
      <c r="Q18" s="538" t="n">
        <v>82</v>
      </c>
      <c r="R18" s="538" t="n">
        <v>126</v>
      </c>
      <c r="S18" s="538" t="n">
        <v>32</v>
      </c>
      <c r="T18" s="539" t="n">
        <v>17</v>
      </c>
      <c r="U18" s="540" t="n">
        <v>81</v>
      </c>
      <c r="V18" s="529" t="n">
        <v>56608</v>
      </c>
      <c r="W18" s="529">
        <f>SUM(J18:U18)</f>
        <v/>
      </c>
      <c r="X18" s="530">
        <f>AVERAGE(S18:U18)</f>
        <v/>
      </c>
      <c r="Y18" s="529">
        <f>(S18+T18+U18)*V18</f>
        <v/>
      </c>
      <c r="Z18" s="529">
        <f>W18*V18</f>
        <v/>
      </c>
      <c r="AA18" s="531">
        <f>Z18/SUM($Z$2:$Z$100)</f>
        <v/>
      </c>
      <c r="AB18" s="50">
        <f>SUM($AA$2:AA18)</f>
        <v/>
      </c>
      <c r="AC18" s="45">
        <f>IF(AB18&lt;=70%,"A",IF(AB18&lt;=90%,"B","C"))</f>
        <v/>
      </c>
      <c r="AD18" s="529">
        <f>AVERAGE(J18:U18)</f>
        <v/>
      </c>
      <c r="AE18" s="529">
        <f>_xlfn.STDEV.P(J18:U18)</f>
        <v/>
      </c>
      <c r="AF18" s="532">
        <f>IF(AD18=0,0,AE18/AD18)</f>
        <v/>
      </c>
      <c r="AG18" s="45">
        <f>IF(AF18&lt;0.5,"X",IF(AF18&lt;=1,"Y","Z"))</f>
        <v/>
      </c>
      <c r="AH18" s="45">
        <f>AC18&amp;AG18</f>
        <v/>
      </c>
      <c r="AI18" s="52">
        <f>IF(AH18="CZ",0%,IF(AH18="BZ",0%,IF(AH18="CY",5%,IF(I18="사계절",10%,IF(I18="봄",20%,IF(I18="여름",0%,IF(I18="가을",0%,IF(I18="겨울",0%,10%))))))))</f>
        <v/>
      </c>
      <c r="AJ18" s="289">
        <f>IF(AI18=0,"발주안함","발주")</f>
        <v/>
      </c>
      <c r="AK18" s="307">
        <f>IF(AC18="A",IF(AG18="X","AX - 중간재고+월1회(LCL)",IF(AG18="Y","AY - 낮은재고+격주1회","AZ - 중단")),IF(AC18="B",IF(AG18="X","BX - 낮은재고+격월1회",IF(AG18="Y","BY - 최소재고+분기1회","BZ - 중단")),IF(AG18="X","CX - 중단(재고소진만)",IF(AG18="Y","CY - 중단(재고소진만)","CZ - 즉시단종"))))</f>
        <v/>
      </c>
      <c r="AS18" s="201" t="inlineStr">
        <is>
          <t>겨울</t>
        </is>
      </c>
      <c r="AT18" s="202" t="inlineStr">
        <is>
          <t>9~2월만</t>
        </is>
      </c>
      <c r="AU18" s="202" t="inlineStr">
        <is>
          <t>3~8월 제외</t>
        </is>
      </c>
      <c r="AV18" s="200" t="inlineStr">
        <is>
          <t>-</t>
        </is>
      </c>
      <c r="AY18" s="70" t="n"/>
      <c r="AZ18" s="36" t="n"/>
      <c r="BA18" s="70" t="n"/>
      <c r="BB18" s="548" t="n"/>
      <c r="BC18" s="70" t="n"/>
      <c r="BD18" s="72" t="n"/>
      <c r="BE18" s="72" t="n"/>
      <c r="BF18" s="72" t="n"/>
      <c r="BG18" s="72" t="n"/>
      <c r="BH18" s="72" t="n"/>
      <c r="BI18" s="72" t="n"/>
      <c r="BJ18" s="72" t="n"/>
      <c r="BK18" s="73" t="n"/>
      <c r="BL18" s="72" t="n"/>
      <c r="BM18" s="69" t="n"/>
    </row>
    <row r="19">
      <c r="A19" s="287" t="n">
        <v>17</v>
      </c>
      <c r="B19" s="472" t="inlineStr">
        <is>
          <t>신재품</t>
        </is>
      </c>
      <c r="C19" s="431" t="inlineStr">
        <is>
          <t>ABC18</t>
        </is>
      </c>
      <c r="D19" s="536" t="n"/>
      <c r="E19" s="524" t="n"/>
      <c r="F19" s="42" t="n"/>
      <c r="G19" s="42" t="n"/>
      <c r="H19" s="42" t="n"/>
      <c r="I19" s="45" t="inlineStr">
        <is>
          <t>사계절</t>
        </is>
      </c>
      <c r="J19" s="537" t="n">
        <v>268</v>
      </c>
      <c r="K19" s="538" t="n">
        <v>541</v>
      </c>
      <c r="L19" s="538" t="n">
        <v>892</v>
      </c>
      <c r="M19" s="538" t="n">
        <v>419</v>
      </c>
      <c r="N19" s="538" t="n">
        <v>270</v>
      </c>
      <c r="O19" s="538" t="n">
        <v>150</v>
      </c>
      <c r="P19" s="538" t="n">
        <v>86</v>
      </c>
      <c r="Q19" s="538" t="n">
        <v>132</v>
      </c>
      <c r="R19" s="538" t="n">
        <v>411</v>
      </c>
      <c r="S19" s="538" t="n">
        <v>741</v>
      </c>
      <c r="T19" s="539" t="n">
        <v>719</v>
      </c>
      <c r="U19" s="540" t="n">
        <v>616</v>
      </c>
      <c r="V19" s="529" t="n">
        <v>14655</v>
      </c>
      <c r="W19" s="529">
        <f>SUM(J19:U19)</f>
        <v/>
      </c>
      <c r="X19" s="530">
        <f>AVERAGE(S19:U19)</f>
        <v/>
      </c>
      <c r="Y19" s="529">
        <f>(S19+T19+U19)*V19</f>
        <v/>
      </c>
      <c r="Z19" s="529">
        <f>W19*V19</f>
        <v/>
      </c>
      <c r="AA19" s="531">
        <f>Z19/SUM($Z$2:$Z$100)</f>
        <v/>
      </c>
      <c r="AB19" s="50">
        <f>SUM($AA$2:AA19)</f>
        <v/>
      </c>
      <c r="AC19" s="45">
        <f>IF(AB19&lt;=70%,"A",IF(AB19&lt;=90%,"B","C"))</f>
        <v/>
      </c>
      <c r="AD19" s="529">
        <f>AVERAGE(J19:U19)</f>
        <v/>
      </c>
      <c r="AE19" s="529">
        <f>_xlfn.STDEV.P(J19:U19)</f>
        <v/>
      </c>
      <c r="AF19" s="532">
        <f>IF(AD19=0,0,AE19/AD19)</f>
        <v/>
      </c>
      <c r="AG19" s="45">
        <f>IF(AF19&lt;0.5,"X",IF(AF19&lt;=1,"Y","Z"))</f>
        <v/>
      </c>
      <c r="AH19" s="45">
        <f>AC19&amp;AG19</f>
        <v/>
      </c>
      <c r="AI19" s="52">
        <f>IF(AH19="CZ",0%,IF(AH19="BZ",0%,IF(AH19="CY",5%,IF(I19="사계절",10%,IF(I19="봄",20%,IF(I19="여름",0%,IF(I19="가을",0%,IF(I19="겨울",0%,10%))))))))</f>
        <v/>
      </c>
      <c r="AJ19" s="289">
        <f>IF(AI19=0,"발주안함","발주")</f>
        <v/>
      </c>
      <c r="AK19" s="307">
        <f>IF(AC19="A",IF(AG19="X","AX - 중간재고+월1회(LCL)",IF(AG19="Y","AY - 낮은재고+격주1회","AZ - 중단")),IF(AC19="B",IF(AG19="X","BX - 낮은재고+격월1회",IF(AG19="Y","BY - 최소재고+분기1회","BZ - 중단")),IF(AG19="X","CX - 중단(재고소진만)",IF(AG19="Y","CY - 중단(재고소진만)","CZ - 즉시단종"))))</f>
        <v/>
      </c>
      <c r="AY19" s="70" t="n"/>
      <c r="AZ19" s="36" t="n"/>
      <c r="BA19" s="70" t="n"/>
      <c r="BB19" s="548" t="n"/>
      <c r="BC19" s="70" t="n"/>
      <c r="BD19" s="72" t="n"/>
      <c r="BE19" s="72" t="n"/>
      <c r="BF19" s="72" t="n"/>
      <c r="BG19" s="72" t="n"/>
      <c r="BH19" s="72" t="n"/>
      <c r="BI19" s="72" t="n"/>
      <c r="BJ19" s="72" t="n"/>
      <c r="BK19" s="73" t="n"/>
      <c r="BL19" s="72" t="n"/>
      <c r="BM19" s="69" t="n"/>
    </row>
    <row r="20">
      <c r="A20" s="287" t="n">
        <v>19</v>
      </c>
      <c r="B20" s="472" t="inlineStr">
        <is>
          <t>신재품</t>
        </is>
      </c>
      <c r="C20" s="431" t="inlineStr">
        <is>
          <t>ABC19</t>
        </is>
      </c>
      <c r="D20" s="536" t="n"/>
      <c r="E20" s="524" t="n"/>
      <c r="F20" s="42" t="n"/>
      <c r="G20" s="42" t="n"/>
      <c r="H20" s="42" t="n"/>
      <c r="I20" s="45" t="inlineStr">
        <is>
          <t>사계절</t>
        </is>
      </c>
      <c r="J20" s="537" t="n">
        <v>248</v>
      </c>
      <c r="K20" s="538" t="n">
        <v>358</v>
      </c>
      <c r="L20" s="538" t="n">
        <v>463</v>
      </c>
      <c r="M20" s="538" t="n">
        <v>313</v>
      </c>
      <c r="N20" s="538" t="n">
        <v>181</v>
      </c>
      <c r="O20" s="538" t="n">
        <v>133</v>
      </c>
      <c r="P20" s="538" t="n">
        <v>100</v>
      </c>
      <c r="Q20" s="538" t="n">
        <v>84</v>
      </c>
      <c r="R20" s="538" t="n">
        <v>218</v>
      </c>
      <c r="S20" s="538" t="n">
        <v>227</v>
      </c>
      <c r="T20" s="539" t="n">
        <v>260</v>
      </c>
      <c r="U20" s="540" t="n">
        <v>186</v>
      </c>
      <c r="V20" s="529" t="n">
        <v>26893</v>
      </c>
      <c r="W20" s="529">
        <f>SUM(J20:U20)</f>
        <v/>
      </c>
      <c r="X20" s="530">
        <f>AVERAGE(S20:U20)</f>
        <v/>
      </c>
      <c r="Y20" s="529">
        <f>(S20+T20+U20)*V20</f>
        <v/>
      </c>
      <c r="Z20" s="529">
        <f>W20*V20</f>
        <v/>
      </c>
      <c r="AA20" s="531">
        <f>Z20/SUM($Z$2:$Z$100)</f>
        <v/>
      </c>
      <c r="AB20" s="50">
        <f>SUM($AA$2:AA20)</f>
        <v/>
      </c>
      <c r="AC20" s="45">
        <f>IF(AB20&lt;=70%,"A",IF(AB20&lt;=90%,"B","C"))</f>
        <v/>
      </c>
      <c r="AD20" s="529">
        <f>AVERAGE(J20:U20)</f>
        <v/>
      </c>
      <c r="AE20" s="529">
        <f>_xlfn.STDEV.P(J20:U20)</f>
        <v/>
      </c>
      <c r="AF20" s="532">
        <f>IF(AD20=0,0,AE20/AD20)</f>
        <v/>
      </c>
      <c r="AG20" s="45">
        <f>IF(AF20&lt;0.5,"X",IF(AF20&lt;=1,"Y","Z"))</f>
        <v/>
      </c>
      <c r="AH20" s="45">
        <f>AC20&amp;AG20</f>
        <v/>
      </c>
      <c r="AI20" s="52">
        <f>IF(AH20="CZ",0%,IF(AH20="BZ",0%,IF(AH20="CY",5%,IF(I20="사계절",10%,IF(I20="봄",20%,IF(I20="여름",0%,IF(I20="가을",0%,IF(I20="겨울",0%,10%))))))))</f>
        <v/>
      </c>
      <c r="AJ20" s="289">
        <f>IF(AI20=0,"발주안함","발주")</f>
        <v/>
      </c>
      <c r="AK20" s="307">
        <f>IF(AC20="A",IF(AG20="X","AX - 중간재고+월1회(LCL)",IF(AG20="Y","AY - 낮은재고+격주1회","AZ - 중단")),IF(AC20="B",IF(AG20="X","BX - 낮은재고+격월1회",IF(AG20="Y","BY - 최소재고+분기1회","BZ - 중단")),IF(AG20="X","CX - 중단(재고소진만)",IF(AG20="Y","CY - 중단(재고소진만)","CZ - 즉시단종"))))</f>
        <v/>
      </c>
      <c r="AS20" s="136" t="inlineStr">
        <is>
          <t>정상 상황 (창고/자금 여유)</t>
        </is>
      </c>
      <c r="AT20" s="138" t="n"/>
      <c r="AU20" s="138" t="n"/>
      <c r="AV20" s="138" t="n"/>
      <c r="AW20" s="136" t="inlineStr">
        <is>
          <t>위기 상황 (창고부족/자금부족) - 현재 적용 중</t>
        </is>
      </c>
      <c r="AX20" s="138" t="n"/>
      <c r="AY20" s="138" t="n"/>
      <c r="AZ20" s="36" t="n"/>
      <c r="BA20" s="70" t="n"/>
      <c r="BB20" s="548" t="n"/>
      <c r="BC20" s="70" t="n"/>
      <c r="BD20" s="72" t="n"/>
      <c r="BE20" s="72" t="n"/>
      <c r="BF20" s="72" t="n"/>
      <c r="BG20" s="72" t="n"/>
      <c r="BH20" s="72" t="n"/>
      <c r="BI20" s="72" t="n"/>
      <c r="BJ20" s="72" t="n"/>
      <c r="BK20" s="73" t="n"/>
      <c r="BL20" s="72" t="n"/>
      <c r="BM20" s="69" t="n"/>
    </row>
    <row r="21" ht="17.25" customHeight="1" s="480" thickBot="1">
      <c r="A21" s="287" t="n">
        <v>20</v>
      </c>
      <c r="B21" s="472" t="inlineStr">
        <is>
          <t>신재품</t>
        </is>
      </c>
      <c r="C21" s="431" t="inlineStr">
        <is>
          <t>ABC20</t>
        </is>
      </c>
      <c r="D21" s="536" t="n"/>
      <c r="E21" s="524" t="n"/>
      <c r="F21" s="42" t="n"/>
      <c r="G21" s="42" t="n"/>
      <c r="H21" s="42" t="n"/>
      <c r="I21" s="45" t="inlineStr">
        <is>
          <t>사계절</t>
        </is>
      </c>
      <c r="J21" s="537" t="n">
        <v>243</v>
      </c>
      <c r="K21" s="538" t="n">
        <v>587</v>
      </c>
      <c r="L21" s="538" t="n">
        <v>658</v>
      </c>
      <c r="M21" s="538" t="n">
        <v>295</v>
      </c>
      <c r="N21" s="538" t="n">
        <v>180</v>
      </c>
      <c r="O21" s="538" t="n">
        <v>113</v>
      </c>
      <c r="P21" s="538" t="n">
        <v>51</v>
      </c>
      <c r="Q21" s="538" t="n">
        <v>72</v>
      </c>
      <c r="R21" s="538" t="n">
        <v>245</v>
      </c>
      <c r="S21" s="538" t="n">
        <v>298</v>
      </c>
      <c r="T21" s="539" t="n">
        <v>315</v>
      </c>
      <c r="U21" s="540" t="n">
        <v>225</v>
      </c>
      <c r="V21" s="529" t="n">
        <v>22064</v>
      </c>
      <c r="W21" s="529">
        <f>SUM(J21:U21)</f>
        <v/>
      </c>
      <c r="X21" s="530">
        <f>AVERAGE(S21:U21)</f>
        <v/>
      </c>
      <c r="Y21" s="529">
        <f>(S21+T21+U21)*V21</f>
        <v/>
      </c>
      <c r="Z21" s="529">
        <f>W21*V21</f>
        <v/>
      </c>
      <c r="AA21" s="531">
        <f>Z21/SUM($Z$2:$Z$100)</f>
        <v/>
      </c>
      <c r="AB21" s="50">
        <f>SUM($AA$2:AA21)</f>
        <v/>
      </c>
      <c r="AC21" s="45">
        <f>IF(AB21&lt;=70%,"A",IF(AB21&lt;=90%,"B","C"))</f>
        <v/>
      </c>
      <c r="AD21" s="529">
        <f>AVERAGE(J21:U21)</f>
        <v/>
      </c>
      <c r="AE21" s="529">
        <f>_xlfn.STDEV.P(J21:U21)</f>
        <v/>
      </c>
      <c r="AF21" s="532">
        <f>IF(AD21=0,0,AE21/AD21)</f>
        <v/>
      </c>
      <c r="AG21" s="45">
        <f>IF(AF21&lt;0.5,"X",IF(AF21&lt;=1,"Y","Z"))</f>
        <v/>
      </c>
      <c r="AH21" s="45">
        <f>AC21&amp;AG21</f>
        <v/>
      </c>
      <c r="AI21" s="52">
        <f>IF(AH21="CZ",0%,IF(AH21="BZ",0%,IF(AH21="CY",5%,IF(I21="사계절",10%,IF(I21="봄",20%,IF(I21="여름",0%,IF(I21="가을",0%,IF(I21="겨울",0%,10%))))))))</f>
        <v/>
      </c>
      <c r="AJ21" s="289">
        <f>IF(AI21=0,"발주안함","발주")</f>
        <v/>
      </c>
      <c r="AK21" s="307">
        <f>IF(AC21="A",IF(AG21="X","AX - 중간재고+월1회(LCL)",IF(AG21="Y","AY - 낮은재고+격주1회","AZ - 중단")),IF(AC21="B",IF(AG21="X","BX - 낮은재고+격월1회",IF(AG21="Y","BY - 최소재고+분기1회","BZ - 중단")),IF(AG21="X","CX - 중단(재고소진만)",IF(AG21="Y","CY - 중단(재고소진만)","CZ - 즉시단종"))))</f>
        <v/>
      </c>
      <c r="AS21" s="137" t="inlineStr">
        <is>
          <t>등급</t>
        </is>
      </c>
      <c r="AT21" s="137" t="inlineStr">
        <is>
          <t>재고 수준</t>
        </is>
      </c>
      <c r="AU21" s="137" t="inlineStr">
        <is>
          <t>주문 전략</t>
        </is>
      </c>
      <c r="AV21" s="138" t="n"/>
      <c r="AW21" s="137" t="inlineStr">
        <is>
          <t>등급</t>
        </is>
      </c>
      <c r="AX21" s="137" t="inlineStr">
        <is>
          <t>재고 수준</t>
        </is>
      </c>
      <c r="AY21" s="137" t="inlineStr">
        <is>
          <t>주문 전략</t>
        </is>
      </c>
      <c r="AZ21" s="36" t="n"/>
      <c r="BA21" s="70" t="n"/>
      <c r="BB21" s="548" t="n"/>
      <c r="BC21" s="70" t="n"/>
      <c r="BD21" s="72" t="n"/>
      <c r="BE21" s="72" t="n"/>
      <c r="BF21" s="72" t="n"/>
      <c r="BG21" s="72" t="n"/>
      <c r="BH21" s="72" t="n"/>
      <c r="BI21" s="72" t="n"/>
      <c r="BJ21" s="72" t="n"/>
      <c r="BK21" s="73" t="n"/>
      <c r="BL21" s="72" t="n"/>
      <c r="BM21" s="69" t="n"/>
    </row>
    <row r="22" ht="17.25" customHeight="1" s="480" thickBot="1">
      <c r="A22" s="287" t="n">
        <v>21</v>
      </c>
      <c r="B22" s="472" t="inlineStr">
        <is>
          <t>신재품</t>
        </is>
      </c>
      <c r="C22" s="431" t="inlineStr">
        <is>
          <t>ABC21</t>
        </is>
      </c>
      <c r="D22" s="536" t="n"/>
      <c r="E22" s="524" t="n"/>
      <c r="F22" s="42" t="n"/>
      <c r="G22" s="42" t="n"/>
      <c r="H22" s="42" t="n"/>
      <c r="I22" s="45" t="inlineStr">
        <is>
          <t>사계절</t>
        </is>
      </c>
      <c r="J22" s="537" t="n">
        <v>126</v>
      </c>
      <c r="K22" s="538" t="n">
        <v>232</v>
      </c>
      <c r="L22" s="538" t="n">
        <v>633</v>
      </c>
      <c r="M22" s="538" t="n">
        <v>643</v>
      </c>
      <c r="N22" s="538" t="n">
        <v>327</v>
      </c>
      <c r="O22" s="538" t="n">
        <v>182</v>
      </c>
      <c r="P22" s="538" t="n">
        <v>125</v>
      </c>
      <c r="Q22" s="538" t="n">
        <v>110</v>
      </c>
      <c r="R22" s="538" t="n">
        <v>174</v>
      </c>
      <c r="S22" s="538" t="n">
        <v>246</v>
      </c>
      <c r="T22" s="539" t="n">
        <v>214</v>
      </c>
      <c r="U22" s="540" t="n">
        <v>186</v>
      </c>
      <c r="V22" s="529" t="n">
        <v>22456</v>
      </c>
      <c r="W22" s="529">
        <f>SUM(J22:U22)</f>
        <v/>
      </c>
      <c r="X22" s="530">
        <f>AVERAGE(S22:U22)</f>
        <v/>
      </c>
      <c r="Y22" s="529">
        <f>(S22+T22+U22)*V22</f>
        <v/>
      </c>
      <c r="Z22" s="529">
        <f>W22*V22</f>
        <v/>
      </c>
      <c r="AA22" s="531">
        <f>Z22/SUM($Z$2:$Z$100)</f>
        <v/>
      </c>
      <c r="AB22" s="50">
        <f>SUM($AA$2:AA22)</f>
        <v/>
      </c>
      <c r="AC22" s="45">
        <f>IF(AB22&lt;=70%,"A",IF(AB22&lt;=90%,"B","C"))</f>
        <v/>
      </c>
      <c r="AD22" s="529">
        <f>AVERAGE(J22:U22)</f>
        <v/>
      </c>
      <c r="AE22" s="529">
        <f>_xlfn.STDEV.P(J22:U22)</f>
        <v/>
      </c>
      <c r="AF22" s="532">
        <f>IF(AD22=0,0,AE22/AD22)</f>
        <v/>
      </c>
      <c r="AG22" s="45">
        <f>IF(AF22&lt;0.5,"X",IF(AF22&lt;=1,"Y","Z"))</f>
        <v/>
      </c>
      <c r="AH22" s="45">
        <f>AC22&amp;AG22</f>
        <v/>
      </c>
      <c r="AI22" s="52">
        <f>IF(AH22="CZ",0%,IF(AH22="BZ",0%,IF(AH22="CY",5%,IF(I22="사계절",10%,IF(I22="봄",20%,IF(I22="여름",0%,IF(I22="가을",0%,IF(I22="겨울",0%,10%))))))))</f>
        <v/>
      </c>
      <c r="AJ22" s="289">
        <f>IF(AI22=0,"발주안함","발주")</f>
        <v/>
      </c>
      <c r="AK22" s="307">
        <f>IF(AC22="A",IF(AG22="X","AX - 중간재고+월1회(LCL)",IF(AG22="Y","AY - 낮은재고+격주1회","AZ - 중단")),IF(AC22="B",IF(AG22="X","BX - 낮은재고+격월1회",IF(AG22="Y","BY - 최소재고+분기1회","BZ - 중단")),IF(AG22="X","CX - 중단(재고소진만)",IF(AG22="Y","CY - 중단(재고소진만)","CZ - 즉시단종"))))</f>
        <v/>
      </c>
      <c r="AS22" s="137" t="inlineStr">
        <is>
          <t>AX</t>
        </is>
      </c>
      <c r="AT22" s="139" t="inlineStr">
        <is>
          <t>높은재고</t>
        </is>
      </c>
      <c r="AU22" s="139" t="inlineStr">
        <is>
          <t>분기 1회 대량 (FCL)</t>
        </is>
      </c>
      <c r="AV22" s="138" t="n"/>
      <c r="AW22" s="137" t="inlineStr">
        <is>
          <t>AX</t>
        </is>
      </c>
      <c r="AX22" s="139" t="inlineStr">
        <is>
          <t>중간재고</t>
        </is>
      </c>
      <c r="AY22" s="139" t="inlineStr">
        <is>
          <t>월 1회 (LCL)</t>
        </is>
      </c>
      <c r="AZ22" s="36" t="n"/>
      <c r="BA22" s="70" t="n"/>
      <c r="BB22" s="548" t="n"/>
      <c r="BC22" s="70" t="n"/>
      <c r="BD22" s="72" t="n"/>
      <c r="BE22" s="72" t="n"/>
      <c r="BF22" s="72" t="n"/>
      <c r="BG22" s="72" t="n"/>
      <c r="BH22" s="72" t="n"/>
      <c r="BI22" s="72" t="n"/>
      <c r="BJ22" s="72" t="n"/>
      <c r="BK22" s="73" t="n"/>
      <c r="BL22" s="72" t="n"/>
      <c r="BM22" s="69" t="n"/>
    </row>
    <row r="23" ht="17.25" customHeight="1" s="480" thickBot="1">
      <c r="A23" s="287" t="n">
        <v>36</v>
      </c>
      <c r="B23" s="472" t="inlineStr">
        <is>
          <t>신재품</t>
        </is>
      </c>
      <c r="C23" s="431" t="inlineStr">
        <is>
          <t>ABC22</t>
        </is>
      </c>
      <c r="D23" s="536" t="n"/>
      <c r="E23" s="524" t="n"/>
      <c r="F23" s="42" t="n"/>
      <c r="G23" s="42" t="n"/>
      <c r="H23" s="42" t="n"/>
      <c r="I23" s="45" t="inlineStr">
        <is>
          <t>여름</t>
        </is>
      </c>
      <c r="J23" s="537" t="n">
        <v>0</v>
      </c>
      <c r="K23" s="538" t="n">
        <v>0</v>
      </c>
      <c r="L23" s="538" t="n">
        <v>0</v>
      </c>
      <c r="M23" s="538" t="n">
        <v>226</v>
      </c>
      <c r="N23" s="538" t="n">
        <v>588</v>
      </c>
      <c r="O23" s="538" t="n">
        <v>3322</v>
      </c>
      <c r="P23" s="538" t="n">
        <v>2467</v>
      </c>
      <c r="Q23" s="538" t="n">
        <v>343</v>
      </c>
      <c r="R23" s="538" t="n">
        <v>337</v>
      </c>
      <c r="S23" s="538" t="n">
        <v>60</v>
      </c>
      <c r="T23" s="539" t="n">
        <v>47</v>
      </c>
      <c r="U23" s="540" t="n">
        <v>45</v>
      </c>
      <c r="V23" s="529" t="n">
        <v>9649</v>
      </c>
      <c r="W23" s="529">
        <f>SUM(J23:U23)</f>
        <v/>
      </c>
      <c r="X23" s="530">
        <f>AVERAGE(S23:U23)</f>
        <v/>
      </c>
      <c r="Y23" s="529">
        <f>(S23+T23+U23)*V23</f>
        <v/>
      </c>
      <c r="Z23" s="529">
        <f>W23*V23</f>
        <v/>
      </c>
      <c r="AA23" s="531">
        <f>Z23/SUM($Z$2:$Z$100)</f>
        <v/>
      </c>
      <c r="AB23" s="50">
        <f>SUM($AA$2:AA23)</f>
        <v/>
      </c>
      <c r="AC23" s="45">
        <f>IF(AB23&lt;=70%,"A",IF(AB23&lt;=90%,"B","C"))</f>
        <v/>
      </c>
      <c r="AD23" s="529">
        <f>AVERAGE(M23:S23)</f>
        <v/>
      </c>
      <c r="AE23" s="529">
        <f>_xlfn.STDEV.S(M23:S23)</f>
        <v/>
      </c>
      <c r="AF23" s="532">
        <f>IF(AD23=0,0,AE23/AD23)</f>
        <v/>
      </c>
      <c r="AG23" s="45">
        <f>IF(AF23&lt;0.5,"X",IF(AF23&lt;=1,"Y","Z"))</f>
        <v/>
      </c>
      <c r="AH23" s="45">
        <f>AC23&amp;AG23</f>
        <v/>
      </c>
      <c r="AI23" s="52">
        <f>IF(AH23="CZ",0%,IF(AH23="BZ",0%,IF(AH23="CY",5%,IF(I23="사계절",10%,IF(I23="봄",20%,IF(I23="여름",0%,IF(I23="가을",0%,IF(I23="겨울",0%,10%))))))))</f>
        <v/>
      </c>
      <c r="AJ23" s="289">
        <f>IF(AI23=0,"발주안함","발주")</f>
        <v/>
      </c>
      <c r="AK23" s="307">
        <f>IF(AC23="A",IF(AG23="X","AX - 중간재고+월1회(LCL)",IF(AG23="Y","AY - 낮은재고+격주1회","AZ - 중단")),IF(AC23="B",IF(AG23="X","BX - 낮은재고+격월1회",IF(AG23="Y","BY - 최소재고+분기1회","BZ - 중단")),IF(AG23="X","CX - 중단(재고소진만)",IF(AG23="Y","CY - 중단(재고소진만)","CZ - 즉시단종"))))</f>
        <v/>
      </c>
      <c r="AS23" s="137" t="inlineStr">
        <is>
          <t>AY</t>
        </is>
      </c>
      <c r="AT23" s="139" t="inlineStr">
        <is>
          <t>중간재고</t>
        </is>
      </c>
      <c r="AU23" s="139" t="inlineStr">
        <is>
          <t>월 1회 중량</t>
        </is>
      </c>
      <c r="AV23" s="138" t="n"/>
      <c r="AW23" s="137" t="inlineStr">
        <is>
          <t>AY</t>
        </is>
      </c>
      <c r="AX23" s="139" t="inlineStr">
        <is>
          <t>낮은재고</t>
        </is>
      </c>
      <c r="AY23" s="139" t="inlineStr">
        <is>
          <t>격주 1회</t>
        </is>
      </c>
      <c r="AZ23" s="36" t="n"/>
      <c r="BA23" s="70" t="n"/>
      <c r="BB23" s="548" t="n"/>
      <c r="BC23" s="70" t="n"/>
      <c r="BD23" s="72" t="n"/>
      <c r="BE23" s="72" t="n"/>
      <c r="BF23" s="72" t="n"/>
      <c r="BG23" s="72" t="n"/>
      <c r="BH23" s="72" t="n"/>
      <c r="BI23" s="72" t="n"/>
      <c r="BJ23" s="72" t="n"/>
      <c r="BK23" s="73" t="n"/>
      <c r="BL23" s="72" t="n"/>
    </row>
    <row r="24" ht="17.25" customHeight="1" s="480" thickBot="1">
      <c r="A24" s="287" t="n">
        <v>23</v>
      </c>
      <c r="B24" s="472" t="inlineStr">
        <is>
          <t>신재품</t>
        </is>
      </c>
      <c r="C24" s="431" t="inlineStr">
        <is>
          <t>ABC23</t>
        </is>
      </c>
      <c r="D24" s="536" t="n"/>
      <c r="E24" s="524" t="n"/>
      <c r="F24" s="42" t="n"/>
      <c r="G24" s="42" t="n"/>
      <c r="H24" s="42" t="n"/>
      <c r="I24" s="45" t="inlineStr">
        <is>
          <t>사계절</t>
        </is>
      </c>
      <c r="J24" s="537" t="n">
        <v>253</v>
      </c>
      <c r="K24" s="538" t="n">
        <v>313</v>
      </c>
      <c r="L24" s="538" t="n">
        <v>373</v>
      </c>
      <c r="M24" s="538" t="n">
        <v>235</v>
      </c>
      <c r="N24" s="538" t="n">
        <v>152</v>
      </c>
      <c r="O24" s="538" t="n">
        <v>104</v>
      </c>
      <c r="P24" s="538" t="n">
        <v>63</v>
      </c>
      <c r="Q24" s="538" t="n">
        <v>74</v>
      </c>
      <c r="R24" s="538" t="n">
        <v>221</v>
      </c>
      <c r="S24" s="538" t="n">
        <v>308</v>
      </c>
      <c r="T24" s="539" t="n">
        <v>354</v>
      </c>
      <c r="U24" s="540" t="n">
        <v>396</v>
      </c>
      <c r="V24" s="529" t="n">
        <v>22456</v>
      </c>
      <c r="W24" s="529">
        <f>SUM(J24:U24)</f>
        <v/>
      </c>
      <c r="X24" s="530">
        <f>AVERAGE(S24:U24)</f>
        <v/>
      </c>
      <c r="Y24" s="529">
        <f>(S24+T24+U24)*V24</f>
        <v/>
      </c>
      <c r="Z24" s="529">
        <f>W24*V24</f>
        <v/>
      </c>
      <c r="AA24" s="531">
        <f>Z24/SUM($Z$2:$Z$100)</f>
        <v/>
      </c>
      <c r="AB24" s="50">
        <f>SUM($AA$2:AA24)</f>
        <v/>
      </c>
      <c r="AC24" s="45">
        <f>IF(AB24&lt;=70%,"A",IF(AB24&lt;=90%,"B","C"))</f>
        <v/>
      </c>
      <c r="AD24" s="529">
        <f>AVERAGE(J24:U24)</f>
        <v/>
      </c>
      <c r="AE24" s="529">
        <f>_xlfn.STDEV.P(J24:U24)</f>
        <v/>
      </c>
      <c r="AF24" s="532">
        <f>IF(AD24=0,0,AE24/AD24)</f>
        <v/>
      </c>
      <c r="AG24" s="45">
        <f>IF(AF24&lt;0.5,"X",IF(AF24&lt;=1,"Y","Z"))</f>
        <v/>
      </c>
      <c r="AH24" s="45">
        <f>AC24&amp;AG24</f>
        <v/>
      </c>
      <c r="AI24" s="52">
        <f>IF(AH24="CZ",0%,IF(AH24="BZ",0%,IF(AH24="CY",5%,IF(I24="사계절",10%,IF(I24="봄",20%,IF(I24="여름",0%,IF(I24="가을",0%,IF(I24="겨울",0%,10%))))))))</f>
        <v/>
      </c>
      <c r="AJ24" s="289">
        <f>IF(AI24=0,"발주안함","발주")</f>
        <v/>
      </c>
      <c r="AK24" s="307">
        <f>IF(AC24="A",IF(AG24="X","AX - 중간재고+월1회(LCL)",IF(AG24="Y","AY - 낮은재고+격주1회","AZ - 중단")),IF(AC24="B",IF(AG24="X","BX - 낮은재고+격월1회",IF(AG24="Y","BY - 최소재고+분기1회","BZ - 중단")),IF(AG24="X","CX - 중단(재고소진만)",IF(AG24="Y","CY - 중단(재고소진만)","CZ - 즉시단종"))))</f>
        <v/>
      </c>
      <c r="AS24" s="137" t="inlineStr">
        <is>
          <t>AZ</t>
        </is>
      </c>
      <c r="AT24" s="139" t="inlineStr">
        <is>
          <t>낮은재고</t>
        </is>
      </c>
      <c r="AU24" s="139" t="inlineStr">
        <is>
          <t>긴급 대응</t>
        </is>
      </c>
      <c r="AV24" s="138" t="n"/>
      <c r="AW24" s="137" t="inlineStr">
        <is>
          <t>AZ</t>
        </is>
      </c>
      <c r="AX24" s="139" t="inlineStr">
        <is>
          <t>중단</t>
        </is>
      </c>
      <c r="AY24" s="139" t="inlineStr">
        <is>
          <t>-</t>
        </is>
      </c>
      <c r="AZ24" s="36" t="n"/>
      <c r="BA24" s="36" t="n"/>
      <c r="BB24" s="547" t="n"/>
      <c r="BC24" s="36" t="n"/>
      <c r="BD24" s="73" t="n"/>
      <c r="BE24" s="73" t="n"/>
      <c r="BF24" s="73" t="n"/>
      <c r="BG24" s="73" t="n"/>
      <c r="BH24" s="73" t="n"/>
      <c r="BI24" s="73" t="n"/>
      <c r="BJ24" s="73" t="n"/>
      <c r="BK24" s="73" t="n"/>
      <c r="BL24" s="73" t="n"/>
    </row>
    <row r="25" ht="17.25" customHeight="1" s="480" thickBot="1">
      <c r="A25" s="287" t="n">
        <v>27</v>
      </c>
      <c r="B25" s="472" t="inlineStr">
        <is>
          <t>신재품</t>
        </is>
      </c>
      <c r="C25" s="431" t="inlineStr">
        <is>
          <t>ABC24</t>
        </is>
      </c>
      <c r="D25" s="536" t="n"/>
      <c r="E25" s="524" t="n"/>
      <c r="F25" s="42" t="n"/>
      <c r="G25" s="42" t="n"/>
      <c r="H25" s="42" t="n"/>
      <c r="I25" s="45" t="inlineStr">
        <is>
          <t>여름</t>
        </is>
      </c>
      <c r="J25" s="537" t="n">
        <v>14</v>
      </c>
      <c r="K25" s="538" t="n">
        <v>6</v>
      </c>
      <c r="L25" s="538" t="n">
        <v>75</v>
      </c>
      <c r="M25" s="538" t="n">
        <v>172</v>
      </c>
      <c r="N25" s="538" t="n">
        <v>352</v>
      </c>
      <c r="O25" s="538" t="n">
        <v>604</v>
      </c>
      <c r="P25" s="538" t="n">
        <v>466</v>
      </c>
      <c r="Q25" s="538" t="n">
        <v>246</v>
      </c>
      <c r="R25" s="538" t="n">
        <v>40</v>
      </c>
      <c r="S25" s="538" t="n">
        <v>7</v>
      </c>
      <c r="T25" s="539" t="n">
        <v>4</v>
      </c>
      <c r="U25" s="540" t="n">
        <v>12</v>
      </c>
      <c r="V25" s="529" t="n">
        <v>31724</v>
      </c>
      <c r="W25" s="529">
        <f>SUM(J25:U25)</f>
        <v/>
      </c>
      <c r="X25" s="530">
        <f>AVERAGE(S25:U25)</f>
        <v/>
      </c>
      <c r="Y25" s="529">
        <f>(S25+T25+U25)*V25</f>
        <v/>
      </c>
      <c r="Z25" s="529">
        <f>W25*V25</f>
        <v/>
      </c>
      <c r="AA25" s="531">
        <f>Z25/SUM($Z$2:$Z$100)</f>
        <v/>
      </c>
      <c r="AB25" s="50">
        <f>SUM($AA$2:AA25)</f>
        <v/>
      </c>
      <c r="AC25" s="45">
        <f>IF(AB25&lt;=70%,"A",IF(AB25&lt;=90%,"B","C"))</f>
        <v/>
      </c>
      <c r="AD25" s="529">
        <f>AVERAGE(M25:S25)</f>
        <v/>
      </c>
      <c r="AE25" s="529">
        <f>_xlfn.STDEV.S(M25:S25)</f>
        <v/>
      </c>
      <c r="AF25" s="532">
        <f>IF(AD25=0,0,AE25/AD25)</f>
        <v/>
      </c>
      <c r="AG25" s="45">
        <f>IF(AF25&lt;0.5,"X",IF(AF25&lt;=1,"Y","Z"))</f>
        <v/>
      </c>
      <c r="AH25" s="45">
        <f>AC25&amp;AG25</f>
        <v/>
      </c>
      <c r="AI25" s="52">
        <f>IF(AH25="CZ",0%,IF(AH25="BZ",0%,IF(AH25="CY",5%,IF(I25="사계절",10%,IF(I25="봄",20%,IF(I25="여름",0%,IF(I25="가을",0%,IF(I25="겨울",0%,10%))))))))</f>
        <v/>
      </c>
      <c r="AJ25" s="289">
        <f>IF(AI25=0,"발주안함","발주")</f>
        <v/>
      </c>
      <c r="AK25" s="307">
        <f>IF(AC25="A",IF(AG25="X","AX - 중간재고+월1회(LCL)",IF(AG25="Y","AY - 낮은재고+격주1회","AZ - 중단")),IF(AC25="B",IF(AG25="X","BX - 낮은재고+격월1회",IF(AG25="Y","BY - 최소재고+분기1회","BZ - 중단")),IF(AG25="X","CX - 중단(재고소진만)",IF(AG25="Y","CY - 중단(재고소진만)","CZ - 즉시단종"))))</f>
        <v/>
      </c>
      <c r="AS25" s="137" t="inlineStr">
        <is>
          <t>BX</t>
        </is>
      </c>
      <c r="AT25" s="139" t="inlineStr">
        <is>
          <t>중간재고</t>
        </is>
      </c>
      <c r="AU25" s="139" t="inlineStr">
        <is>
          <t>분기 1회</t>
        </is>
      </c>
      <c r="AV25" s="138" t="n"/>
      <c r="AW25" s="137" t="inlineStr">
        <is>
          <t>BX</t>
        </is>
      </c>
      <c r="AX25" s="139" t="inlineStr">
        <is>
          <t>낮은재고</t>
        </is>
      </c>
      <c r="AY25" s="139" t="inlineStr">
        <is>
          <t>격월 1회</t>
        </is>
      </c>
      <c r="AZ25" s="36" t="n"/>
      <c r="BA25" s="70" t="n"/>
      <c r="BB25" s="548" t="n"/>
      <c r="BC25" s="70" t="n"/>
      <c r="BD25" s="70" t="n"/>
      <c r="BE25" s="70" t="n"/>
      <c r="BF25" s="70" t="n"/>
      <c r="BG25" s="70" t="n"/>
      <c r="BH25" s="70" t="n"/>
      <c r="BI25" s="69" t="n"/>
      <c r="BJ25" s="70" t="n"/>
      <c r="BK25" s="69" t="n"/>
      <c r="BL25" s="69" t="n"/>
    </row>
    <row r="26" ht="17.25" customHeight="1" s="480" thickBot="1">
      <c r="A26" s="287" t="n">
        <v>24</v>
      </c>
      <c r="B26" s="472" t="inlineStr">
        <is>
          <t>신재품</t>
        </is>
      </c>
      <c r="C26" s="431" t="inlineStr">
        <is>
          <t>ABC25</t>
        </is>
      </c>
      <c r="D26" s="536" t="n"/>
      <c r="E26" s="524" t="n"/>
      <c r="F26" s="42" t="n"/>
      <c r="G26" s="42" t="n"/>
      <c r="H26" s="42" t="n"/>
      <c r="I26" s="45" t="inlineStr">
        <is>
          <t>사계절</t>
        </is>
      </c>
      <c r="J26" s="537" t="n">
        <v>0</v>
      </c>
      <c r="K26" s="538" t="n">
        <v>0</v>
      </c>
      <c r="L26" s="538" t="n">
        <v>0</v>
      </c>
      <c r="M26" s="538" t="n">
        <v>520</v>
      </c>
      <c r="N26" s="538" t="n">
        <v>347</v>
      </c>
      <c r="O26" s="538" t="n">
        <v>225</v>
      </c>
      <c r="P26" s="538" t="n">
        <v>134</v>
      </c>
      <c r="Q26" s="538" t="n">
        <v>145</v>
      </c>
      <c r="R26" s="538" t="n">
        <v>144</v>
      </c>
      <c r="S26" s="538" t="n">
        <v>258</v>
      </c>
      <c r="T26" s="539" t="n">
        <v>148</v>
      </c>
      <c r="U26" s="540" t="n">
        <v>214</v>
      </c>
      <c r="V26" s="529" t="n">
        <v>29447</v>
      </c>
      <c r="W26" s="529">
        <f>SUM(J26:U26)</f>
        <v/>
      </c>
      <c r="X26" s="530">
        <f>AVERAGE(S26:U26)</f>
        <v/>
      </c>
      <c r="Y26" s="529">
        <f>(S26+T26+U26)*V26</f>
        <v/>
      </c>
      <c r="Z26" s="529">
        <f>W26*V26</f>
        <v/>
      </c>
      <c r="AA26" s="531">
        <f>Z26/SUM($Z$2:$Z$100)</f>
        <v/>
      </c>
      <c r="AB26" s="50">
        <f>SUM($AA$2:AA26)</f>
        <v/>
      </c>
      <c r="AC26" s="45">
        <f>IF(AB26&lt;=70%,"A",IF(AB26&lt;=90%,"B","C"))</f>
        <v/>
      </c>
      <c r="AD26" s="529">
        <f>AVERAGE(J26:U26)</f>
        <v/>
      </c>
      <c r="AE26" s="529">
        <f>_xlfn.STDEV.P(J26:U26)</f>
        <v/>
      </c>
      <c r="AF26" s="532">
        <f>IF(AD26=0,0,AE26/AD26)</f>
        <v/>
      </c>
      <c r="AG26" s="45">
        <f>IF(AF26&lt;0.5,"X",IF(AF26&lt;=1,"Y","Z"))</f>
        <v/>
      </c>
      <c r="AH26" s="45">
        <f>AC26&amp;AG26</f>
        <v/>
      </c>
      <c r="AI26" s="52">
        <f>IF(AH26="CZ",0%,IF(AH26="BZ",0%,IF(AH26="CY",5%,IF(I26="사계절",10%,IF(I26="봄",20%,IF(I26="여름",0%,IF(I26="가을",0%,IF(I26="겨울",0%,10%))))))))</f>
        <v/>
      </c>
      <c r="AJ26" s="289">
        <f>IF(AI26=0,"발주안함","발주")</f>
        <v/>
      </c>
      <c r="AK26" s="307">
        <f>IF(AC26="A",IF(AG26="X","AX - 중간재고+월1회(LCL)",IF(AG26="Y","AY - 낮은재고+격주1회","AZ - 중단")),IF(AC26="B",IF(AG26="X","BX - 낮은재고+격월1회",IF(AG26="Y","BY - 최소재고+분기1회","BZ - 중단")),IF(AG26="X","CX - 중단(재고소진만)",IF(AG26="Y","CY - 중단(재고소진만)","CZ - 즉시단종"))))</f>
        <v/>
      </c>
      <c r="AS26" s="137" t="inlineStr">
        <is>
          <t>BY</t>
        </is>
      </c>
      <c r="AT26" s="139" t="inlineStr">
        <is>
          <t>표준재고</t>
        </is>
      </c>
      <c r="AU26" s="139" t="inlineStr">
        <is>
          <t>격월 1회</t>
        </is>
      </c>
      <c r="AV26" s="138" t="n"/>
      <c r="AW26" s="137" t="inlineStr">
        <is>
          <t>BY</t>
        </is>
      </c>
      <c r="AX26" s="139" t="inlineStr">
        <is>
          <t>최소재고</t>
        </is>
      </c>
      <c r="AY26" s="139" t="inlineStr">
        <is>
          <t>분기 1회</t>
        </is>
      </c>
      <c r="AZ26" s="36" t="n"/>
      <c r="BA26" s="70" t="n"/>
      <c r="BB26" s="548" t="n"/>
      <c r="BC26" s="70" t="n"/>
      <c r="BD26" s="70" t="n"/>
      <c r="BE26" s="70" t="n"/>
      <c r="BF26" s="70" t="n"/>
      <c r="BG26" s="70" t="n"/>
      <c r="BH26" s="70" t="n"/>
      <c r="BI26" s="69" t="n"/>
      <c r="BJ26" s="69" t="n"/>
      <c r="BK26" s="69" t="n"/>
      <c r="BL26" s="69" t="n"/>
    </row>
    <row r="27" ht="17.25" customHeight="1" s="480" thickBot="1">
      <c r="A27" s="287" t="n">
        <v>22</v>
      </c>
      <c r="B27" s="472" t="inlineStr">
        <is>
          <t>신재품</t>
        </is>
      </c>
      <c r="C27" s="431" t="inlineStr">
        <is>
          <t>ABC26</t>
        </is>
      </c>
      <c r="D27" s="536" t="n"/>
      <c r="E27" s="524" t="n"/>
      <c r="F27" s="42" t="n"/>
      <c r="G27" s="42" t="n"/>
      <c r="H27" s="42" t="n"/>
      <c r="I27" s="45" t="inlineStr">
        <is>
          <t>사계절</t>
        </is>
      </c>
      <c r="J27" s="537" t="n">
        <v>256</v>
      </c>
      <c r="K27" s="538" t="n">
        <v>592</v>
      </c>
      <c r="L27" s="538" t="n">
        <v>401</v>
      </c>
      <c r="M27" s="538" t="n">
        <v>228</v>
      </c>
      <c r="N27" s="538" t="n">
        <v>121</v>
      </c>
      <c r="O27" s="538" t="n">
        <v>79</v>
      </c>
      <c r="P27" s="538" t="n">
        <v>46</v>
      </c>
      <c r="Q27" s="538" t="n">
        <v>109</v>
      </c>
      <c r="R27" s="538" t="n">
        <v>207</v>
      </c>
      <c r="S27" s="538" t="n">
        <v>273</v>
      </c>
      <c r="T27" s="539" t="n">
        <v>288</v>
      </c>
      <c r="U27" s="540" t="n">
        <v>246</v>
      </c>
      <c r="V27" s="529" t="n">
        <v>22064</v>
      </c>
      <c r="W27" s="529">
        <f>SUM(J27:U27)</f>
        <v/>
      </c>
      <c r="X27" s="530">
        <f>AVERAGE(S27:U27)</f>
        <v/>
      </c>
      <c r="Y27" s="529">
        <f>(S27+T27+U27)*V27</f>
        <v/>
      </c>
      <c r="Z27" s="529">
        <f>W27*V27</f>
        <v/>
      </c>
      <c r="AA27" s="531">
        <f>Z27/SUM($Z$2:$Z$100)</f>
        <v/>
      </c>
      <c r="AB27" s="50">
        <f>SUM($AA$2:AA27)</f>
        <v/>
      </c>
      <c r="AC27" s="45">
        <f>IF(AB27&lt;=70%,"A",IF(AB27&lt;=90%,"B","C"))</f>
        <v/>
      </c>
      <c r="AD27" s="529">
        <f>AVERAGE(J27:U27)</f>
        <v/>
      </c>
      <c r="AE27" s="529">
        <f>_xlfn.STDEV.P(J27:U27)</f>
        <v/>
      </c>
      <c r="AF27" s="532">
        <f>IF(AD27=0,0,AE27/AD27)</f>
        <v/>
      </c>
      <c r="AG27" s="45">
        <f>IF(AF27&lt;0.5,"X",IF(AF27&lt;=1,"Y","Z"))</f>
        <v/>
      </c>
      <c r="AH27" s="45">
        <f>AC27&amp;AG27</f>
        <v/>
      </c>
      <c r="AI27" s="52">
        <f>IF(AH27="CZ",0%,IF(AH27="BZ",0%,IF(AH27="CY",5%,IF(I27="사계절",10%,IF(I27="봄",20%,IF(I27="여름",0%,IF(I27="가을",0%,IF(I27="겨울",0%,10%))))))))</f>
        <v/>
      </c>
      <c r="AJ27" s="289">
        <f>IF(AI27=0,"발주안함","발주")</f>
        <v/>
      </c>
      <c r="AK27" s="307">
        <f>IF(AC27="A",IF(AG27="X","AX - 중간재고+월1회(LCL)",IF(AG27="Y","AY - 낮은재고+격주1회","AZ - 중단")),IF(AC27="B",IF(AG27="X","BX - 낮은재고+격월1회",IF(AG27="Y","BY - 최소재고+분기1회","BZ - 중단")),IF(AG27="X","CX - 중단(재고소진만)",IF(AG27="Y","CY - 중단(재고소진만)","CZ - 즉시단종"))))</f>
        <v/>
      </c>
      <c r="AS27" s="137" t="inlineStr">
        <is>
          <t>BZ</t>
        </is>
      </c>
      <c r="AT27" s="139" t="inlineStr">
        <is>
          <t>낮은재고</t>
        </is>
      </c>
      <c r="AU27" s="139" t="inlineStr">
        <is>
          <t>수요 기반</t>
        </is>
      </c>
      <c r="AV27" s="138" t="n"/>
      <c r="AW27" s="137" t="inlineStr">
        <is>
          <t>BZ</t>
        </is>
      </c>
      <c r="AX27" s="139" t="inlineStr">
        <is>
          <t>중단</t>
        </is>
      </c>
      <c r="AY27" s="139" t="inlineStr">
        <is>
          <t>-</t>
        </is>
      </c>
      <c r="AZ27" s="36" t="n"/>
      <c r="BA27" s="70" t="n"/>
      <c r="BB27" s="548" t="n"/>
      <c r="BC27" s="70" t="n"/>
      <c r="BD27" s="70" t="n"/>
      <c r="BE27" s="70" t="n"/>
      <c r="BF27" s="70" t="n"/>
      <c r="BG27" s="70" t="n"/>
      <c r="BH27" s="70" t="n"/>
      <c r="BI27" s="69" t="n"/>
      <c r="BJ27" s="69" t="n"/>
      <c r="BK27" s="69" t="n"/>
      <c r="BL27" s="69" t="n"/>
    </row>
    <row r="28" ht="17.25" customHeight="1" s="480" thickBot="1">
      <c r="A28" s="287" t="n">
        <v>50</v>
      </c>
      <c r="B28" s="472" t="inlineStr">
        <is>
          <t>신재품</t>
        </is>
      </c>
      <c r="C28" s="431" t="inlineStr">
        <is>
          <t>ABC27</t>
        </is>
      </c>
      <c r="D28" s="536" t="n"/>
      <c r="E28" s="524" t="n"/>
      <c r="F28" s="42" t="n"/>
      <c r="G28" s="42" t="n"/>
      <c r="H28" s="42" t="n"/>
      <c r="I28" s="45" t="inlineStr">
        <is>
          <t>여름</t>
        </is>
      </c>
      <c r="J28" s="537" t="n">
        <v>0</v>
      </c>
      <c r="K28" s="538" t="n">
        <v>0</v>
      </c>
      <c r="L28" s="538" t="n">
        <v>0</v>
      </c>
      <c r="M28" s="538" t="n">
        <v>9</v>
      </c>
      <c r="N28" s="538" t="n">
        <v>173</v>
      </c>
      <c r="O28" s="538" t="n">
        <v>1125</v>
      </c>
      <c r="P28" s="538" t="n">
        <v>1648</v>
      </c>
      <c r="Q28" s="538" t="n">
        <v>199</v>
      </c>
      <c r="R28" s="538" t="n">
        <v>18</v>
      </c>
      <c r="S28" s="538" t="n">
        <v>5</v>
      </c>
      <c r="T28" s="539" t="n">
        <v>5</v>
      </c>
      <c r="U28" s="540" t="n">
        <v>0</v>
      </c>
      <c r="V28" s="529" t="n">
        <v>19722</v>
      </c>
      <c r="W28" s="529">
        <f>SUM(J28:U28)</f>
        <v/>
      </c>
      <c r="X28" s="530">
        <f>AVERAGE(S28:U28)</f>
        <v/>
      </c>
      <c r="Y28" s="529">
        <f>(S28+T28+U28)*V28</f>
        <v/>
      </c>
      <c r="Z28" s="529">
        <f>W28*V28</f>
        <v/>
      </c>
      <c r="AA28" s="531">
        <f>Z28/SUM($Z$2:$Z$100)</f>
        <v/>
      </c>
      <c r="AB28" s="50">
        <f>SUM($AA$2:AA28)</f>
        <v/>
      </c>
      <c r="AC28" s="45">
        <f>IF(AB28&lt;=70%,"A",IF(AB28&lt;=90%,"B","C"))</f>
        <v/>
      </c>
      <c r="AD28" s="529">
        <f>AVERAGE(M28:S28)</f>
        <v/>
      </c>
      <c r="AE28" s="529">
        <f>_xlfn.STDEV.S(M28:S28)</f>
        <v/>
      </c>
      <c r="AF28" s="532">
        <f>IF(AD28=0,0,AE28/AD28)</f>
        <v/>
      </c>
      <c r="AG28" s="45">
        <f>IF(AF28&lt;0.5,"X",IF(AF28&lt;=1,"Y","Z"))</f>
        <v/>
      </c>
      <c r="AH28" s="45">
        <f>AC28&amp;AG28</f>
        <v/>
      </c>
      <c r="AI28" s="52">
        <f>IF(AH28="CZ",0%,IF(AH28="BZ",0%,IF(AH28="CY",5%,IF(I28="사계절",10%,IF(I28="봄",20%,IF(I28="여름",0%,IF(I28="가을",0%,IF(I28="겨울",0%,10%))))))))</f>
        <v/>
      </c>
      <c r="AJ28" s="289">
        <f>IF(AI28=0,"발주안함","발주")</f>
        <v/>
      </c>
      <c r="AK28" s="307">
        <f>IF(AC28="A",IF(AG28="X","AX - 중간재고+월1회(LCL)",IF(AG28="Y","AY - 낮은재고+격주1회","AZ - 중단")),IF(AC28="B",IF(AG28="X","BX - 낮은재고+격월1회",IF(AG28="Y","BY - 최소재고+분기1회","BZ - 중단")),IF(AG28="X","CX - 중단(재고소진만)",IF(AG28="Y","CY - 중단(재고소진만)","CZ - 즉시단종"))))</f>
        <v/>
      </c>
      <c r="AS28" s="137" t="inlineStr">
        <is>
          <t>CX</t>
        </is>
      </c>
      <c r="AT28" s="139" t="inlineStr">
        <is>
          <t>최소재고</t>
        </is>
      </c>
      <c r="AU28" s="139" t="inlineStr">
        <is>
          <t>반기 1회</t>
        </is>
      </c>
      <c r="AV28" s="138" t="n"/>
      <c r="AW28" s="137" t="inlineStr">
        <is>
          <t>CX</t>
        </is>
      </c>
      <c r="AX28" s="139" t="inlineStr">
        <is>
          <t>중단</t>
        </is>
      </c>
      <c r="AY28" s="139" t="inlineStr">
        <is>
          <t>재고 소진만</t>
        </is>
      </c>
      <c r="AZ28" s="36" t="n"/>
      <c r="BA28" s="70" t="n"/>
      <c r="BB28" s="548" t="n"/>
      <c r="BC28" s="70" t="n"/>
      <c r="BD28" s="70" t="n"/>
      <c r="BE28" s="70" t="n"/>
      <c r="BF28" s="70" t="n"/>
      <c r="BG28" s="70" t="n"/>
      <c r="BH28" s="70" t="n"/>
      <c r="BI28" s="69" t="n"/>
      <c r="BJ28" s="69" t="n"/>
      <c r="BK28" s="69" t="n"/>
      <c r="BL28" s="69" t="n"/>
    </row>
    <row r="29" ht="17.25" customHeight="1" s="480" thickBot="1">
      <c r="A29" s="287" t="n">
        <v>25</v>
      </c>
      <c r="B29" s="472" t="inlineStr">
        <is>
          <t>단종예정</t>
        </is>
      </c>
      <c r="C29" s="431" t="inlineStr">
        <is>
          <t>ABC28</t>
        </is>
      </c>
      <c r="D29" s="536" t="n"/>
      <c r="E29" s="524" t="n"/>
      <c r="F29" s="42" t="n"/>
      <c r="G29" s="42" t="n"/>
      <c r="H29" s="42" t="n"/>
      <c r="I29" s="435" t="inlineStr">
        <is>
          <t>사계절</t>
        </is>
      </c>
      <c r="J29" s="537" t="n">
        <v>243</v>
      </c>
      <c r="K29" s="538" t="n">
        <v>377</v>
      </c>
      <c r="L29" s="538" t="n">
        <v>376</v>
      </c>
      <c r="M29" s="538" t="n">
        <v>205</v>
      </c>
      <c r="N29" s="538" t="n">
        <v>137</v>
      </c>
      <c r="O29" s="538" t="n">
        <v>94</v>
      </c>
      <c r="P29" s="538" t="n">
        <v>55</v>
      </c>
      <c r="Q29" s="538" t="n">
        <v>78</v>
      </c>
      <c r="R29" s="538" t="n">
        <v>159</v>
      </c>
      <c r="S29" s="538" t="n">
        <v>184</v>
      </c>
      <c r="T29" s="539" t="n">
        <v>202</v>
      </c>
      <c r="U29" s="540" t="n">
        <v>203</v>
      </c>
      <c r="V29" s="529" t="n">
        <v>26893</v>
      </c>
      <c r="W29" s="529">
        <f>SUM(J29:U29)</f>
        <v/>
      </c>
      <c r="X29" s="530">
        <f>AVERAGE(S29:U29)</f>
        <v/>
      </c>
      <c r="Y29" s="529">
        <f>(S29+T29+U29)*V29</f>
        <v/>
      </c>
      <c r="Z29" s="529">
        <f>W29*V29</f>
        <v/>
      </c>
      <c r="AA29" s="531">
        <f>Z29/SUM($Z$2:$Z$100)</f>
        <v/>
      </c>
      <c r="AB29" s="50">
        <f>SUM($AA$2:AA29)</f>
        <v/>
      </c>
      <c r="AC29" s="45">
        <f>IF(AB29&lt;=70%,"A",IF(AB29&lt;=90%,"B","C"))</f>
        <v/>
      </c>
      <c r="AD29" s="529">
        <f>AVERAGE(J29:U29)</f>
        <v/>
      </c>
      <c r="AE29" s="529">
        <f>_xlfn.STDEV.P(J29:U29)</f>
        <v/>
      </c>
      <c r="AF29" s="532">
        <f>IF(AD29=0,0,AE29/AD29)</f>
        <v/>
      </c>
      <c r="AG29" s="45">
        <f>IF(AF29&lt;0.5,"X",IF(AF29&lt;=1,"Y","Z"))</f>
        <v/>
      </c>
      <c r="AH29" s="45">
        <f>AC29&amp;AG29</f>
        <v/>
      </c>
      <c r="AI29" s="52">
        <f>IF(AH29="CZ",0%,IF(AH29="BZ",0%,IF(AH29="CY",5%,IF(I29="사계절",10%,IF(I29="봄",20%,IF(I29="여름",0%,IF(I29="가을",0%,IF(I29="겨울",0%,10%))))))))</f>
        <v/>
      </c>
      <c r="AJ29" s="289">
        <f>IF(AI29=0,"발주안함","발주")</f>
        <v/>
      </c>
      <c r="AK29" s="307">
        <f>IF(AC29="A",IF(AG29="X","AX - 중간재고+월1회(LCL)",IF(AG29="Y","AY - 낮은재고+격주1회","AZ - 중단")),IF(AC29="B",IF(AG29="X","BX - 낮은재고+격월1회",IF(AG29="Y","BY - 최소재고+분기1회","BZ - 중단")),IF(AG29="X","CX - 중단(재고소진만)",IF(AG29="Y","CY - 중단(재고소진만)","CZ - 즉시단종"))))</f>
        <v/>
      </c>
      <c r="AS29" s="137" t="inlineStr">
        <is>
          <t>CY</t>
        </is>
      </c>
      <c r="AT29" s="139" t="inlineStr">
        <is>
          <t>최소재고</t>
        </is>
      </c>
      <c r="AU29" s="139" t="inlineStr">
        <is>
          <t>연 1~2회</t>
        </is>
      </c>
      <c r="AV29" s="138" t="n"/>
      <c r="AW29" s="137" t="inlineStr">
        <is>
          <t>CY</t>
        </is>
      </c>
      <c r="AX29" s="139" t="inlineStr">
        <is>
          <t>중단</t>
        </is>
      </c>
      <c r="AY29" s="139" t="inlineStr">
        <is>
          <t>재고 소진만</t>
        </is>
      </c>
      <c r="AZ29" s="36" t="n"/>
      <c r="BA29" s="70" t="n"/>
      <c r="BB29" s="548" t="n"/>
      <c r="BC29" s="70" t="n"/>
      <c r="BD29" s="70" t="n"/>
      <c r="BE29" s="70" t="n"/>
      <c r="BF29" s="70" t="n"/>
      <c r="BG29" s="70" t="n"/>
      <c r="BH29" s="70" t="n"/>
      <c r="BI29" s="69" t="n"/>
      <c r="BJ29" s="69" t="n"/>
      <c r="BK29" s="69" t="n"/>
      <c r="BL29" s="69" t="n"/>
    </row>
    <row r="30" ht="17.25" customHeight="1" s="480" thickBot="1">
      <c r="A30" s="287" t="n">
        <v>28</v>
      </c>
      <c r="B30" s="472" t="inlineStr">
        <is>
          <t>단종예정</t>
        </is>
      </c>
      <c r="C30" s="431" t="inlineStr">
        <is>
          <t>ABC29</t>
        </is>
      </c>
      <c r="D30" s="536" t="n"/>
      <c r="E30" s="524" t="n"/>
      <c r="F30" s="42" t="n"/>
      <c r="G30" s="42" t="n"/>
      <c r="H30" s="42" t="n"/>
      <c r="I30" s="45" t="inlineStr">
        <is>
          <t>여름</t>
        </is>
      </c>
      <c r="J30" s="537" t="n">
        <v>0</v>
      </c>
      <c r="K30" s="538" t="n">
        <v>0</v>
      </c>
      <c r="L30" s="538" t="n">
        <v>0</v>
      </c>
      <c r="M30" s="538" t="n">
        <v>94</v>
      </c>
      <c r="N30" s="538" t="n">
        <v>334</v>
      </c>
      <c r="O30" s="538" t="n">
        <v>677</v>
      </c>
      <c r="P30" s="538" t="n">
        <v>214</v>
      </c>
      <c r="Q30" s="538" t="n">
        <v>80</v>
      </c>
      <c r="R30" s="538" t="n">
        <v>16</v>
      </c>
      <c r="S30" s="538" t="n">
        <v>5</v>
      </c>
      <c r="T30" s="539" t="n">
        <v>2</v>
      </c>
      <c r="U30" s="540" t="n">
        <v>5</v>
      </c>
      <c r="V30" s="529" t="n">
        <v>43404</v>
      </c>
      <c r="W30" s="529">
        <f>SUM(J30:U30)</f>
        <v/>
      </c>
      <c r="X30" s="530">
        <f>AVERAGE(S30:U30)</f>
        <v/>
      </c>
      <c r="Y30" s="529">
        <f>(S30+T30+U30)*V30</f>
        <v/>
      </c>
      <c r="Z30" s="529">
        <f>W30*V30</f>
        <v/>
      </c>
      <c r="AA30" s="531">
        <f>Z30/SUM($Z$2:$Z$100)</f>
        <v/>
      </c>
      <c r="AB30" s="50">
        <f>SUM($AA$2:AA30)</f>
        <v/>
      </c>
      <c r="AC30" s="45">
        <f>IF(AB30&lt;=70%,"A",IF(AB30&lt;=90%,"B","C"))</f>
        <v/>
      </c>
      <c r="AD30" s="529">
        <f>AVERAGE(M30:S30)</f>
        <v/>
      </c>
      <c r="AE30" s="529">
        <f>_xlfn.STDEV.S(M30:S30)</f>
        <v/>
      </c>
      <c r="AF30" s="532">
        <f>IF(AD30=0,0,AE30/AD30)</f>
        <v/>
      </c>
      <c r="AG30" s="45">
        <f>IF(AF30&lt;0.5,"X",IF(AF30&lt;=1,"Y","Z"))</f>
        <v/>
      </c>
      <c r="AH30" s="45">
        <f>AC30&amp;AG30</f>
        <v/>
      </c>
      <c r="AI30" s="52">
        <f>IF(AH30="CZ",0%,IF(AH30="BZ",0%,IF(AH30="CY",5%,IF(I30="사계절",10%,IF(I30="봄",20%,IF(I30="여름",0%,IF(I30="가을",0%,IF(I30="겨울",0%,10%))))))))</f>
        <v/>
      </c>
      <c r="AJ30" s="289">
        <f>IF(AI30=0,"발주안함","발주")</f>
        <v/>
      </c>
      <c r="AK30" s="307">
        <f>IF(AC30="A",IF(AG30="X","AX - 중간재고+월1회(LCL)",IF(AG30="Y","AY - 낮은재고+격주1회","AZ - 중단")),IF(AC30="B",IF(AG30="X","BX - 낮은재고+격월1회",IF(AG30="Y","BY - 최소재고+분기1회","BZ - 중단")),IF(AG30="X","CX - 중단(재고소진만)",IF(AG30="Y","CY - 중단(재고소진만)","CZ - 즉시단종"))))</f>
        <v/>
      </c>
      <c r="AS30" s="137" t="inlineStr">
        <is>
          <t>CZ</t>
        </is>
      </c>
      <c r="AT30" s="139" t="inlineStr">
        <is>
          <t>재고없음</t>
        </is>
      </c>
      <c r="AU30" s="139" t="inlineStr">
        <is>
          <t>단종 검토</t>
        </is>
      </c>
      <c r="AV30" s="138" t="n"/>
      <c r="AW30" s="137" t="inlineStr">
        <is>
          <t>CZ</t>
        </is>
      </c>
      <c r="AX30" s="139" t="inlineStr">
        <is>
          <t>중단</t>
        </is>
      </c>
      <c r="AY30" s="139" t="inlineStr">
        <is>
          <t>즉시 단종</t>
        </is>
      </c>
      <c r="AZ30" s="36" t="n"/>
      <c r="BA30" s="70" t="n"/>
      <c r="BB30" s="548" t="n"/>
      <c r="BC30" s="70" t="n"/>
      <c r="BD30" s="70" t="n"/>
      <c r="BE30" s="70" t="n"/>
      <c r="BF30" s="70" t="n"/>
      <c r="BG30" s="70" t="n"/>
      <c r="BH30" s="70" t="n"/>
      <c r="BI30" s="69" t="n"/>
      <c r="BJ30" s="69" t="n"/>
      <c r="BK30" s="69" t="n"/>
      <c r="BL30" s="69" t="n"/>
    </row>
    <row r="31">
      <c r="A31" s="287" t="n">
        <v>26</v>
      </c>
      <c r="B31" s="472" t="inlineStr">
        <is>
          <t>단종예정</t>
        </is>
      </c>
      <c r="C31" s="431" t="inlineStr">
        <is>
          <t>ABC30</t>
        </is>
      </c>
      <c r="D31" s="536" t="n"/>
      <c r="E31" s="524" t="n"/>
      <c r="F31" s="42" t="n"/>
      <c r="G31" s="42" t="n"/>
      <c r="H31" s="42" t="n"/>
      <c r="I31" s="436" t="inlineStr">
        <is>
          <t>사계절</t>
        </is>
      </c>
      <c r="J31" s="537" t="n">
        <v>162</v>
      </c>
      <c r="K31" s="538" t="n">
        <v>428</v>
      </c>
      <c r="L31" s="538" t="n">
        <v>670</v>
      </c>
      <c r="M31" s="538" t="n">
        <v>575</v>
      </c>
      <c r="N31" s="538" t="n">
        <v>353</v>
      </c>
      <c r="O31" s="538" t="n">
        <v>196</v>
      </c>
      <c r="P31" s="538" t="n">
        <v>109</v>
      </c>
      <c r="Q31" s="538" t="n">
        <v>161</v>
      </c>
      <c r="R31" s="538" t="n">
        <v>268</v>
      </c>
      <c r="S31" s="538" t="n">
        <v>468</v>
      </c>
      <c r="T31" s="539" t="n">
        <v>412</v>
      </c>
      <c r="U31" s="540" t="n">
        <v>348</v>
      </c>
      <c r="V31" s="529" t="n">
        <v>14655</v>
      </c>
      <c r="W31" s="529">
        <f>SUM(J31:U31)</f>
        <v/>
      </c>
      <c r="X31" s="530">
        <f>AVERAGE(S31:U31)</f>
        <v/>
      </c>
      <c r="Y31" s="529">
        <f>(S31+T31+U31)*V31</f>
        <v/>
      </c>
      <c r="Z31" s="529">
        <f>W31*V31</f>
        <v/>
      </c>
      <c r="AA31" s="531">
        <f>Z31/SUM($Z$2:$Z$100)</f>
        <v/>
      </c>
      <c r="AB31" s="50">
        <f>SUM($AA$2:AA31)</f>
        <v/>
      </c>
      <c r="AC31" s="45">
        <f>IF(AB31&lt;=70%,"A",IF(AB31&lt;=90%,"B","C"))</f>
        <v/>
      </c>
      <c r="AD31" s="529">
        <f>AVERAGE(J31:U31)</f>
        <v/>
      </c>
      <c r="AE31" s="529">
        <f>_xlfn.STDEV.P(J31:U31)</f>
        <v/>
      </c>
      <c r="AF31" s="532">
        <f>IF(AD31=0,0,AE31/AD31)</f>
        <v/>
      </c>
      <c r="AG31" s="45">
        <f>IF(AF31&lt;0.5,"X",IF(AF31&lt;=1,"Y","Z"))</f>
        <v/>
      </c>
      <c r="AH31" s="45">
        <f>AC31&amp;AG31</f>
        <v/>
      </c>
      <c r="AI31" s="52">
        <f>IF(AH31="CZ",0%,IF(AH31="BZ",0%,IF(AH31="CY",5%,IF(I31="사계절",10%,IF(I31="봄",20%,IF(I31="여름",0%,IF(I31="가을",0%,IF(I31="겨울",0%,10%))))))))</f>
        <v/>
      </c>
      <c r="AJ31" s="289">
        <f>IF(AI31=0,"발주안함","발주")</f>
        <v/>
      </c>
      <c r="AK31" s="307">
        <f>IF(AC31="A",IF(AG31="X","AX - 중간재고+월1회(LCL)",IF(AG31="Y","AY - 낮은재고+격주1회","AZ - 중단")),IF(AC31="B",IF(AG31="X","BX - 낮은재고+격월1회",IF(AG31="Y","BY - 최소재고+분기1회","BZ - 중단")),IF(AG31="X","CX - 중단(재고소진만)",IF(AG31="Y","CY - 중단(재고소진만)","CZ - 즉시단종"))))</f>
        <v/>
      </c>
      <c r="AY31" s="70" t="n"/>
      <c r="AZ31" s="36" t="n"/>
      <c r="BA31" s="70" t="n"/>
      <c r="BB31" s="548" t="n"/>
      <c r="BC31" s="70" t="n"/>
      <c r="BD31" s="70" t="n"/>
      <c r="BE31" s="70" t="n"/>
      <c r="BF31" s="70" t="n"/>
      <c r="BG31" s="70" t="n"/>
      <c r="BH31" s="70" t="n"/>
      <c r="BI31" s="69" t="n"/>
      <c r="BJ31" s="69" t="n"/>
      <c r="BK31" s="69" t="n"/>
      <c r="BL31" s="69" t="n"/>
    </row>
    <row r="32">
      <c r="A32" s="287" t="n">
        <v>37</v>
      </c>
      <c r="B32" s="472" t="inlineStr">
        <is>
          <t>단종예정</t>
        </is>
      </c>
      <c r="C32" s="431" t="inlineStr">
        <is>
          <t>ABC31</t>
        </is>
      </c>
      <c r="D32" s="536" t="n"/>
      <c r="E32" s="524" t="n"/>
      <c r="F32" s="42" t="n"/>
      <c r="G32" s="42" t="n"/>
      <c r="H32" s="42" t="n"/>
      <c r="I32" s="45" t="inlineStr">
        <is>
          <t>여름</t>
        </is>
      </c>
      <c r="J32" s="537" t="n">
        <v>5</v>
      </c>
      <c r="K32" s="538" t="n">
        <v>9</v>
      </c>
      <c r="L32" s="538" t="n">
        <v>55</v>
      </c>
      <c r="M32" s="538" t="n">
        <v>114</v>
      </c>
      <c r="N32" s="538" t="n">
        <v>295</v>
      </c>
      <c r="O32" s="538" t="n">
        <v>388</v>
      </c>
      <c r="P32" s="538" t="n">
        <v>326</v>
      </c>
      <c r="Q32" s="538" t="n">
        <v>149</v>
      </c>
      <c r="R32" s="538" t="n">
        <v>19</v>
      </c>
      <c r="S32" s="538" t="n">
        <v>4</v>
      </c>
      <c r="T32" s="539" t="n">
        <v>2</v>
      </c>
      <c r="U32" s="540" t="n">
        <v>4</v>
      </c>
      <c r="V32" s="529" t="n">
        <v>42639</v>
      </c>
      <c r="W32" s="529">
        <f>SUM(J32:U32)</f>
        <v/>
      </c>
      <c r="X32" s="530">
        <f>AVERAGE(S32:U32)</f>
        <v/>
      </c>
      <c r="Y32" s="529">
        <f>(S32+T32+U32)*V32</f>
        <v/>
      </c>
      <c r="Z32" s="529">
        <f>W32*V32</f>
        <v/>
      </c>
      <c r="AA32" s="531">
        <f>Z32/SUM($Z$2:$Z$100)</f>
        <v/>
      </c>
      <c r="AB32" s="50">
        <f>SUM($AA$2:AA32)</f>
        <v/>
      </c>
      <c r="AC32" s="45">
        <f>IF(AB32&lt;=70%,"A",IF(AB32&lt;=90%,"B","C"))</f>
        <v/>
      </c>
      <c r="AD32" s="529">
        <f>AVERAGE(M32:S32)</f>
        <v/>
      </c>
      <c r="AE32" s="529">
        <f>_xlfn.STDEV.S(M32:S32)</f>
        <v/>
      </c>
      <c r="AF32" s="532">
        <f>IF(AD32=0,0,AE32/AD32)</f>
        <v/>
      </c>
      <c r="AG32" s="45">
        <f>IF(AF32&lt;0.5,"X",IF(AF32&lt;=1,"Y","Z"))</f>
        <v/>
      </c>
      <c r="AH32" s="45">
        <f>AC32&amp;AG32</f>
        <v/>
      </c>
      <c r="AI32" s="52">
        <f>IF(AH32="CZ",0%,IF(AH32="BZ",0%,IF(AH32="CY",5%,IF(I32="사계절",10%,IF(I32="봄",20%,IF(I32="여름",0%,IF(I32="가을",0%,IF(I32="겨울",0%,10%))))))))</f>
        <v/>
      </c>
      <c r="AJ32" s="289">
        <f>IF(AI32=0,"발주안함","발주")</f>
        <v/>
      </c>
      <c r="AK32" s="307">
        <f>IF(AC32="A",IF(AG32="X","AX - 중간재고+월1회(LCL)",IF(AG32="Y","AY - 낮은재고+격주1회","AZ - 중단")),IF(AC32="B",IF(AG32="X","BX - 낮은재고+격월1회",IF(AG32="Y","BY - 최소재고+분기1회","BZ - 중단")),IF(AG32="X","CX - 중단(재고소진만)",IF(AG32="Y","CY - 중단(재고소진만)","CZ - 즉시단종"))))</f>
        <v/>
      </c>
      <c r="AS32" s="308" t="inlineStr">
        <is>
          <t>정상 경우 (향후 재고안정화 후)</t>
        </is>
      </c>
      <c r="AY32" s="70" t="n"/>
      <c r="AZ32" s="36" t="n"/>
      <c r="BA32" s="70" t="n"/>
      <c r="BB32" s="548" t="n"/>
      <c r="BC32" s="70" t="n"/>
      <c r="BD32" s="70" t="n"/>
      <c r="BE32" s="70" t="n"/>
      <c r="BF32" s="70" t="n"/>
      <c r="BG32" s="70" t="n"/>
      <c r="BH32" s="70" t="n"/>
      <c r="BI32" s="69" t="n"/>
      <c r="BJ32" s="69" t="n"/>
      <c r="BK32" s="69" t="n"/>
      <c r="BL32" s="69" t="n"/>
    </row>
    <row r="33">
      <c r="A33" s="287" t="n">
        <v>63</v>
      </c>
      <c r="B33" s="472" t="inlineStr">
        <is>
          <t>단종예정</t>
        </is>
      </c>
      <c r="C33" s="431" t="inlineStr">
        <is>
          <t>ABC32</t>
        </is>
      </c>
      <c r="D33" s="536" t="n"/>
      <c r="E33" s="524" t="n"/>
      <c r="F33" s="42" t="n"/>
      <c r="G33" s="42" t="n"/>
      <c r="H33" s="42" t="n"/>
      <c r="I33" s="45" t="inlineStr">
        <is>
          <t>여름</t>
        </is>
      </c>
      <c r="J33" s="537" t="n">
        <v>0</v>
      </c>
      <c r="K33" s="538" t="n">
        <v>0</v>
      </c>
      <c r="L33" s="538" t="n">
        <v>0</v>
      </c>
      <c r="M33" s="538" t="n">
        <v>16</v>
      </c>
      <c r="N33" s="538" t="n">
        <v>88</v>
      </c>
      <c r="O33" s="538" t="n">
        <v>821</v>
      </c>
      <c r="P33" s="538" t="n">
        <v>1989</v>
      </c>
      <c r="Q33" s="538" t="n">
        <v>241</v>
      </c>
      <c r="R33" s="538" t="n">
        <v>21</v>
      </c>
      <c r="S33" s="538" t="n">
        <v>4</v>
      </c>
      <c r="T33" s="539" t="n">
        <v>5</v>
      </c>
      <c r="U33" s="540" t="n">
        <v>2</v>
      </c>
      <c r="V33" s="529" t="n">
        <v>18313</v>
      </c>
      <c r="W33" s="529">
        <f>SUM(J33:U33)</f>
        <v/>
      </c>
      <c r="X33" s="530">
        <f>AVERAGE(S33:U33)</f>
        <v/>
      </c>
      <c r="Y33" s="529">
        <f>(S33+T33+U33)*V33</f>
        <v/>
      </c>
      <c r="Z33" s="529">
        <f>W33*V33</f>
        <v/>
      </c>
      <c r="AA33" s="531">
        <f>Z33/SUM($Z$2:$Z$100)</f>
        <v/>
      </c>
      <c r="AB33" s="50">
        <f>SUM($AA$2:AA33)</f>
        <v/>
      </c>
      <c r="AC33" s="45">
        <f>IF(AB33&lt;=70%,"A",IF(AB33&lt;=90%,"B","C"))</f>
        <v/>
      </c>
      <c r="AD33" s="529">
        <f>AVERAGE(M33:S33)</f>
        <v/>
      </c>
      <c r="AE33" s="529">
        <f>_xlfn.STDEV.S(M33:S33)</f>
        <v/>
      </c>
      <c r="AF33" s="532">
        <f>IF(AD33=0,0,AE33/AD33)</f>
        <v/>
      </c>
      <c r="AG33" s="45">
        <f>IF(AF33&lt;0.5,"X",IF(AF33&lt;=1,"Y","Z"))</f>
        <v/>
      </c>
      <c r="AH33" s="45">
        <f>AC33&amp;AG33</f>
        <v/>
      </c>
      <c r="AI33" s="52">
        <f>IF(AH33="CZ",0%,IF(AH33="BZ",0%,IF(AH33="CY",5%,IF(I33="사계절",10%,IF(I33="봄",20%,IF(I33="여름",0%,IF(I33="가을",0%,IF(I33="겨울",0%,10%))))))))</f>
        <v/>
      </c>
      <c r="AJ33" s="289">
        <f>IF(AI33=0,"발주안함","발주")</f>
        <v/>
      </c>
      <c r="AK33" s="307">
        <f>IF(AC33="A",IF(AG33="X","AX - 중간재고+월1회(LCL)",IF(AG33="Y","AY - 낮은재고+격주1회","AZ - 중단")),IF(AC33="B",IF(AG33="X","BX - 낮은재고+격월1회",IF(AG33="Y","BY - 최소재고+분기1회","BZ - 중단")),IF(AG33="X","CX - 중단(재고소진만)",IF(AG33="Y","CY - 중단(재고소진만)","CZ - 즉시단종"))))</f>
        <v/>
      </c>
      <c r="AS33" s="308" t="inlineStr">
        <is>
          <t>"=IF(AC2&amp;AG2="AX","AX - 높은재고+분기대량(FCL)",IF(AC2&amp;AG2="AY","AY - 중간재고+월간중량",IF(AC2&amp;AG2="AZ","AZ - 낮은재고+긴급대응",IF(AC2&amp;AG2="BX","BX - 중간재고+분기주문",IF(AC2&amp;AG2="BY","BY - 표준재고+격월주문",IF(AC2&amp;AG2="BZ","BZ - 낮은재고+수요기반",IF(AC2&amp;AG2="CX","CX - 최소재고+반기주문",IF(AC2&amp;AG2="CY","CY - 최소재고+연1~2회",IF(AC2&amp;AG2="CZ","CZ - 재고없음+단종검토","")))))))))"</t>
        </is>
      </c>
      <c r="AY33" s="70" t="n"/>
      <c r="AZ33" s="36" t="n"/>
      <c r="BA33" s="70" t="n"/>
      <c r="BB33" s="548" t="n"/>
      <c r="BC33" s="70" t="n"/>
      <c r="BD33" s="70" t="n"/>
      <c r="BE33" s="70" t="n"/>
      <c r="BF33" s="70" t="n"/>
      <c r="BG33" s="70" t="n"/>
      <c r="BH33" s="70" t="n"/>
      <c r="BI33" s="69" t="n"/>
      <c r="BJ33" s="69" t="n"/>
      <c r="BK33" s="69" t="n"/>
      <c r="BL33" s="69" t="n"/>
    </row>
    <row r="34">
      <c r="A34" s="287" t="n">
        <v>29</v>
      </c>
      <c r="B34" s="472" t="inlineStr">
        <is>
          <t>단종예정</t>
        </is>
      </c>
      <c r="C34" s="431" t="inlineStr">
        <is>
          <t>ABC33</t>
        </is>
      </c>
      <c r="D34" s="536" t="n"/>
      <c r="E34" s="524" t="n"/>
      <c r="F34" s="42" t="n"/>
      <c r="G34" s="42" t="n"/>
      <c r="H34" s="42" t="n"/>
      <c r="I34" s="45" t="inlineStr">
        <is>
          <t>겨울</t>
        </is>
      </c>
      <c r="J34" s="537" t="n">
        <v>355</v>
      </c>
      <c r="K34" s="538" t="n">
        <v>232</v>
      </c>
      <c r="L34" s="538" t="n">
        <v>62</v>
      </c>
      <c r="M34" s="538" t="n">
        <v>36</v>
      </c>
      <c r="N34" s="538" t="n">
        <v>16</v>
      </c>
      <c r="O34" s="538" t="n">
        <v>15</v>
      </c>
      <c r="P34" s="538" t="n">
        <v>7</v>
      </c>
      <c r="Q34" s="538" t="n">
        <v>3</v>
      </c>
      <c r="R34" s="538" t="n">
        <v>41</v>
      </c>
      <c r="S34" s="538" t="n">
        <v>261</v>
      </c>
      <c r="T34" s="539" t="n">
        <v>586</v>
      </c>
      <c r="U34" s="540" t="n">
        <v>361</v>
      </c>
      <c r="V34" s="529" t="n">
        <v>28242</v>
      </c>
      <c r="W34" s="529">
        <f>SUM(J34:U34)</f>
        <v/>
      </c>
      <c r="X34" s="530">
        <f>AVERAGE(S34:U34)</f>
        <v/>
      </c>
      <c r="Y34" s="529">
        <f>(S34+T34+U34)*V34</f>
        <v/>
      </c>
      <c r="Z34" s="529">
        <f>W34*V34</f>
        <v/>
      </c>
      <c r="AA34" s="531">
        <f>Z34/SUM($Z$2:$Z$100)</f>
        <v/>
      </c>
      <c r="AB34" s="50">
        <f>SUM($AA$2:AA34)</f>
        <v/>
      </c>
      <c r="AC34" s="45">
        <f>IF(AB34&lt;=70%,"A",IF(AB34&lt;=90%,"B","C"))</f>
        <v/>
      </c>
      <c r="AD34" s="529">
        <f>AVERAGE(J34:U34)</f>
        <v/>
      </c>
      <c r="AE34" s="529">
        <f>IFERROR(_xludf.STDEV.S(IF(J34=0,"",J34),IF(K34=0,"",K34),IF(L34=0,"",L34),IF(M34=0,"",M34),IF(N34=0,"",N34),IF(O34=0,"",O34),IF(P34=0,"",P34),IF(Q34=0,"",Q34),IF(R34=0,"",R34),IF(S34=0,"",S34),IF(T34=0,"",T34),IF(U34=0,"",U34)),0)</f>
        <v/>
      </c>
      <c r="AF34" s="532">
        <f>IF(AD34=0,0,AE34/AD34)</f>
        <v/>
      </c>
      <c r="AG34" s="45">
        <f>IF(AF34&lt;0.5,"X",IF(AF34&lt;=1,"Y","Z"))</f>
        <v/>
      </c>
      <c r="AH34" s="45">
        <f>AC34&amp;AG34</f>
        <v/>
      </c>
      <c r="AI34" s="52">
        <f>IF(AH34="CZ",0%,IF(AH34="BZ",0%,IF(AH34="CY",5%,IF(I34="사계절",10%,IF(I34="봄",20%,IF(I34="여름",0%,IF(I34="가을",0%,IF(I34="겨울",0%,10%))))))))</f>
        <v/>
      </c>
      <c r="AJ34" s="289">
        <f>IF(AI34=0,"발주안함","발주")</f>
        <v/>
      </c>
      <c r="AK34" s="307">
        <f>IF(AC34="A",IF(AG34="X","AX - 중간재고+월1회(LCL)",IF(AG34="Y","AY - 낮은재고+격주1회","AZ - 중단")),IF(AC34="B",IF(AG34="X","BX - 낮은재고+격월1회",IF(AG34="Y","BY - 최소재고+분기1회","BZ - 중단")),IF(AG34="X","CX - 중단(재고소진만)",IF(AG34="Y","CY - 중단(재고소진만)","CZ - 즉시단종"))))</f>
        <v/>
      </c>
    </row>
    <row r="35">
      <c r="A35" s="287" t="n">
        <v>41</v>
      </c>
      <c r="B35" s="472" t="inlineStr">
        <is>
          <t>단종예정</t>
        </is>
      </c>
      <c r="C35" s="431" t="inlineStr">
        <is>
          <t>ABC34</t>
        </is>
      </c>
      <c r="D35" s="536" t="n"/>
      <c r="E35" s="524" t="n"/>
      <c r="F35" s="42" t="n"/>
      <c r="G35" s="42" t="n"/>
      <c r="H35" s="42" t="n"/>
      <c r="I35" s="45" t="inlineStr">
        <is>
          <t>여름</t>
        </is>
      </c>
      <c r="J35" s="537" t="n">
        <v>0</v>
      </c>
      <c r="K35" s="538" t="n">
        <v>0</v>
      </c>
      <c r="L35" s="538" t="n">
        <v>0</v>
      </c>
      <c r="M35" s="538" t="n">
        <v>44</v>
      </c>
      <c r="N35" s="538" t="n">
        <v>289</v>
      </c>
      <c r="O35" s="538" t="n">
        <v>979</v>
      </c>
      <c r="P35" s="538" t="n">
        <v>1407</v>
      </c>
      <c r="Q35" s="538" t="n">
        <v>784</v>
      </c>
      <c r="R35" s="538" t="n">
        <v>296</v>
      </c>
      <c r="S35" s="538" t="n">
        <v>77</v>
      </c>
      <c r="T35" s="539" t="n">
        <v>87</v>
      </c>
      <c r="U35" s="540" t="n">
        <v>41</v>
      </c>
      <c r="V35" s="529" t="n">
        <v>13910</v>
      </c>
      <c r="W35" s="529">
        <f>SUM(J35:U35)</f>
        <v/>
      </c>
      <c r="X35" s="530">
        <f>AVERAGE(S35:U35)</f>
        <v/>
      </c>
      <c r="Y35" s="529">
        <f>(S35+T35+U35)*V35</f>
        <v/>
      </c>
      <c r="Z35" s="529">
        <f>W35*V35</f>
        <v/>
      </c>
      <c r="AA35" s="531">
        <f>Z35/SUM($Z$2:$Z$100)</f>
        <v/>
      </c>
      <c r="AB35" s="50">
        <f>SUM($AA$2:AA35)</f>
        <v/>
      </c>
      <c r="AC35" s="45">
        <f>IF(AB35&lt;=70%,"A",IF(AB35&lt;=90%,"B","C"))</f>
        <v/>
      </c>
      <c r="AD35" s="529">
        <f>AVERAGE(M35:S35)</f>
        <v/>
      </c>
      <c r="AE35" s="529">
        <f>_xlfn.STDEV.S(M35:S35)</f>
        <v/>
      </c>
      <c r="AF35" s="532">
        <f>IF(AD35=0,0,AE35/AD35)</f>
        <v/>
      </c>
      <c r="AG35" s="45">
        <f>IF(AF35&lt;0.5,"X",IF(AF35&lt;=1,"Y","Z"))</f>
        <v/>
      </c>
      <c r="AH35" s="45">
        <f>AC35&amp;AG35</f>
        <v/>
      </c>
      <c r="AI35" s="52">
        <f>IF(AH35="CZ",0%,IF(AH35="BZ",0%,IF(AH35="CY",5%,IF(I35="사계절",10%,IF(I35="봄",20%,IF(I35="여름",0%,IF(I35="가을",0%,IF(I35="겨울",0%,10%))))))))</f>
        <v/>
      </c>
      <c r="AJ35" s="289">
        <f>IF(AI35=0,"발주안함","발주")</f>
        <v/>
      </c>
      <c r="AK35" s="307">
        <f>IF(AC35="A",IF(AG35="X","AX - 중간재고+월1회(LCL)",IF(AG35="Y","AY - 낮은재고+격주1회","AZ - 중단")),IF(AC35="B",IF(AG35="X","BX - 낮은재고+격월1회",IF(AG35="Y","BY - 최소재고+분기1회","BZ - 중단")),IF(AG35="X","CX - 중단(재고소진만)",IF(AG35="Y","CY - 중단(재고소진만)","CZ - 즉시단종"))))</f>
        <v/>
      </c>
      <c r="AS35" s="308" t="inlineStr">
        <is>
          <t>위기상황 경우 (현재적용중)</t>
        </is>
      </c>
    </row>
    <row r="36">
      <c r="A36" s="287" t="n">
        <v>31</v>
      </c>
      <c r="B36" s="472" t="inlineStr">
        <is>
          <t>단종예정</t>
        </is>
      </c>
      <c r="C36" s="431" t="inlineStr">
        <is>
          <t>ABC35</t>
        </is>
      </c>
      <c r="D36" s="536" t="n"/>
      <c r="E36" s="524" t="n"/>
      <c r="F36" s="42" t="n"/>
      <c r="G36" s="42" t="n"/>
      <c r="H36" s="42" t="n"/>
      <c r="I36" s="45" t="inlineStr">
        <is>
          <t>사계절</t>
        </is>
      </c>
      <c r="J36" s="537" t="n">
        <v>206</v>
      </c>
      <c r="K36" s="538" t="n">
        <v>335</v>
      </c>
      <c r="L36" s="538" t="n">
        <v>583</v>
      </c>
      <c r="M36" s="538" t="n">
        <v>575</v>
      </c>
      <c r="N36" s="538" t="n">
        <v>317</v>
      </c>
      <c r="O36" s="538" t="n">
        <v>167</v>
      </c>
      <c r="P36" s="538" t="n">
        <v>108</v>
      </c>
      <c r="Q36" s="538" t="n">
        <v>143</v>
      </c>
      <c r="R36" s="538" t="n">
        <v>207</v>
      </c>
      <c r="S36" s="538" t="n">
        <v>332</v>
      </c>
      <c r="T36" s="539" t="n">
        <v>378</v>
      </c>
      <c r="U36" s="540" t="n">
        <v>300</v>
      </c>
      <c r="V36" s="529" t="n">
        <v>14655</v>
      </c>
      <c r="W36" s="529">
        <f>SUM(J36:U36)</f>
        <v/>
      </c>
      <c r="X36" s="530">
        <f>AVERAGE(S36:U36)</f>
        <v/>
      </c>
      <c r="Y36" s="529">
        <f>(S36+T36+U36)*V36</f>
        <v/>
      </c>
      <c r="Z36" s="529">
        <f>W36*V36</f>
        <v/>
      </c>
      <c r="AA36" s="531">
        <f>Z36/SUM($Z$2:$Z$100)</f>
        <v/>
      </c>
      <c r="AB36" s="50">
        <f>SUM($AA$2:AA36)</f>
        <v/>
      </c>
      <c r="AC36" s="45">
        <f>IF(AB36&lt;=70%,"A",IF(AB36&lt;=90%,"B","C"))</f>
        <v/>
      </c>
      <c r="AD36" s="529">
        <f>AVERAGE(J36:U36)</f>
        <v/>
      </c>
      <c r="AE36" s="529">
        <f>_xlfn.STDEV.P(J36:U36)</f>
        <v/>
      </c>
      <c r="AF36" s="532">
        <f>IF(AD36=0,0,AE36/AD36)</f>
        <v/>
      </c>
      <c r="AG36" s="45">
        <f>IF(AF36&lt;0.5,"X",IF(AF36&lt;=1,"Y","Z"))</f>
        <v/>
      </c>
      <c r="AH36" s="45">
        <f>AC36&amp;AG36</f>
        <v/>
      </c>
      <c r="AI36" s="52">
        <f>IF(AH36="CZ",0%,IF(AH36="BZ",0%,IF(AH36="CY",5%,IF(I36="사계절",10%,IF(I36="봄",20%,IF(I36="여름",0%,IF(I36="가을",0%,IF(I36="겨울",0%,10%))))))))</f>
        <v/>
      </c>
      <c r="AJ36" s="289">
        <f>IF(AI36=0,"발주안함","발주")</f>
        <v/>
      </c>
      <c r="AK36" s="307">
        <f>IF(AC36="A",IF(AG36="X","AX - 중간재고+월1회(LCL)",IF(AG36="Y","AY - 낮은재고+격주1회","AZ - 중단")),IF(AC36="B",IF(AG36="X","BX - 낮은재고+격월1회",IF(AG36="Y","BY - 최소재고+분기1회","BZ - 중단")),IF(AG36="X","CX - 중단(재고소진만)",IF(AG36="Y","CY - 중단(재고소진만)","CZ - 즉시단종"))))</f>
        <v/>
      </c>
      <c r="AS36" s="308" t="inlineStr">
        <is>
          <t>"=IF(AC2="A",IF(AG2="X","AX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즉시단종"))))"</t>
        </is>
      </c>
    </row>
    <row r="37">
      <c r="A37" s="287" t="n">
        <v>32</v>
      </c>
      <c r="B37" s="472" t="inlineStr">
        <is>
          <t>단종예정</t>
        </is>
      </c>
      <c r="C37" s="431" t="inlineStr">
        <is>
          <t>ABC36</t>
        </is>
      </c>
      <c r="D37" s="536" t="n"/>
      <c r="E37" s="524" t="n"/>
      <c r="F37" s="42" t="n"/>
      <c r="G37" s="42" t="n"/>
      <c r="H37" s="42" t="n"/>
      <c r="I37" s="45" t="inlineStr">
        <is>
          <t>사계절</t>
        </is>
      </c>
      <c r="J37" s="537" t="n">
        <v>93</v>
      </c>
      <c r="K37" s="538" t="n">
        <v>142</v>
      </c>
      <c r="L37" s="538" t="n">
        <v>150</v>
      </c>
      <c r="M37" s="538" t="n">
        <v>111</v>
      </c>
      <c r="N37" s="538" t="n">
        <v>51</v>
      </c>
      <c r="O37" s="538" t="n">
        <v>50</v>
      </c>
      <c r="P37" s="538" t="n">
        <v>40</v>
      </c>
      <c r="Q37" s="538" t="n">
        <v>49</v>
      </c>
      <c r="R37" s="538" t="n">
        <v>65</v>
      </c>
      <c r="S37" s="538" t="n">
        <v>82</v>
      </c>
      <c r="T37" s="539" t="n">
        <v>50</v>
      </c>
      <c r="U37" s="540" t="n">
        <v>48</v>
      </c>
      <c r="V37" s="529" t="n">
        <v>56608</v>
      </c>
      <c r="W37" s="529">
        <f>SUM(J37:U37)</f>
        <v/>
      </c>
      <c r="X37" s="530">
        <f>AVERAGE(S37:U37)</f>
        <v/>
      </c>
      <c r="Y37" s="529">
        <f>(S37+T37+U37)*V37</f>
        <v/>
      </c>
      <c r="Z37" s="529">
        <f>W37*V37</f>
        <v/>
      </c>
      <c r="AA37" s="531">
        <f>Z37/SUM($Z$2:$Z$100)</f>
        <v/>
      </c>
      <c r="AB37" s="50">
        <f>SUM($AA$2:AA37)</f>
        <v/>
      </c>
      <c r="AC37" s="45">
        <f>IF(AB37&lt;=70%,"A",IF(AB37&lt;=90%,"B","C"))</f>
        <v/>
      </c>
      <c r="AD37" s="529">
        <f>AVERAGE(J37:U37)</f>
        <v/>
      </c>
      <c r="AE37" s="529">
        <f>_xlfn.STDEV.P(J37:U37)</f>
        <v/>
      </c>
      <c r="AF37" s="532">
        <f>IF(AD37=0,0,AE37/AD37)</f>
        <v/>
      </c>
      <c r="AG37" s="45">
        <f>IF(AF37&lt;0.5,"X",IF(AF37&lt;=1,"Y","Z"))</f>
        <v/>
      </c>
      <c r="AH37" s="45">
        <f>AC37&amp;AG37</f>
        <v/>
      </c>
      <c r="AI37" s="52">
        <f>IF(AH37="CZ",0%,IF(AH37="BZ",0%,IF(AH37="CY",5%,IF(I37="사계절",10%,IF(I37="봄",20%,IF(I37="여름",0%,IF(I37="가을",0%,IF(I37="겨울",0%,10%))))))))</f>
        <v/>
      </c>
      <c r="AJ37" s="289">
        <f>IF(AI37=0,"발주안함","발주")</f>
        <v/>
      </c>
      <c r="AK37" s="307">
        <f>IF(AC37="A",IF(AG37="X","AX - 중간재고+월1회(LCL)",IF(AG37="Y","AY - 낮은재고+격주1회","AZ - 중단")),IF(AC37="B",IF(AG37="X","BX - 낮은재고+격월1회",IF(AG37="Y","BY - 최소재고+분기1회","BZ - 중단")),IF(AG37="X","CX - 중단(재고소진만)",IF(AG37="Y","CY - 중단(재고소진만)","CZ - 즉시단종"))))</f>
        <v/>
      </c>
    </row>
    <row r="38">
      <c r="A38" s="287" t="n">
        <v>30</v>
      </c>
      <c r="B38" s="472" t="inlineStr">
        <is>
          <t>단종예정</t>
        </is>
      </c>
      <c r="C38" s="431" t="inlineStr">
        <is>
          <t>ABC37</t>
        </is>
      </c>
      <c r="D38" s="536" t="n"/>
      <c r="E38" s="524" t="n"/>
      <c r="F38" s="42" t="n"/>
      <c r="G38" s="42" t="n"/>
      <c r="H38" s="42" t="n"/>
      <c r="I38" s="45" t="inlineStr">
        <is>
          <t>사계절</t>
        </is>
      </c>
      <c r="J38" s="537" t="n">
        <v>168</v>
      </c>
      <c r="K38" s="538" t="n">
        <v>503</v>
      </c>
      <c r="L38" s="538" t="n">
        <v>435</v>
      </c>
      <c r="M38" s="538" t="n">
        <v>235</v>
      </c>
      <c r="N38" s="538" t="n">
        <v>137</v>
      </c>
      <c r="O38" s="538" t="n">
        <v>76</v>
      </c>
      <c r="P38" s="538" t="n">
        <v>35</v>
      </c>
      <c r="Q38" s="538" t="n">
        <v>107</v>
      </c>
      <c r="R38" s="538" t="n">
        <v>127</v>
      </c>
      <c r="S38" s="538" t="n">
        <v>224</v>
      </c>
      <c r="T38" s="539" t="n">
        <v>199</v>
      </c>
      <c r="U38" s="540" t="n">
        <v>133</v>
      </c>
      <c r="V38" s="529" t="n">
        <v>22064</v>
      </c>
      <c r="W38" s="529">
        <f>SUM(J38:U38)</f>
        <v/>
      </c>
      <c r="X38" s="530">
        <f>AVERAGE(S38:U38)</f>
        <v/>
      </c>
      <c r="Y38" s="529">
        <f>(S38+T38+U38)*V38</f>
        <v/>
      </c>
      <c r="Z38" s="529">
        <f>W38*V38</f>
        <v/>
      </c>
      <c r="AA38" s="531">
        <f>Z38/SUM($Z$2:$Z$100)</f>
        <v/>
      </c>
      <c r="AB38" s="50">
        <f>SUM($AA$2:AA38)</f>
        <v/>
      </c>
      <c r="AC38" s="45">
        <f>IF(AB38&lt;=70%,"A",IF(AB38&lt;=90%,"B","C"))</f>
        <v/>
      </c>
      <c r="AD38" s="529">
        <f>AVERAGE(J38:U38)</f>
        <v/>
      </c>
      <c r="AE38" s="529">
        <f>_xlfn.STDEV.P(J38:U38)</f>
        <v/>
      </c>
      <c r="AF38" s="532">
        <f>IF(AD38=0,0,AE38/AD38)</f>
        <v/>
      </c>
      <c r="AG38" s="45">
        <f>IF(AF38&lt;0.5,"X",IF(AF38&lt;=1,"Y","Z"))</f>
        <v/>
      </c>
      <c r="AH38" s="45">
        <f>AC38&amp;AG38</f>
        <v/>
      </c>
      <c r="AI38" s="52">
        <f>IF(AH38="CZ",0%,IF(AH38="BZ",0%,IF(AH38="CY",5%,IF(I38="사계절",10%,IF(I38="봄",20%,IF(I38="여름",0%,IF(I38="가을",0%,IF(I38="겨울",0%,10%))))))))</f>
        <v/>
      </c>
      <c r="AJ38" s="289">
        <f>IF(AI38=0,"발주안함","발주")</f>
        <v/>
      </c>
      <c r="AK38" s="307">
        <f>IF(AC38="A",IF(AG38="X","AX - 중간재고+월1회(LCL)",IF(AG38="Y","AY - 낮은재고+격주1회","AZ - 중단")),IF(AC38="B",IF(AG38="X","BX - 낮은재고+격월1회",IF(AG38="Y","BY - 최소재고+분기1회","BZ - 중단")),IF(AG38="X","CX - 중단(재고소진만)",IF(AG38="Y","CY - 중단(재고소진만)","CZ - 즉시단종"))))</f>
        <v/>
      </c>
    </row>
    <row r="39">
      <c r="A39" s="287" t="n">
        <v>34</v>
      </c>
      <c r="B39" s="472" t="inlineStr">
        <is>
          <t>단종예정</t>
        </is>
      </c>
      <c r="C39" s="431" t="inlineStr">
        <is>
          <t>ABC38</t>
        </is>
      </c>
      <c r="D39" s="536" t="n"/>
      <c r="E39" s="524" t="n"/>
      <c r="F39" s="42" t="n"/>
      <c r="G39" s="42" t="n"/>
      <c r="H39" s="42" t="n"/>
      <c r="I39" s="45" t="inlineStr">
        <is>
          <t>사계절</t>
        </is>
      </c>
      <c r="J39" s="537" t="n">
        <v>0</v>
      </c>
      <c r="K39" s="538" t="n">
        <v>0</v>
      </c>
      <c r="L39" s="538" t="n">
        <v>0</v>
      </c>
      <c r="M39" s="538" t="n">
        <v>430</v>
      </c>
      <c r="N39" s="538" t="n">
        <v>265</v>
      </c>
      <c r="O39" s="538" t="n">
        <v>155</v>
      </c>
      <c r="P39" s="538" t="n">
        <v>146</v>
      </c>
      <c r="Q39" s="538" t="n">
        <v>159</v>
      </c>
      <c r="R39" s="538" t="n">
        <v>183</v>
      </c>
      <c r="S39" s="538" t="n">
        <v>283</v>
      </c>
      <c r="T39" s="539" t="n">
        <v>229</v>
      </c>
      <c r="U39" s="540" t="n">
        <v>263</v>
      </c>
      <c r="V39" s="529" t="n">
        <v>24620</v>
      </c>
      <c r="W39" s="529">
        <f>SUM(J39:U39)</f>
        <v/>
      </c>
      <c r="X39" s="530">
        <f>AVERAGE(S39:U39)</f>
        <v/>
      </c>
      <c r="Y39" s="529">
        <f>(S39+T39+U39)*V39</f>
        <v/>
      </c>
      <c r="Z39" s="529">
        <f>W39*V39</f>
        <v/>
      </c>
      <c r="AA39" s="531">
        <f>Z39/SUM($Z$2:$Z$100)</f>
        <v/>
      </c>
      <c r="AB39" s="50">
        <f>SUM($AA$2:AA39)</f>
        <v/>
      </c>
      <c r="AC39" s="45">
        <f>IF(AB39&lt;=70%,"A",IF(AB39&lt;=90%,"B","C"))</f>
        <v/>
      </c>
      <c r="AD39" s="529">
        <f>AVERAGE(J39:U39)</f>
        <v/>
      </c>
      <c r="AE39" s="529">
        <f>_xlfn.STDEV.P(J39:U39)</f>
        <v/>
      </c>
      <c r="AF39" s="532">
        <f>IF(AD39=0,0,AE39/AD39)</f>
        <v/>
      </c>
      <c r="AG39" s="45">
        <f>IF(AF39&lt;0.5,"X",IF(AF39&lt;=1,"Y","Z"))</f>
        <v/>
      </c>
      <c r="AH39" s="45">
        <f>AC39&amp;AG39</f>
        <v/>
      </c>
      <c r="AI39" s="52">
        <f>IF(AH39="CZ",0%,IF(AH39="BZ",0%,IF(AH39="CY",5%,IF(I39="사계절",10%,IF(I39="봄",20%,IF(I39="여름",0%,IF(I39="가을",0%,IF(I39="겨울",0%,10%))))))))</f>
        <v/>
      </c>
      <c r="AJ39" s="289">
        <f>IF(AI39=0,"발주안함","발주")</f>
        <v/>
      </c>
      <c r="AK39" s="307">
        <f>IF(AC39="A",IF(AG39="X","AX - 중간재고+월1회(LCL)",IF(AG39="Y","AY - 낮은재고+격주1회","AZ - 중단")),IF(AC39="B",IF(AG39="X","BX - 낮은재고+격월1회",IF(AG39="Y","BY - 최소재고+분기1회","BZ - 중단")),IF(AG39="X","CX - 중단(재고소진만)",IF(AG39="Y","CY - 중단(재고소진만)","CZ - 즉시단종"))))</f>
        <v/>
      </c>
    </row>
    <row r="40">
      <c r="A40" s="287" t="n">
        <v>35</v>
      </c>
      <c r="B40" s="472" t="inlineStr">
        <is>
          <t>단종예정</t>
        </is>
      </c>
      <c r="C40" s="431" t="inlineStr">
        <is>
          <t>ABC39</t>
        </is>
      </c>
      <c r="D40" s="536" t="n"/>
      <c r="E40" s="524" t="n"/>
      <c r="F40" s="42" t="n"/>
      <c r="G40" s="42" t="n"/>
      <c r="H40" s="42" t="n"/>
      <c r="I40" s="45" t="inlineStr">
        <is>
          <t>사계절</t>
        </is>
      </c>
      <c r="J40" s="537" t="n">
        <v>117</v>
      </c>
      <c r="K40" s="538" t="n">
        <v>134</v>
      </c>
      <c r="L40" s="538" t="n">
        <v>376</v>
      </c>
      <c r="M40" s="538" t="n">
        <v>247</v>
      </c>
      <c r="N40" s="538" t="n">
        <v>367</v>
      </c>
      <c r="O40" s="538" t="n">
        <v>523</v>
      </c>
      <c r="P40" s="538" t="n">
        <v>420</v>
      </c>
      <c r="Q40" s="538" t="n">
        <v>427</v>
      </c>
      <c r="R40" s="538" t="n">
        <v>189</v>
      </c>
      <c r="S40" s="538" t="n">
        <v>0</v>
      </c>
      <c r="T40" s="539" t="n">
        <v>0</v>
      </c>
      <c r="U40" s="540" t="n">
        <v>20</v>
      </c>
      <c r="V40" s="529" t="n">
        <v>18343</v>
      </c>
      <c r="W40" s="529">
        <f>SUM(J40:U40)</f>
        <v/>
      </c>
      <c r="X40" s="530">
        <f>AVERAGE(S40:U40)</f>
        <v/>
      </c>
      <c r="Y40" s="529">
        <f>(S40+T40+U40)*V40</f>
        <v/>
      </c>
      <c r="Z40" s="529">
        <f>W40*V40</f>
        <v/>
      </c>
      <c r="AA40" s="531">
        <f>Z40/SUM($Z$2:$Z$100)</f>
        <v/>
      </c>
      <c r="AB40" s="50">
        <f>SUM($AA$2:AA40)</f>
        <v/>
      </c>
      <c r="AC40" s="45">
        <f>IF(AB40&lt;=70%,"A",IF(AB40&lt;=90%,"B","C"))</f>
        <v/>
      </c>
      <c r="AD40" s="529">
        <f>AVERAGE(J40:U40)</f>
        <v/>
      </c>
      <c r="AE40" s="529">
        <f>_xlfn.STDEV.P(J40:U40)</f>
        <v/>
      </c>
      <c r="AF40" s="532">
        <f>IF(AD40=0,0,AE40/AD40)</f>
        <v/>
      </c>
      <c r="AG40" s="45">
        <f>IF(AF40&lt;0.5,"X",IF(AF40&lt;=1,"Y","Z"))</f>
        <v/>
      </c>
      <c r="AH40" s="45">
        <f>AC40&amp;AG40</f>
        <v/>
      </c>
      <c r="AI40" s="52">
        <f>IF(AH40="CZ",0%,IF(AH40="BZ",0%,IF(AH40="CY",5%,IF(I40="사계절",10%,IF(I40="봄",20%,IF(I40="여름",0%,IF(I40="가을",0%,IF(I40="겨울",0%,10%))))))))</f>
        <v/>
      </c>
      <c r="AJ40" s="289">
        <f>IF(AI40=0,"발주안함","발주")</f>
        <v/>
      </c>
      <c r="AK40" s="307">
        <f>IF(AC40="A",IF(AG40="X","AX - 중간재고+월1회(LCL)",IF(AG40="Y","AY - 낮은재고+격주1회","AZ - 중단")),IF(AC40="B",IF(AG40="X","BX - 낮은재고+격월1회",IF(AG40="Y","BY - 최소재고+분기1회","BZ - 중단")),IF(AG40="X","CX - 중단(재고소진만)",IF(AG40="Y","CY - 중단(재고소진만)","CZ - 즉시단종"))))</f>
        <v/>
      </c>
    </row>
    <row r="41">
      <c r="A41" s="287" t="n">
        <v>33</v>
      </c>
      <c r="B41" s="472" t="inlineStr">
        <is>
          <t>단종예정</t>
        </is>
      </c>
      <c r="C41" s="431" t="inlineStr">
        <is>
          <t>ABC40</t>
        </is>
      </c>
      <c r="D41" s="536" t="n"/>
      <c r="E41" s="524" t="n"/>
      <c r="F41" s="42" t="n"/>
      <c r="G41" s="42" t="n"/>
      <c r="H41" s="42" t="n"/>
      <c r="I41" s="45" t="inlineStr">
        <is>
          <t>사계절</t>
        </is>
      </c>
      <c r="J41" s="537" t="n">
        <v>275</v>
      </c>
      <c r="K41" s="538" t="n">
        <v>496</v>
      </c>
      <c r="L41" s="538" t="n">
        <v>418</v>
      </c>
      <c r="M41" s="538" t="n">
        <v>229</v>
      </c>
      <c r="N41" s="538" t="n">
        <v>135</v>
      </c>
      <c r="O41" s="538" t="n">
        <v>108</v>
      </c>
      <c r="P41" s="538" t="n">
        <v>64</v>
      </c>
      <c r="Q41" s="538" t="n">
        <v>125</v>
      </c>
      <c r="R41" s="538" t="n">
        <v>261</v>
      </c>
      <c r="S41" s="538" t="n">
        <v>419</v>
      </c>
      <c r="T41" s="539" t="n">
        <v>502</v>
      </c>
      <c r="U41" s="540" t="n">
        <v>492</v>
      </c>
      <c r="V41" s="529" t="n">
        <v>14655</v>
      </c>
      <c r="W41" s="529">
        <f>SUM(J41:U41)</f>
        <v/>
      </c>
      <c r="X41" s="530">
        <f>AVERAGE(S41:U41)</f>
        <v/>
      </c>
      <c r="Y41" s="529">
        <f>(S41+T41+U41)*V41</f>
        <v/>
      </c>
      <c r="Z41" s="529">
        <f>W41*V41</f>
        <v/>
      </c>
      <c r="AA41" s="531">
        <f>Z41/SUM($Z$2:$Z$100)</f>
        <v/>
      </c>
      <c r="AB41" s="50">
        <f>SUM($AA$2:AA41)</f>
        <v/>
      </c>
      <c r="AC41" s="45">
        <f>IF(AB41&lt;=70%,"A",IF(AB41&lt;=90%,"B","C"))</f>
        <v/>
      </c>
      <c r="AD41" s="529">
        <f>AVERAGE(J41:U41)</f>
        <v/>
      </c>
      <c r="AE41" s="529">
        <f>_xlfn.STDEV.P(J41:U41)</f>
        <v/>
      </c>
      <c r="AF41" s="532">
        <f>IF(AD41=0,0,AE41/AD41)</f>
        <v/>
      </c>
      <c r="AG41" s="45">
        <f>IF(AF41&lt;0.5,"X",IF(AF41&lt;=1,"Y","Z"))</f>
        <v/>
      </c>
      <c r="AH41" s="45">
        <f>AC41&amp;AG41</f>
        <v/>
      </c>
      <c r="AI41" s="52">
        <f>IF(AH41="CZ",0%,IF(AH41="BZ",0%,IF(AH41="CY",5%,IF(I41="사계절",10%,IF(I41="봄",20%,IF(I41="여름",0%,IF(I41="가을",0%,IF(I41="겨울",0%,10%))))))))</f>
        <v/>
      </c>
      <c r="AJ41" s="289">
        <f>IF(AI41=0,"발주안함","발주")</f>
        <v/>
      </c>
      <c r="AK41" s="307">
        <f>IF(AC41="A",IF(AG41="X","AX - 중간재고+월1회(LCL)",IF(AG41="Y","AY - 낮은재고+격주1회","AZ - 중단")),IF(AC41="B",IF(AG41="X","BX - 낮은재고+격월1회",IF(AG41="Y","BY - 최소재고+분기1회","BZ - 중단")),IF(AG41="X","CX - 중단(재고소진만)",IF(AG41="Y","CY - 중단(재고소진만)","CZ - 즉시단종"))))</f>
        <v/>
      </c>
    </row>
    <row r="42">
      <c r="A42" s="287" t="n">
        <v>38</v>
      </c>
      <c r="B42" s="472" t="inlineStr">
        <is>
          <t>단종예정</t>
        </is>
      </c>
      <c r="C42" s="431" t="inlineStr">
        <is>
          <t>ABC41</t>
        </is>
      </c>
      <c r="D42" s="536" t="n"/>
      <c r="E42" s="524" t="n"/>
      <c r="F42" s="42" t="n"/>
      <c r="G42" s="42" t="n"/>
      <c r="H42" s="42" t="n"/>
      <c r="I42" s="45" t="inlineStr">
        <is>
          <t>사계절</t>
        </is>
      </c>
      <c r="J42" s="537" t="n">
        <v>0</v>
      </c>
      <c r="K42" s="538" t="n">
        <v>0</v>
      </c>
      <c r="L42" s="538" t="n">
        <v>0</v>
      </c>
      <c r="M42" s="538" t="n">
        <v>551</v>
      </c>
      <c r="N42" s="538" t="n">
        <v>301</v>
      </c>
      <c r="O42" s="538" t="n">
        <v>161</v>
      </c>
      <c r="P42" s="538" t="n">
        <v>85</v>
      </c>
      <c r="Q42" s="538" t="n">
        <v>96</v>
      </c>
      <c r="R42" s="538" t="n">
        <v>147</v>
      </c>
      <c r="S42" s="538" t="n">
        <v>257</v>
      </c>
      <c r="T42" s="539" t="n">
        <v>191</v>
      </c>
      <c r="U42" s="540" t="n">
        <v>260</v>
      </c>
      <c r="V42" s="529" t="n">
        <v>24620</v>
      </c>
      <c r="W42" s="529">
        <f>SUM(J42:U42)</f>
        <v/>
      </c>
      <c r="X42" s="530">
        <f>AVERAGE(S42:U42)</f>
        <v/>
      </c>
      <c r="Y42" s="529">
        <f>(S42+T42+U42)*V42</f>
        <v/>
      </c>
      <c r="Z42" s="529">
        <f>W42*V42</f>
        <v/>
      </c>
      <c r="AA42" s="531">
        <f>Z42/SUM($Z$2:$Z$100)</f>
        <v/>
      </c>
      <c r="AB42" s="50">
        <f>SUM($AA$2:AA42)</f>
        <v/>
      </c>
      <c r="AC42" s="45">
        <f>IF(AB42&lt;=70%,"A",IF(AB42&lt;=90%,"B","C"))</f>
        <v/>
      </c>
      <c r="AD42" s="529">
        <f>AVERAGE(J42:U42)</f>
        <v/>
      </c>
      <c r="AE42" s="529">
        <f>_xlfn.STDEV.P(J42:U42)</f>
        <v/>
      </c>
      <c r="AF42" s="532">
        <f>IF(AD42=0,0,AE42/AD42)</f>
        <v/>
      </c>
      <c r="AG42" s="45">
        <f>IF(AF42&lt;0.5,"X",IF(AF42&lt;=1,"Y","Z"))</f>
        <v/>
      </c>
      <c r="AH42" s="45">
        <f>AC42&amp;AG42</f>
        <v/>
      </c>
      <c r="AI42" s="52">
        <f>IF(AH42="CZ",0%,IF(AH42="BZ",0%,IF(AH42="CY",5%,IF(I42="사계절",10%,IF(I42="봄",20%,IF(I42="여름",0%,IF(I42="가을",0%,IF(I42="겨울",0%,10%))))))))</f>
        <v/>
      </c>
      <c r="AJ42" s="289">
        <f>IF(AI42=0,"발주안함","발주")</f>
        <v/>
      </c>
      <c r="AK42" s="307">
        <f>IF(AC42="A",IF(AG42="X","AX - 중간재고+월1회(LCL)",IF(AG42="Y","AY - 낮은재고+격주1회","AZ - 중단")),IF(AC42="B",IF(AG42="X","BX - 낮은재고+격월1회",IF(AG42="Y","BY - 최소재고+분기1회","BZ - 중단")),IF(AG42="X","CX - 중단(재고소진만)",IF(AG42="Y","CY - 중단(재고소진만)","CZ - 즉시단종"))))</f>
        <v/>
      </c>
    </row>
    <row r="43">
      <c r="A43" s="287" t="n">
        <v>61</v>
      </c>
      <c r="B43" s="472" t="inlineStr">
        <is>
          <t>단종예정</t>
        </is>
      </c>
      <c r="C43" s="431" t="inlineStr">
        <is>
          <t>ABC42</t>
        </is>
      </c>
      <c r="D43" s="536" t="n"/>
      <c r="E43" s="524" t="n"/>
      <c r="F43" s="42" t="n"/>
      <c r="G43" s="42" t="n"/>
      <c r="H43" s="42" t="n"/>
      <c r="I43" s="45" t="inlineStr">
        <is>
          <t>여름</t>
        </is>
      </c>
      <c r="J43" s="537" t="n">
        <v>0</v>
      </c>
      <c r="K43" s="538" t="n">
        <v>0</v>
      </c>
      <c r="L43" s="538" t="n">
        <v>0</v>
      </c>
      <c r="M43" s="538" t="n">
        <v>26</v>
      </c>
      <c r="N43" s="538" t="n">
        <v>165</v>
      </c>
      <c r="O43" s="538" t="n">
        <v>1226</v>
      </c>
      <c r="P43" s="538" t="n">
        <v>1885</v>
      </c>
      <c r="Q43" s="538" t="n">
        <v>218</v>
      </c>
      <c r="R43" s="538" t="n">
        <v>20</v>
      </c>
      <c r="S43" s="538" t="n">
        <v>9</v>
      </c>
      <c r="T43" s="539" t="n">
        <v>9</v>
      </c>
      <c r="U43" s="540" t="n">
        <v>2</v>
      </c>
      <c r="V43" s="529" t="n">
        <v>14046</v>
      </c>
      <c r="W43" s="529">
        <f>SUM(J43:U43)</f>
        <v/>
      </c>
      <c r="X43" s="530">
        <f>AVERAGE(S43:U43)</f>
        <v/>
      </c>
      <c r="Y43" s="529">
        <f>(S43+T43+U43)*V43</f>
        <v/>
      </c>
      <c r="Z43" s="529">
        <f>W43*V43</f>
        <v/>
      </c>
      <c r="AA43" s="531">
        <f>Z43/SUM($Z$2:$Z$100)</f>
        <v/>
      </c>
      <c r="AB43" s="50">
        <f>SUM($AA$2:AA43)</f>
        <v/>
      </c>
      <c r="AC43" s="45">
        <f>IF(AB43&lt;=70%,"A",IF(AB43&lt;=90%,"B","C"))</f>
        <v/>
      </c>
      <c r="AD43" s="529">
        <f>AVERAGE(M43:S43)</f>
        <v/>
      </c>
      <c r="AE43" s="529">
        <f>_xlfn.STDEV.S(M43:S43)</f>
        <v/>
      </c>
      <c r="AF43" s="532">
        <f>IF(AD43=0,0,AE43/AD43)</f>
        <v/>
      </c>
      <c r="AG43" s="45">
        <f>IF(AF43&lt;0.5,"X",IF(AF43&lt;=1,"Y","Z"))</f>
        <v/>
      </c>
      <c r="AH43" s="45">
        <f>AC43&amp;AG43</f>
        <v/>
      </c>
      <c r="AI43" s="52">
        <f>IF(AH43="CZ",0%,IF(AH43="BZ",0%,IF(AH43="CY",5%,IF(I43="사계절",10%,IF(I43="봄",20%,IF(I43="여름",0%,IF(I43="가을",0%,IF(I43="겨울",0%,10%))))))))</f>
        <v/>
      </c>
      <c r="AJ43" s="289">
        <f>IF(AI43=0,"발주안함","발주")</f>
        <v/>
      </c>
      <c r="AK43" s="307">
        <f>IF(AC43="A",IF(AG43="X","AX - 중간재고+월1회(LCL)",IF(AG43="Y","AY - 낮은재고+격주1회","AZ - 중단")),IF(AC43="B",IF(AG43="X","BX - 낮은재고+격월1회",IF(AG43="Y","BY - 최소재고+분기1회","BZ - 중단")),IF(AG43="X","CX - 중단(재고소진만)",IF(AG43="Y","CY - 중단(재고소진만)","CZ - 즉시단종"))))</f>
        <v/>
      </c>
    </row>
    <row r="44">
      <c r="A44" s="287" t="n">
        <v>39</v>
      </c>
      <c r="B44" s="472" t="inlineStr">
        <is>
          <t>단종예정</t>
        </is>
      </c>
      <c r="C44" s="431" t="inlineStr">
        <is>
          <t>ABC43</t>
        </is>
      </c>
      <c r="D44" s="536" t="n"/>
      <c r="E44" s="524" t="n"/>
      <c r="F44" s="42" t="n"/>
      <c r="G44" s="42" t="n"/>
      <c r="H44" s="42" t="n"/>
      <c r="I44" s="45" t="inlineStr">
        <is>
          <t>사계절</t>
        </is>
      </c>
      <c r="J44" s="537" t="n">
        <v>191</v>
      </c>
      <c r="K44" s="538" t="n">
        <v>430</v>
      </c>
      <c r="L44" s="538" t="n">
        <v>426</v>
      </c>
      <c r="M44" s="538" t="n">
        <v>203</v>
      </c>
      <c r="N44" s="538" t="n">
        <v>131</v>
      </c>
      <c r="O44" s="538" t="n">
        <v>69</v>
      </c>
      <c r="P44" s="538" t="n">
        <v>33</v>
      </c>
      <c r="Q44" s="538" t="n">
        <v>78</v>
      </c>
      <c r="R44" s="538" t="n">
        <v>130</v>
      </c>
      <c r="S44" s="538" t="n">
        <v>164</v>
      </c>
      <c r="T44" s="539" t="n">
        <v>203</v>
      </c>
      <c r="U44" s="540" t="n">
        <v>136</v>
      </c>
      <c r="V44" s="529" t="n">
        <v>22064</v>
      </c>
      <c r="W44" s="529">
        <f>SUM(J44:U44)</f>
        <v/>
      </c>
      <c r="X44" s="530">
        <f>AVERAGE(S44:U44)</f>
        <v/>
      </c>
      <c r="Y44" s="529">
        <f>(S44+T44+U44)*V44</f>
        <v/>
      </c>
      <c r="Z44" s="529">
        <f>W44*V44</f>
        <v/>
      </c>
      <c r="AA44" s="531">
        <f>Z44/SUM($Z$2:$Z$100)</f>
        <v/>
      </c>
      <c r="AB44" s="50">
        <f>SUM($AA$2:AA44)</f>
        <v/>
      </c>
      <c r="AC44" s="45">
        <f>IF(AB44&lt;=70%,"A",IF(AB44&lt;=90%,"B","C"))</f>
        <v/>
      </c>
      <c r="AD44" s="529">
        <f>AVERAGE(J44:U44)</f>
        <v/>
      </c>
      <c r="AE44" s="529">
        <f>_xlfn.STDEV.P(J44:U44)</f>
        <v/>
      </c>
      <c r="AF44" s="532">
        <f>IF(AD44=0,0,AE44/AD44)</f>
        <v/>
      </c>
      <c r="AG44" s="45">
        <f>IF(AF44&lt;0.5,"X",IF(AF44&lt;=1,"Y","Z"))</f>
        <v/>
      </c>
      <c r="AH44" s="45">
        <f>AC44&amp;AG44</f>
        <v/>
      </c>
      <c r="AI44" s="52">
        <f>IF(AH44="CZ",0%,IF(AH44="BZ",0%,IF(AH44="CY",5%,IF(I44="사계절",10%,IF(I44="봄",20%,IF(I44="여름",0%,IF(I44="가을",0%,IF(I44="겨울",0%,10%))))))))</f>
        <v/>
      </c>
      <c r="AJ44" s="289">
        <f>IF(AI44=0,"발주안함","발주")</f>
        <v/>
      </c>
      <c r="AK44" s="307">
        <f>IF(AC44="A",IF(AG44="X","AX - 중간재고+월1회(LCL)",IF(AG44="Y","AY - 낮은재고+격주1회","AZ - 중단")),IF(AC44="B",IF(AG44="X","BX - 낮은재고+격월1회",IF(AG44="Y","BY - 최소재고+분기1회","BZ - 중단")),IF(AG44="X","CX - 중단(재고소진만)",IF(AG44="Y","CY - 중단(재고소진만)","CZ - 즉시단종"))))</f>
        <v/>
      </c>
    </row>
    <row r="45">
      <c r="A45" s="287" t="n">
        <v>42</v>
      </c>
      <c r="B45" s="472" t="inlineStr">
        <is>
          <t>단종예정</t>
        </is>
      </c>
      <c r="C45" s="431" t="inlineStr">
        <is>
          <t>ABC44</t>
        </is>
      </c>
      <c r="D45" s="536" t="n"/>
      <c r="E45" s="524" t="n"/>
      <c r="F45" s="42" t="n"/>
      <c r="G45" s="42" t="n"/>
      <c r="H45" s="42" t="n"/>
      <c r="I45" s="45" t="inlineStr">
        <is>
          <t>사계절</t>
        </is>
      </c>
      <c r="J45" s="537" t="n">
        <v>1899</v>
      </c>
      <c r="K45" s="538" t="n">
        <v>2039</v>
      </c>
      <c r="L45" s="538" t="n">
        <v>1509</v>
      </c>
      <c r="M45" s="538" t="n">
        <v>1151</v>
      </c>
      <c r="N45" s="538" t="n">
        <v>638</v>
      </c>
      <c r="O45" s="538" t="n">
        <v>627</v>
      </c>
      <c r="P45" s="538" t="n">
        <v>356</v>
      </c>
      <c r="Q45" s="538" t="n">
        <v>273</v>
      </c>
      <c r="R45" s="538" t="n">
        <v>940</v>
      </c>
      <c r="S45" s="538" t="n">
        <v>1227</v>
      </c>
      <c r="T45" s="539" t="n">
        <v>1919</v>
      </c>
      <c r="U45" s="540" t="n">
        <v>1346</v>
      </c>
      <c r="V45" s="529" t="n">
        <v>3364</v>
      </c>
      <c r="W45" s="529">
        <f>SUM(J45:U45)</f>
        <v/>
      </c>
      <c r="X45" s="530">
        <f>AVERAGE(S45:U45)</f>
        <v/>
      </c>
      <c r="Y45" s="529">
        <f>(S45+T45+U45)*V45</f>
        <v/>
      </c>
      <c r="Z45" s="529">
        <f>W45*V45</f>
        <v/>
      </c>
      <c r="AA45" s="531">
        <f>Z45/SUM($Z$2:$Z$100)</f>
        <v/>
      </c>
      <c r="AB45" s="50">
        <f>SUM($AA$2:AA45)</f>
        <v/>
      </c>
      <c r="AC45" s="45">
        <f>IF(AB45&lt;=70%,"A",IF(AB45&lt;=90%,"B","C"))</f>
        <v/>
      </c>
      <c r="AD45" s="529">
        <f>AVERAGE(J45:U45)</f>
        <v/>
      </c>
      <c r="AE45" s="529">
        <f>_xlfn.STDEV.P(J45:U45)</f>
        <v/>
      </c>
      <c r="AF45" s="532">
        <f>IF(AD45=0,0,AE45/AD45)</f>
        <v/>
      </c>
      <c r="AG45" s="45">
        <f>IF(AF45&lt;0.5,"X",IF(AF45&lt;=1,"Y","Z"))</f>
        <v/>
      </c>
      <c r="AH45" s="45">
        <f>AC45&amp;AG45</f>
        <v/>
      </c>
      <c r="AI45" s="52">
        <f>IF(AH45="CZ",0%,IF(AH45="BZ",0%,IF(AH45="CY",5%,IF(I45="사계절",10%,IF(I45="봄",20%,IF(I45="여름",0%,IF(I45="가을",0%,IF(I45="겨울",0%,10%))))))))</f>
        <v/>
      </c>
      <c r="AJ45" s="289">
        <f>IF(AI45=0,"발주안함","발주")</f>
        <v/>
      </c>
      <c r="AK45" s="307">
        <f>IF(AC45="A",IF(AG45="X","AX - 중간재고+월1회(LCL)",IF(AG45="Y","AY - 낮은재고+격주1회","AZ - 중단")),IF(AC45="B",IF(AG45="X","BX - 낮은재고+격월1회",IF(AG45="Y","BY - 최소재고+분기1회","BZ - 중단")),IF(AG45="X","CX - 중단(재고소진만)",IF(AG45="Y","CY - 중단(재고소진만)","CZ - 즉시단종"))))</f>
        <v/>
      </c>
    </row>
    <row r="46">
      <c r="A46" s="287" t="n">
        <v>40</v>
      </c>
      <c r="B46" s="472" t="inlineStr">
        <is>
          <t>단종예정</t>
        </is>
      </c>
      <c r="C46" s="431" t="inlineStr">
        <is>
          <t>ABC45</t>
        </is>
      </c>
      <c r="D46" s="536" t="n"/>
      <c r="E46" s="524" t="n"/>
      <c r="F46" s="42" t="n"/>
      <c r="G46" s="42" t="n"/>
      <c r="H46" s="42" t="n"/>
      <c r="I46" s="45" t="inlineStr">
        <is>
          <t>사계절</t>
        </is>
      </c>
      <c r="J46" s="537" t="n">
        <v>158</v>
      </c>
      <c r="K46" s="538" t="n">
        <v>232</v>
      </c>
      <c r="L46" s="538" t="n">
        <v>239</v>
      </c>
      <c r="M46" s="538" t="n">
        <v>227</v>
      </c>
      <c r="N46" s="538" t="n">
        <v>118</v>
      </c>
      <c r="O46" s="538" t="n">
        <v>69</v>
      </c>
      <c r="P46" s="538" t="n">
        <v>81</v>
      </c>
      <c r="Q46" s="538" t="n">
        <v>152</v>
      </c>
      <c r="R46" s="538" t="n">
        <v>99</v>
      </c>
      <c r="S46" s="538" t="n">
        <v>137</v>
      </c>
      <c r="T46" s="539" t="n">
        <v>129</v>
      </c>
      <c r="U46" s="540" t="n">
        <v>77</v>
      </c>
      <c r="V46" s="529" t="n">
        <v>26893</v>
      </c>
      <c r="W46" s="529">
        <f>SUM(J46:U46)</f>
        <v/>
      </c>
      <c r="X46" s="530">
        <f>AVERAGE(S46:U46)</f>
        <v/>
      </c>
      <c r="Y46" s="529">
        <f>(S46+T46+U46)*V46</f>
        <v/>
      </c>
      <c r="Z46" s="529">
        <f>W46*V46</f>
        <v/>
      </c>
      <c r="AA46" s="531">
        <f>Z46/SUM($Z$2:$Z$100)</f>
        <v/>
      </c>
      <c r="AB46" s="50">
        <f>SUM($AA$2:AA46)</f>
        <v/>
      </c>
      <c r="AC46" s="45">
        <f>IF(AB46&lt;=70%,"A",IF(AB46&lt;=90%,"B","C"))</f>
        <v/>
      </c>
      <c r="AD46" s="529">
        <f>AVERAGE(J46:U46)</f>
        <v/>
      </c>
      <c r="AE46" s="529">
        <f>_xlfn.STDEV.P(J46:U46)</f>
        <v/>
      </c>
      <c r="AF46" s="532">
        <f>IF(AD46=0,0,AE46/AD46)</f>
        <v/>
      </c>
      <c r="AG46" s="45">
        <f>IF(AF46&lt;0.5,"X",IF(AF46&lt;=1,"Y","Z"))</f>
        <v/>
      </c>
      <c r="AH46" s="45">
        <f>AC46&amp;AG46</f>
        <v/>
      </c>
      <c r="AI46" s="52">
        <f>IF(AH46="CZ",0%,IF(AH46="BZ",0%,IF(AH46="CY",5%,IF(I46="사계절",10%,IF(I46="봄",20%,IF(I46="여름",0%,IF(I46="가을",0%,IF(I46="겨울",0%,10%))))))))</f>
        <v/>
      </c>
      <c r="AJ46" s="289">
        <f>IF(AI46=0,"발주안함","발주")</f>
        <v/>
      </c>
      <c r="AK46" s="307">
        <f>IF(AC46="A",IF(AG46="X","AX - 중간재고+월1회(LCL)",IF(AG46="Y","AY - 낮은재고+격주1회","AZ - 중단")),IF(AC46="B",IF(AG46="X","BX - 낮은재고+격월1회",IF(AG46="Y","BY - 최소재고+분기1회","BZ - 중단")),IF(AG46="X","CX - 중단(재고소진만)",IF(AG46="Y","CY - 중단(재고소진만)","CZ - 즉시단종"))))</f>
        <v/>
      </c>
    </row>
    <row r="47">
      <c r="A47" s="287" t="n">
        <v>43</v>
      </c>
      <c r="B47" s="472" t="inlineStr">
        <is>
          <t>단종예정</t>
        </is>
      </c>
      <c r="C47" s="431" t="inlineStr">
        <is>
          <t>ABC46</t>
        </is>
      </c>
      <c r="D47" s="536" t="n"/>
      <c r="E47" s="524" t="n"/>
      <c r="F47" s="42" t="n"/>
      <c r="G47" s="42" t="n"/>
      <c r="H47" s="42" t="n"/>
      <c r="I47" s="45" t="inlineStr">
        <is>
          <t>사계절</t>
        </is>
      </c>
      <c r="J47" s="537" t="n">
        <v>0</v>
      </c>
      <c r="K47" s="538" t="n">
        <v>0</v>
      </c>
      <c r="L47" s="538" t="n">
        <v>0</v>
      </c>
      <c r="M47" s="538" t="n">
        <v>526</v>
      </c>
      <c r="N47" s="538" t="n">
        <v>223</v>
      </c>
      <c r="O47" s="538" t="n">
        <v>131</v>
      </c>
      <c r="P47" s="538" t="n">
        <v>98</v>
      </c>
      <c r="Q47" s="538" t="n">
        <v>92</v>
      </c>
      <c r="R47" s="538" t="n">
        <v>92</v>
      </c>
      <c r="S47" s="538" t="n">
        <v>118</v>
      </c>
      <c r="T47" s="539" t="n">
        <v>94</v>
      </c>
      <c r="U47" s="540" t="n">
        <v>113</v>
      </c>
      <c r="V47" s="529" t="n">
        <v>29447</v>
      </c>
      <c r="W47" s="529">
        <f>SUM(J47:U47)</f>
        <v/>
      </c>
      <c r="X47" s="530">
        <f>AVERAGE(S47:U47)</f>
        <v/>
      </c>
      <c r="Y47" s="529">
        <f>(S47+T47+U47)*V47</f>
        <v/>
      </c>
      <c r="Z47" s="529">
        <f>W47*V47</f>
        <v/>
      </c>
      <c r="AA47" s="531">
        <f>Z47/SUM($Z$2:$Z$100)</f>
        <v/>
      </c>
      <c r="AB47" s="50">
        <f>SUM($AA$2:AA47)</f>
        <v/>
      </c>
      <c r="AC47" s="45">
        <f>IF(AB47&lt;=70%,"A",IF(AB47&lt;=90%,"B","C"))</f>
        <v/>
      </c>
      <c r="AD47" s="529">
        <f>AVERAGE(J47:U47)</f>
        <v/>
      </c>
      <c r="AE47" s="529">
        <f>_xlfn.STDEV.P(J47:U47)</f>
        <v/>
      </c>
      <c r="AF47" s="532">
        <f>IF(AD47=0,0,AE47/AD47)</f>
        <v/>
      </c>
      <c r="AG47" s="45">
        <f>IF(AF47&lt;0.5,"X",IF(AF47&lt;=1,"Y","Z"))</f>
        <v/>
      </c>
      <c r="AH47" s="45">
        <f>AC47&amp;AG47</f>
        <v/>
      </c>
      <c r="AI47" s="52">
        <f>IF(AH47="CZ",0%,IF(AH47="BZ",0%,IF(AH47="CY",5%,IF(I47="사계절",10%,IF(I47="봄",20%,IF(I47="여름",0%,IF(I47="가을",0%,IF(I47="겨울",0%,10%))))))))</f>
        <v/>
      </c>
      <c r="AJ47" s="289">
        <f>IF(AI47=0,"발주안함","발주")</f>
        <v/>
      </c>
      <c r="AK47" s="307">
        <f>IF(AC47="A",IF(AG47="X","AX - 중간재고+월1회(LCL)",IF(AG47="Y","AY - 낮은재고+격주1회","AZ - 중단")),IF(AC47="B",IF(AG47="X","BX - 낮은재고+격월1회",IF(AG47="Y","BY - 최소재고+분기1회","BZ - 중단")),IF(AG47="X","CX - 중단(재고소진만)",IF(AG47="Y","CY - 중단(재고소진만)","CZ - 즉시단종"))))</f>
        <v/>
      </c>
    </row>
    <row r="48">
      <c r="A48" s="287" t="n">
        <v>45</v>
      </c>
      <c r="B48" s="472" t="inlineStr">
        <is>
          <t>단종예정</t>
        </is>
      </c>
      <c r="C48" s="431" t="inlineStr">
        <is>
          <t>ABC47</t>
        </is>
      </c>
      <c r="D48" s="536" t="n"/>
      <c r="E48" s="524" t="n"/>
      <c r="F48" s="42" t="n"/>
      <c r="G48" s="42" t="n"/>
      <c r="H48" s="42" t="n"/>
      <c r="I48" s="45" t="inlineStr">
        <is>
          <t>사계절</t>
        </is>
      </c>
      <c r="J48" s="537" t="n">
        <v>162</v>
      </c>
      <c r="K48" s="538" t="n">
        <v>98</v>
      </c>
      <c r="L48" s="538" t="n">
        <v>140</v>
      </c>
      <c r="M48" s="538" t="n">
        <v>114</v>
      </c>
      <c r="N48" s="538" t="n">
        <v>75</v>
      </c>
      <c r="O48" s="538" t="n">
        <v>147</v>
      </c>
      <c r="P48" s="538" t="n">
        <v>70</v>
      </c>
      <c r="Q48" s="538" t="n">
        <v>58</v>
      </c>
      <c r="R48" s="538" t="n">
        <v>78</v>
      </c>
      <c r="S48" s="538" t="n">
        <v>93</v>
      </c>
      <c r="T48" s="539" t="n">
        <v>64</v>
      </c>
      <c r="U48" s="540" t="n">
        <v>54</v>
      </c>
      <c r="V48" s="529" t="n">
        <v>37499</v>
      </c>
      <c r="W48" s="529">
        <f>SUM(J48:U48)</f>
        <v/>
      </c>
      <c r="X48" s="530">
        <f>AVERAGE(S48:U48)</f>
        <v/>
      </c>
      <c r="Y48" s="529">
        <f>(S48+T48+U48)*V48</f>
        <v/>
      </c>
      <c r="Z48" s="529">
        <f>W48*V48</f>
        <v/>
      </c>
      <c r="AA48" s="531">
        <f>Z48/SUM($Z$2:$Z$100)</f>
        <v/>
      </c>
      <c r="AB48" s="50">
        <f>SUM($AA$2:AA48)</f>
        <v/>
      </c>
      <c r="AC48" s="45">
        <f>IF(AB48&lt;=70%,"A",IF(AB48&lt;=90%,"B","C"))</f>
        <v/>
      </c>
      <c r="AD48" s="529">
        <f>AVERAGE(J48:U48)</f>
        <v/>
      </c>
      <c r="AE48" s="529">
        <f>_xlfn.STDEV.P(J48:U48)</f>
        <v/>
      </c>
      <c r="AF48" s="532">
        <f>IF(AD48=0,0,AE48/AD48)</f>
        <v/>
      </c>
      <c r="AG48" s="45">
        <f>IF(AF48&lt;0.5,"X",IF(AF48&lt;=1,"Y","Z"))</f>
        <v/>
      </c>
      <c r="AH48" s="45">
        <f>AC48&amp;AG48</f>
        <v/>
      </c>
      <c r="AI48" s="52">
        <f>IF(AH48="CZ",0%,IF(AH48="BZ",0%,IF(AH48="CY",5%,IF(I48="사계절",10%,IF(I48="봄",20%,IF(I48="여름",0%,IF(I48="가을",0%,IF(I48="겨울",0%,10%))))))))</f>
        <v/>
      </c>
      <c r="AJ48" s="289">
        <f>IF(AI48=0,"발주안함","발주")</f>
        <v/>
      </c>
      <c r="AK48" s="307">
        <f>IF(AC48="A",IF(AG48="X","AX - 중간재고+월1회(LCL)",IF(AG48="Y","AY - 낮은재고+격주1회","AZ - 중단")),IF(AC48="B",IF(AG48="X","BX - 낮은재고+격월1회",IF(AG48="Y","BY - 최소재고+분기1회","BZ - 중단")),IF(AG48="X","CX - 중단(재고소진만)",IF(AG48="Y","CY - 중단(재고소진만)","CZ - 즉시단종"))))</f>
        <v/>
      </c>
    </row>
    <row r="49">
      <c r="A49" s="287" t="n">
        <v>44</v>
      </c>
      <c r="B49" s="472" t="inlineStr">
        <is>
          <t>단종예정</t>
        </is>
      </c>
      <c r="C49" s="431" t="inlineStr">
        <is>
          <t>ABC48</t>
        </is>
      </c>
      <c r="D49" s="536" t="n"/>
      <c r="E49" s="524" t="n"/>
      <c r="F49" s="42" t="n"/>
      <c r="G49" s="42" t="n"/>
      <c r="H49" s="42" t="n"/>
      <c r="I49" s="45" t="inlineStr">
        <is>
          <t>사계절</t>
        </is>
      </c>
      <c r="J49" s="537" t="n">
        <v>151</v>
      </c>
      <c r="K49" s="538" t="n">
        <v>165</v>
      </c>
      <c r="L49" s="538" t="n">
        <v>213</v>
      </c>
      <c r="M49" s="538" t="n">
        <v>156</v>
      </c>
      <c r="N49" s="538" t="n">
        <v>126</v>
      </c>
      <c r="O49" s="538" t="n">
        <v>58</v>
      </c>
      <c r="P49" s="538" t="n">
        <v>48</v>
      </c>
      <c r="Q49" s="538" t="n">
        <v>81</v>
      </c>
      <c r="R49" s="538" t="n">
        <v>152</v>
      </c>
      <c r="S49" s="538" t="n">
        <v>256</v>
      </c>
      <c r="T49" s="539" t="n">
        <v>113</v>
      </c>
      <c r="U49" s="540" t="n">
        <v>251</v>
      </c>
      <c r="V49" s="529" t="n">
        <v>24107</v>
      </c>
      <c r="W49" s="529">
        <f>SUM(J49:U49)</f>
        <v/>
      </c>
      <c r="X49" s="530">
        <f>AVERAGE(S49:U49)</f>
        <v/>
      </c>
      <c r="Y49" s="529">
        <f>(S49+T49+U49)*V49</f>
        <v/>
      </c>
      <c r="Z49" s="529">
        <f>W49*V49</f>
        <v/>
      </c>
      <c r="AA49" s="531">
        <f>Z49/SUM($Z$2:$Z$100)</f>
        <v/>
      </c>
      <c r="AB49" s="50">
        <f>SUM($AA$2:AA49)</f>
        <v/>
      </c>
      <c r="AC49" s="45">
        <f>IF(AB49&lt;=70%,"A",IF(AB49&lt;=90%,"B","C"))</f>
        <v/>
      </c>
      <c r="AD49" s="529">
        <f>AVERAGE(J49:U49)</f>
        <v/>
      </c>
      <c r="AE49" s="529">
        <f>_xlfn.STDEV.P(J49:U49)</f>
        <v/>
      </c>
      <c r="AF49" s="532">
        <f>IF(AD49=0,0,AE49/AD49)</f>
        <v/>
      </c>
      <c r="AG49" s="45">
        <f>IF(AF49&lt;0.5,"X",IF(AF49&lt;=1,"Y","Z"))</f>
        <v/>
      </c>
      <c r="AH49" s="45">
        <f>AC49&amp;AG49</f>
        <v/>
      </c>
      <c r="AI49" s="52">
        <f>IF(AH49="CZ",0%,IF(AH49="BZ",0%,IF(AH49="CY",5%,IF(I49="사계절",10%,IF(I49="봄",20%,IF(I49="여름",0%,IF(I49="가을",0%,IF(I49="겨울",0%,10%))))))))</f>
        <v/>
      </c>
      <c r="AJ49" s="289">
        <f>IF(AI49=0,"발주안함","발주")</f>
        <v/>
      </c>
      <c r="AK49" s="307">
        <f>IF(AC49="A",IF(AG49="X","AX - 중간재고+월1회(LCL)",IF(AG49="Y","AY - 낮은재고+격주1회","AZ - 중단")),IF(AC49="B",IF(AG49="X","BX - 낮은재고+격월1회",IF(AG49="Y","BY - 최소재고+분기1회","BZ - 중단")),IF(AG49="X","CX - 중단(재고소진만)",IF(AG49="Y","CY - 중단(재고소진만)","CZ - 즉시단종"))))</f>
        <v/>
      </c>
    </row>
    <row r="50">
      <c r="A50" s="287" t="n">
        <v>46</v>
      </c>
      <c r="B50" s="472" t="inlineStr">
        <is>
          <t>기존제품</t>
        </is>
      </c>
      <c r="C50" s="431" t="inlineStr">
        <is>
          <t>ABC49</t>
        </is>
      </c>
      <c r="D50" s="536" t="n"/>
      <c r="E50" s="524" t="n"/>
      <c r="F50" s="42" t="n"/>
      <c r="G50" s="42" t="n"/>
      <c r="H50" s="42" t="n"/>
      <c r="I50" s="45" t="inlineStr">
        <is>
          <t>사계절</t>
        </is>
      </c>
      <c r="J50" s="537" t="n">
        <v>2041</v>
      </c>
      <c r="K50" s="538" t="n">
        <v>2212</v>
      </c>
      <c r="L50" s="538" t="n">
        <v>1090</v>
      </c>
      <c r="M50" s="538" t="n">
        <v>804</v>
      </c>
      <c r="N50" s="538" t="n">
        <v>457</v>
      </c>
      <c r="O50" s="538" t="n">
        <v>415</v>
      </c>
      <c r="P50" s="538" t="n">
        <v>216</v>
      </c>
      <c r="Q50" s="538" t="n">
        <v>309</v>
      </c>
      <c r="R50" s="538" t="n">
        <v>760</v>
      </c>
      <c r="S50" s="538" t="n">
        <v>1146</v>
      </c>
      <c r="T50" s="539" t="n">
        <v>1778</v>
      </c>
      <c r="U50" s="540" t="n">
        <v>1389</v>
      </c>
      <c r="V50" s="529" t="n">
        <v>3364</v>
      </c>
      <c r="W50" s="529">
        <f>SUM(J50:U50)</f>
        <v/>
      </c>
      <c r="X50" s="530">
        <f>AVERAGE(S50:U50)</f>
        <v/>
      </c>
      <c r="Y50" s="529">
        <f>(S50+T50+U50)*V50</f>
        <v/>
      </c>
      <c r="Z50" s="529">
        <f>W50*V50</f>
        <v/>
      </c>
      <c r="AA50" s="531">
        <f>Z50/SUM($Z$2:$Z$100)</f>
        <v/>
      </c>
      <c r="AB50" s="50">
        <f>SUM($AA$2:AA50)</f>
        <v/>
      </c>
      <c r="AC50" s="45">
        <f>IF(AB50&lt;=70%,"A",IF(AB50&lt;=90%,"B","C"))</f>
        <v/>
      </c>
      <c r="AD50" s="529">
        <f>AVERAGE(J50:U50)</f>
        <v/>
      </c>
      <c r="AE50" s="529">
        <f>_xlfn.STDEV.P(J50:U50)</f>
        <v/>
      </c>
      <c r="AF50" s="532">
        <f>IF(AD50=0,0,AE50/AD50)</f>
        <v/>
      </c>
      <c r="AG50" s="45">
        <f>IF(AF50&lt;0.5,"X",IF(AF50&lt;=1,"Y","Z"))</f>
        <v/>
      </c>
      <c r="AH50" s="45">
        <f>AC50&amp;AG50</f>
        <v/>
      </c>
      <c r="AI50" s="52">
        <f>IF(AH50="CZ",0%,IF(AH50="BZ",0%,IF(AH50="CY",5%,IF(I50="사계절",10%,IF(I50="봄",20%,IF(I50="여름",0%,IF(I50="가을",0%,IF(I50="겨울",0%,10%))))))))</f>
        <v/>
      </c>
      <c r="AJ50" s="289">
        <f>IF(AI50=0,"발주안함","발주")</f>
        <v/>
      </c>
      <c r="AK50" s="307">
        <f>IF(AC50="A",IF(AG50="X","AX - 중간재고+월1회(LCL)",IF(AG50="Y","AY - 낮은재고+격주1회","AZ - 중단")),IF(AC50="B",IF(AG50="X","BX - 낮은재고+격월1회",IF(AG50="Y","BY - 최소재고+분기1회","BZ - 중단")),IF(AG50="X","CX - 중단(재고소진만)",IF(AG50="Y","CY - 중단(재고소진만)","CZ - 즉시단종"))))</f>
        <v/>
      </c>
    </row>
    <row r="51">
      <c r="A51" s="287" t="n">
        <v>47</v>
      </c>
      <c r="B51" s="472" t="inlineStr">
        <is>
          <t>기존제품</t>
        </is>
      </c>
      <c r="C51" s="431" t="inlineStr">
        <is>
          <t>ABC50</t>
        </is>
      </c>
      <c r="D51" s="536" t="n"/>
      <c r="E51" s="524" t="n"/>
      <c r="F51" s="42" t="n"/>
      <c r="G51" s="42" t="n"/>
      <c r="H51" s="42" t="n"/>
      <c r="I51" s="45" t="inlineStr">
        <is>
          <t>사계절</t>
        </is>
      </c>
      <c r="J51" s="537" t="n">
        <v>0</v>
      </c>
      <c r="K51" s="538" t="n">
        <v>0</v>
      </c>
      <c r="L51" s="538" t="n">
        <v>0</v>
      </c>
      <c r="M51" s="538" t="n">
        <v>463</v>
      </c>
      <c r="N51" s="538" t="n">
        <v>253</v>
      </c>
      <c r="O51" s="538" t="n">
        <v>122</v>
      </c>
      <c r="P51" s="538" t="n">
        <v>80</v>
      </c>
      <c r="Q51" s="538" t="n">
        <v>112</v>
      </c>
      <c r="R51" s="538" t="n">
        <v>117</v>
      </c>
      <c r="S51" s="538" t="n">
        <v>183</v>
      </c>
      <c r="T51" s="539" t="n">
        <v>173</v>
      </c>
      <c r="U51" s="540" t="n">
        <v>182</v>
      </c>
      <c r="V51" s="529" t="n">
        <v>24620</v>
      </c>
      <c r="W51" s="529">
        <f>SUM(J51:U51)</f>
        <v/>
      </c>
      <c r="X51" s="530">
        <f>AVERAGE(S51:U51)</f>
        <v/>
      </c>
      <c r="Y51" s="529">
        <f>(S51+T51+U51)*V51</f>
        <v/>
      </c>
      <c r="Z51" s="529">
        <f>W51*V51</f>
        <v/>
      </c>
      <c r="AA51" s="531">
        <f>Z51/SUM($Z$2:$Z$100)</f>
        <v/>
      </c>
      <c r="AB51" s="50">
        <f>SUM($AA$2:AA51)</f>
        <v/>
      </c>
      <c r="AC51" s="45">
        <f>IF(AB51&lt;=70%,"A",IF(AB51&lt;=90%,"B","C"))</f>
        <v/>
      </c>
      <c r="AD51" s="529">
        <f>AVERAGE(J51:U51)</f>
        <v/>
      </c>
      <c r="AE51" s="529">
        <f>_xlfn.STDEV.P(J51:U51)</f>
        <v/>
      </c>
      <c r="AF51" s="532">
        <f>IF(AD51=0,0,AE51/AD51)</f>
        <v/>
      </c>
      <c r="AG51" s="45">
        <f>IF(AF51&lt;0.5,"X",IF(AF51&lt;=1,"Y","Z"))</f>
        <v/>
      </c>
      <c r="AH51" s="45">
        <f>AC51&amp;AG51</f>
        <v/>
      </c>
      <c r="AI51" s="52">
        <f>IF(AH51="CZ",0%,IF(AH51="BZ",0%,IF(AH51="CY",5%,IF(I51="사계절",10%,IF(I51="봄",20%,IF(I51="여름",0%,IF(I51="가을",0%,IF(I51="겨울",0%,10%))))))))</f>
        <v/>
      </c>
      <c r="AJ51" s="289">
        <f>IF(AI51=0,"발주안함","발주")</f>
        <v/>
      </c>
      <c r="AK51" s="307">
        <f>IF(AC51="A",IF(AG51="X","AX - 중간재고+월1회(LCL)",IF(AG51="Y","AY - 낮은재고+격주1회","AZ - 중단")),IF(AC51="B",IF(AG51="X","BX - 낮은재고+격월1회",IF(AG51="Y","BY - 최소재고+분기1회","BZ - 중단")),IF(AG51="X","CX - 중단(재고소진만)",IF(AG51="Y","CY - 중단(재고소진만)","CZ - 즉시단종"))))</f>
        <v/>
      </c>
    </row>
    <row r="52">
      <c r="A52" s="287" t="n">
        <v>48</v>
      </c>
      <c r="B52" s="472" t="inlineStr">
        <is>
          <t>기존제품</t>
        </is>
      </c>
      <c r="C52" s="431" t="inlineStr">
        <is>
          <t>ABC51</t>
        </is>
      </c>
      <c r="D52" s="536" t="n"/>
      <c r="E52" s="524" t="n"/>
      <c r="F52" s="42" t="n"/>
      <c r="G52" s="42" t="n"/>
      <c r="H52" s="42" t="n"/>
      <c r="I52" s="45" t="inlineStr">
        <is>
          <t>사계절</t>
        </is>
      </c>
      <c r="J52" s="537" t="n">
        <v>132</v>
      </c>
      <c r="K52" s="538" t="n">
        <v>237</v>
      </c>
      <c r="L52" s="538" t="n">
        <v>304</v>
      </c>
      <c r="M52" s="538" t="n">
        <v>195</v>
      </c>
      <c r="N52" s="538" t="n">
        <v>111</v>
      </c>
      <c r="O52" s="538" t="n">
        <v>58</v>
      </c>
      <c r="P52" s="538" t="n">
        <v>33</v>
      </c>
      <c r="Q52" s="538" t="n">
        <v>45</v>
      </c>
      <c r="R52" s="538" t="n">
        <v>94</v>
      </c>
      <c r="S52" s="538" t="n">
        <v>131</v>
      </c>
      <c r="T52" s="539" t="n">
        <v>126</v>
      </c>
      <c r="U52" s="540" t="n">
        <v>76</v>
      </c>
      <c r="V52" s="529" t="n">
        <v>26893</v>
      </c>
      <c r="W52" s="529">
        <f>SUM(J52:U52)</f>
        <v/>
      </c>
      <c r="X52" s="530">
        <f>AVERAGE(S52:U52)</f>
        <v/>
      </c>
      <c r="Y52" s="529">
        <f>(S52+T52+U52)*V52</f>
        <v/>
      </c>
      <c r="Z52" s="529">
        <f>W52*V52</f>
        <v/>
      </c>
      <c r="AA52" s="531">
        <f>Z52/SUM($Z$2:$Z$100)</f>
        <v/>
      </c>
      <c r="AB52" s="50">
        <f>SUM($AA$2:AA52)</f>
        <v/>
      </c>
      <c r="AC52" s="45">
        <f>IF(AB52&lt;=70%,"A",IF(AB52&lt;=90%,"B","C"))</f>
        <v/>
      </c>
      <c r="AD52" s="529">
        <f>AVERAGE(J52:U52)</f>
        <v/>
      </c>
      <c r="AE52" s="529">
        <f>_xlfn.STDEV.P(J52:U52)</f>
        <v/>
      </c>
      <c r="AF52" s="532">
        <f>IF(AD52=0,0,AE52/AD52)</f>
        <v/>
      </c>
      <c r="AG52" s="45">
        <f>IF(AF52&lt;0.5,"X",IF(AF52&lt;=1,"Y","Z"))</f>
        <v/>
      </c>
      <c r="AH52" s="45">
        <f>AC52&amp;AG52</f>
        <v/>
      </c>
      <c r="AI52" s="52">
        <f>IF(AH52="CZ",0%,IF(AH52="BZ",0%,IF(AH52="CY",5%,IF(I52="사계절",10%,IF(I52="봄",20%,IF(I52="여름",0%,IF(I52="가을",0%,IF(I52="겨울",0%,10%))))))))</f>
        <v/>
      </c>
      <c r="AJ52" s="289">
        <f>IF(AI52=0,"발주안함","발주")</f>
        <v/>
      </c>
      <c r="AK52" s="307">
        <f>IF(AC52="A",IF(AG52="X","AX - 중간재고+월1회(LCL)",IF(AG52="Y","AY - 낮은재고+격주1회","AZ - 중단")),IF(AC52="B",IF(AG52="X","BX - 낮은재고+격월1회",IF(AG52="Y","BY - 최소재고+분기1회","BZ - 중단")),IF(AG52="X","CX - 중단(재고소진만)",IF(AG52="Y","CY - 중단(재고소진만)","CZ - 즉시단종"))))</f>
        <v/>
      </c>
    </row>
    <row r="53">
      <c r="A53" s="287" t="n">
        <v>79</v>
      </c>
      <c r="B53" s="472" t="inlineStr">
        <is>
          <t>기존제품</t>
        </is>
      </c>
      <c r="C53" s="431" t="inlineStr">
        <is>
          <t>ABC52</t>
        </is>
      </c>
      <c r="D53" s="536" t="n"/>
      <c r="E53" s="524" t="n"/>
      <c r="F53" s="42" t="n"/>
      <c r="G53" s="42" t="n"/>
      <c r="H53" s="42" t="n"/>
      <c r="I53" s="45" t="inlineStr">
        <is>
          <t>여름</t>
        </is>
      </c>
      <c r="J53" s="537" t="n">
        <v>0</v>
      </c>
      <c r="K53" s="538" t="n">
        <v>0</v>
      </c>
      <c r="L53" s="538" t="n">
        <v>0</v>
      </c>
      <c r="M53" s="538" t="n">
        <v>14</v>
      </c>
      <c r="N53" s="538" t="n">
        <v>65</v>
      </c>
      <c r="O53" s="538" t="n">
        <v>741</v>
      </c>
      <c r="P53" s="538" t="n">
        <v>1735</v>
      </c>
      <c r="Q53" s="538" t="n">
        <v>244</v>
      </c>
      <c r="R53" s="538" t="n">
        <v>38</v>
      </c>
      <c r="S53" s="538" t="n">
        <v>7</v>
      </c>
      <c r="T53" s="539" t="n">
        <v>7</v>
      </c>
      <c r="U53" s="540" t="n">
        <v>4</v>
      </c>
      <c r="V53" s="529" t="n">
        <v>14434</v>
      </c>
      <c r="W53" s="529">
        <f>SUM(J53:U53)</f>
        <v/>
      </c>
      <c r="X53" s="530">
        <f>AVERAGE(S53:U53)</f>
        <v/>
      </c>
      <c r="Y53" s="529">
        <f>(S53+T53+U53)*V53</f>
        <v/>
      </c>
      <c r="Z53" s="529">
        <f>W53*V53</f>
        <v/>
      </c>
      <c r="AA53" s="531">
        <f>Z53/SUM($Z$2:$Z$100)</f>
        <v/>
      </c>
      <c r="AB53" s="50">
        <f>SUM($AA$2:AA53)</f>
        <v/>
      </c>
      <c r="AC53" s="45">
        <f>IF(AB53&lt;=70%,"A",IF(AB53&lt;=90%,"B","C"))</f>
        <v/>
      </c>
      <c r="AD53" s="529">
        <f>AVERAGE(M53:S53)</f>
        <v/>
      </c>
      <c r="AE53" s="529">
        <f>_xlfn.STDEV.S(M53:S53)</f>
        <v/>
      </c>
      <c r="AF53" s="532">
        <f>IF(AD53=0,0,AE53/AD53)</f>
        <v/>
      </c>
      <c r="AG53" s="45">
        <f>IF(AF53&lt;0.5,"X",IF(AF53&lt;=1,"Y","Z"))</f>
        <v/>
      </c>
      <c r="AH53" s="45">
        <f>AC53&amp;AG53</f>
        <v/>
      </c>
      <c r="AI53" s="52">
        <f>IF(AH53="CZ",0%,IF(AH53="BZ",0%,IF(AH53="CY",5%,IF(I53="사계절",10%,IF(I53="봄",20%,IF(I53="여름",0%,IF(I53="가을",0%,IF(I53="겨울",0%,10%))))))))</f>
        <v/>
      </c>
      <c r="AJ53" s="289">
        <f>IF(AI53=0,"발주안함","발주")</f>
        <v/>
      </c>
      <c r="AK53" s="307">
        <f>IF(AC53="A",IF(AG53="X","AX - 중간재고+월1회(LCL)",IF(AG53="Y","AY - 낮은재고+격주1회","AZ - 중단")),IF(AC53="B",IF(AG53="X","BX - 낮은재고+격월1회",IF(AG53="Y","BY - 최소재고+분기1회","BZ - 중단")),IF(AG53="X","CX - 중단(재고소진만)",IF(AG53="Y","CY - 중단(재고소진만)","CZ - 즉시단종"))))</f>
        <v/>
      </c>
    </row>
    <row r="54">
      <c r="A54" s="287" t="n">
        <v>49</v>
      </c>
      <c r="B54" s="472" t="inlineStr">
        <is>
          <t>기존제품</t>
        </is>
      </c>
      <c r="C54" s="431" t="inlineStr">
        <is>
          <t>ABC53</t>
        </is>
      </c>
      <c r="D54" s="536" t="n"/>
      <c r="E54" s="524" t="n"/>
      <c r="F54" s="42" t="n"/>
      <c r="G54" s="42" t="n"/>
      <c r="H54" s="42" t="n"/>
      <c r="I54" s="45" t="inlineStr">
        <is>
          <t>사계절</t>
        </is>
      </c>
      <c r="J54" s="537" t="n">
        <v>0</v>
      </c>
      <c r="K54" s="538" t="n">
        <v>0</v>
      </c>
      <c r="L54" s="538" t="n">
        <v>0</v>
      </c>
      <c r="M54" s="538" t="n">
        <v>371</v>
      </c>
      <c r="N54" s="538" t="n">
        <v>196</v>
      </c>
      <c r="O54" s="538" t="n">
        <v>136</v>
      </c>
      <c r="P54" s="538" t="n">
        <v>129</v>
      </c>
      <c r="Q54" s="538" t="n">
        <v>77</v>
      </c>
      <c r="R54" s="538" t="n">
        <v>76</v>
      </c>
      <c r="S54" s="538" t="n">
        <v>126</v>
      </c>
      <c r="T54" s="539" t="n">
        <v>87</v>
      </c>
      <c r="U54" s="540" t="n">
        <v>128</v>
      </c>
      <c r="V54" s="529" t="n">
        <v>29447</v>
      </c>
      <c r="W54" s="529">
        <f>SUM(J54:U54)</f>
        <v/>
      </c>
      <c r="X54" s="530">
        <f>AVERAGE(S54:U54)</f>
        <v/>
      </c>
      <c r="Y54" s="529">
        <f>(S54+T54+U54)*V54</f>
        <v/>
      </c>
      <c r="Z54" s="529">
        <f>W54*V54</f>
        <v/>
      </c>
      <c r="AA54" s="531">
        <f>Z54/SUM($Z$2:$Z$100)</f>
        <v/>
      </c>
      <c r="AB54" s="50">
        <f>SUM($AA$2:AA54)</f>
        <v/>
      </c>
      <c r="AC54" s="45">
        <f>IF(AB54&lt;=70%,"A",IF(AB54&lt;=90%,"B","C"))</f>
        <v/>
      </c>
      <c r="AD54" s="529">
        <f>AVERAGE(J54:U54)</f>
        <v/>
      </c>
      <c r="AE54" s="529">
        <f>_xlfn.STDEV.P(J54:U54)</f>
        <v/>
      </c>
      <c r="AF54" s="532">
        <f>IF(AD54=0,0,AE54/AD54)</f>
        <v/>
      </c>
      <c r="AG54" s="45">
        <f>IF(AF54&lt;0.5,"X",IF(AF54&lt;=1,"Y","Z"))</f>
        <v/>
      </c>
      <c r="AH54" s="45">
        <f>AC54&amp;AG54</f>
        <v/>
      </c>
      <c r="AI54" s="52">
        <f>IF(AH54="CZ",0%,IF(AH54="BZ",0%,IF(AH54="CY",5%,IF(I54="사계절",10%,IF(I54="봄",20%,IF(I54="여름",0%,IF(I54="가을",0%,IF(I54="겨울",0%,10%))))))))</f>
        <v/>
      </c>
      <c r="AJ54" s="289">
        <f>IF(AI54=0,"발주안함","발주")</f>
        <v/>
      </c>
      <c r="AK54" s="307">
        <f>IF(AC54="A",IF(AG54="X","AX - 중간재고+월1회(LCL)",IF(AG54="Y","AY - 낮은재고+격주1회","AZ - 중단")),IF(AC54="B",IF(AG54="X","BX - 낮은재고+격월1회",IF(AG54="Y","BY - 최소재고+분기1회","BZ - 중단")),IF(AG54="X","CX - 중단(재고소진만)",IF(AG54="Y","CY - 중단(재고소진만)","CZ - 즉시단종"))))</f>
        <v/>
      </c>
    </row>
    <row r="55">
      <c r="A55" s="287" t="n">
        <v>53</v>
      </c>
      <c r="B55" s="472" t="inlineStr">
        <is>
          <t>기존제품</t>
        </is>
      </c>
      <c r="C55" s="431" t="inlineStr">
        <is>
          <t>ABC54</t>
        </is>
      </c>
      <c r="D55" s="536" t="n"/>
      <c r="E55" s="524" t="n"/>
      <c r="F55" s="42" t="n"/>
      <c r="G55" s="42" t="n"/>
      <c r="H55" s="42" t="n"/>
      <c r="I55" s="45" t="inlineStr">
        <is>
          <t>여름</t>
        </is>
      </c>
      <c r="J55" s="537" t="n">
        <v>0</v>
      </c>
      <c r="K55" s="538" t="n">
        <v>0</v>
      </c>
      <c r="L55" s="538" t="n">
        <v>0</v>
      </c>
      <c r="M55" s="538" t="n">
        <v>546</v>
      </c>
      <c r="N55" s="538" t="n">
        <v>1664</v>
      </c>
      <c r="O55" s="538" t="n">
        <v>2106</v>
      </c>
      <c r="P55" s="538" t="n">
        <v>2577</v>
      </c>
      <c r="Q55" s="538" t="n">
        <v>1081</v>
      </c>
      <c r="R55" s="538" t="n">
        <v>311</v>
      </c>
      <c r="S55" s="538" t="n">
        <v>39</v>
      </c>
      <c r="T55" s="539" t="n">
        <v>30</v>
      </c>
      <c r="U55" s="540" t="n">
        <v>18</v>
      </c>
      <c r="V55" s="529" t="n">
        <v>4350</v>
      </c>
      <c r="W55" s="529">
        <f>SUM(J55:U55)</f>
        <v/>
      </c>
      <c r="X55" s="530">
        <f>AVERAGE(S55:U55)</f>
        <v/>
      </c>
      <c r="Y55" s="529">
        <f>(S55+T55+U55)*V55</f>
        <v/>
      </c>
      <c r="Z55" s="529">
        <f>W55*V55</f>
        <v/>
      </c>
      <c r="AA55" s="531">
        <f>Z55/SUM($Z$2:$Z$100)</f>
        <v/>
      </c>
      <c r="AB55" s="50">
        <f>SUM($AA$2:AA55)</f>
        <v/>
      </c>
      <c r="AC55" s="45">
        <f>IF(AB55&lt;=70%,"A",IF(AB55&lt;=90%,"B","C"))</f>
        <v/>
      </c>
      <c r="AD55" s="529">
        <f>AVERAGE(M55:S55)</f>
        <v/>
      </c>
      <c r="AE55" s="529">
        <f>_xlfn.STDEV.S(M55:S55)</f>
        <v/>
      </c>
      <c r="AF55" s="532">
        <f>IF(AD55=0,0,AE55/AD55)</f>
        <v/>
      </c>
      <c r="AG55" s="45">
        <f>IF(AF55&lt;0.5,"X",IF(AF55&lt;=1,"Y","Z"))</f>
        <v/>
      </c>
      <c r="AH55" s="45">
        <f>AC55&amp;AG55</f>
        <v/>
      </c>
      <c r="AI55" s="52">
        <f>IF(AH55="CZ",0%,IF(AH55="BZ",0%,IF(AH55="CY",5%,IF(I55="사계절",10%,IF(I55="봄",20%,IF(I55="여름",0%,IF(I55="가을",0%,IF(I55="겨울",0%,10%))))))))</f>
        <v/>
      </c>
      <c r="AJ55" s="289">
        <f>IF(AI55=0,"발주안함","발주")</f>
        <v/>
      </c>
      <c r="AK55" s="307">
        <f>IF(AC55="A",IF(AG55="X","AX - 중간재고+월1회(LCL)",IF(AG55="Y","AY - 낮은재고+격주1회","AZ - 중단")),IF(AC55="B",IF(AG55="X","BX - 낮은재고+격월1회",IF(AG55="Y","BY - 최소재고+분기1회","BZ - 중단")),IF(AG55="X","CX - 중단(재고소진만)",IF(AG55="Y","CY - 중단(재고소진만)","CZ - 즉시단종"))))</f>
        <v/>
      </c>
    </row>
    <row r="56">
      <c r="A56" s="287" t="n">
        <v>51</v>
      </c>
      <c r="B56" s="472" t="inlineStr">
        <is>
          <t>기존제품</t>
        </is>
      </c>
      <c r="C56" s="431" t="inlineStr">
        <is>
          <t>ABC55</t>
        </is>
      </c>
      <c r="D56" s="536" t="n"/>
      <c r="E56" s="524" t="n"/>
      <c r="F56" s="42" t="n"/>
      <c r="G56" s="42" t="n"/>
      <c r="H56" s="42" t="n"/>
      <c r="I56" s="45" t="inlineStr">
        <is>
          <t>사계절</t>
        </is>
      </c>
      <c r="J56" s="537" t="n">
        <v>103</v>
      </c>
      <c r="K56" s="538" t="n">
        <v>120</v>
      </c>
      <c r="L56" s="538" t="n">
        <v>146</v>
      </c>
      <c r="M56" s="538" t="n">
        <v>102</v>
      </c>
      <c r="N56" s="538" t="n">
        <v>81</v>
      </c>
      <c r="O56" s="538" t="n">
        <v>38</v>
      </c>
      <c r="P56" s="538" t="n">
        <v>34</v>
      </c>
      <c r="Q56" s="538" t="n">
        <v>78</v>
      </c>
      <c r="R56" s="538" t="n">
        <v>98</v>
      </c>
      <c r="S56" s="538" t="n">
        <v>84</v>
      </c>
      <c r="T56" s="539" t="n">
        <v>71</v>
      </c>
      <c r="U56" s="540" t="n">
        <v>113</v>
      </c>
      <c r="V56" s="529" t="n">
        <v>30093</v>
      </c>
      <c r="W56" s="529">
        <f>SUM(J56:U56)</f>
        <v/>
      </c>
      <c r="X56" s="530">
        <f>AVERAGE(S56:U56)</f>
        <v/>
      </c>
      <c r="Y56" s="529">
        <f>(S56+T56+U56)*V56</f>
        <v/>
      </c>
      <c r="Z56" s="529">
        <f>W56*V56</f>
        <v/>
      </c>
      <c r="AA56" s="531">
        <f>Z56/SUM($Z$2:$Z$100)</f>
        <v/>
      </c>
      <c r="AB56" s="50">
        <f>SUM($AA$2:AA56)</f>
        <v/>
      </c>
      <c r="AC56" s="45">
        <f>IF(AB56&lt;=70%,"A",IF(AB56&lt;=90%,"B","C"))</f>
        <v/>
      </c>
      <c r="AD56" s="529">
        <f>AVERAGE(J56:U56)</f>
        <v/>
      </c>
      <c r="AE56" s="529">
        <f>_xlfn.STDEV.P(J56:U56)</f>
        <v/>
      </c>
      <c r="AF56" s="532">
        <f>IF(AD56=0,0,AE56/AD56)</f>
        <v/>
      </c>
      <c r="AG56" s="45">
        <f>IF(AF56&lt;0.5,"X",IF(AF56&lt;=1,"Y","Z"))</f>
        <v/>
      </c>
      <c r="AH56" s="45">
        <f>AC56&amp;AG56</f>
        <v/>
      </c>
      <c r="AI56" s="52">
        <f>IF(AH56="CZ",0%,IF(AH56="BZ",0%,IF(AH56="CY",5%,IF(I56="사계절",10%,IF(I56="봄",20%,IF(I56="여름",0%,IF(I56="가을",0%,IF(I56="겨울",0%,10%))))))))</f>
        <v/>
      </c>
      <c r="AJ56" s="289">
        <f>IF(AI56=0,"발주안함","발주")</f>
        <v/>
      </c>
      <c r="AK56" s="307">
        <f>IF(AC56="A",IF(AG56="X","AX - 중간재고+월1회(LCL)",IF(AG56="Y","AY - 낮은재고+격주1회","AZ - 중단")),IF(AC56="B",IF(AG56="X","BX - 낮은재고+격월1회",IF(AG56="Y","BY - 최소재고+분기1회","BZ - 중단")),IF(AG56="X","CX - 중단(재고소진만)",IF(AG56="Y","CY - 중단(재고소진만)","CZ - 즉시단종"))))</f>
        <v/>
      </c>
    </row>
    <row r="57">
      <c r="A57" s="287" t="n">
        <v>52</v>
      </c>
      <c r="B57" s="472" t="inlineStr">
        <is>
          <t>기존제품</t>
        </is>
      </c>
      <c r="C57" s="431" t="inlineStr">
        <is>
          <t>ABC56</t>
        </is>
      </c>
      <c r="D57" s="536" t="n"/>
      <c r="E57" s="524" t="n"/>
      <c r="F57" s="42" t="n"/>
      <c r="G57" s="42" t="n"/>
      <c r="H57" s="42" t="n"/>
      <c r="I57" s="435" t="inlineStr">
        <is>
          <t>사계절</t>
        </is>
      </c>
      <c r="J57" s="537" t="n">
        <v>68</v>
      </c>
      <c r="K57" s="538" t="n">
        <v>61</v>
      </c>
      <c r="L57" s="538" t="n">
        <v>93</v>
      </c>
      <c r="M57" s="538" t="n">
        <v>84</v>
      </c>
      <c r="N57" s="538" t="n">
        <v>60</v>
      </c>
      <c r="O57" s="538" t="n">
        <v>52</v>
      </c>
      <c r="P57" s="538" t="n">
        <v>36</v>
      </c>
      <c r="Q57" s="538" t="n">
        <v>40</v>
      </c>
      <c r="R57" s="538" t="n">
        <v>55</v>
      </c>
      <c r="S57" s="538" t="n">
        <v>42</v>
      </c>
      <c r="T57" s="539" t="n">
        <v>50</v>
      </c>
      <c r="U57" s="540" t="n">
        <v>27</v>
      </c>
      <c r="V57" s="529" t="n">
        <v>48038</v>
      </c>
      <c r="W57" s="529">
        <f>SUM(J57:U57)</f>
        <v/>
      </c>
      <c r="X57" s="530">
        <f>AVERAGE(S57:U57)</f>
        <v/>
      </c>
      <c r="Y57" s="529">
        <f>(S57+T57+U57)*V57</f>
        <v/>
      </c>
      <c r="Z57" s="529">
        <f>W57*V57</f>
        <v/>
      </c>
      <c r="AA57" s="531">
        <f>Z57/SUM($Z$2:$Z$100)</f>
        <v/>
      </c>
      <c r="AB57" s="50">
        <f>SUM($AA$2:AA57)</f>
        <v/>
      </c>
      <c r="AC57" s="45">
        <f>IF(AB57&lt;=70%,"A",IF(AB57&lt;=90%,"B","C"))</f>
        <v/>
      </c>
      <c r="AD57" s="529">
        <f>AVERAGE(J57:U57)</f>
        <v/>
      </c>
      <c r="AE57" s="529">
        <f>_xlfn.STDEV.P(J57:U57)</f>
        <v/>
      </c>
      <c r="AF57" s="532">
        <f>IF(AD57=0,0,AE57/AD57)</f>
        <v/>
      </c>
      <c r="AG57" s="45">
        <f>IF(AF57&lt;0.5,"X",IF(AF57&lt;=1,"Y","Z"))</f>
        <v/>
      </c>
      <c r="AH57" s="45">
        <f>AC57&amp;AG57</f>
        <v/>
      </c>
      <c r="AI57" s="52">
        <f>IF(AH57="CZ",0%,IF(AH57="BZ",0%,IF(AH57="CY",5%,IF(I57="사계절",10%,IF(I57="봄",20%,IF(I57="여름",0%,IF(I57="가을",0%,IF(I57="겨울",0%,10%))))))))</f>
        <v/>
      </c>
      <c r="AJ57" s="289">
        <f>IF(AI57=0,"발주안함","발주")</f>
        <v/>
      </c>
      <c r="AK57" s="307">
        <f>IF(AC57="A",IF(AG57="X","AX - 중간재고+월1회(LCL)",IF(AG57="Y","AY - 낮은재고+격주1회","AZ - 중단")),IF(AC57="B",IF(AG57="X","BX - 낮은재고+격월1회",IF(AG57="Y","BY - 최소재고+분기1회","BZ - 중단")),IF(AG57="X","CX - 중단(재고소진만)",IF(AG57="Y","CY - 중단(재고소진만)","CZ - 즉시단종"))))</f>
        <v/>
      </c>
    </row>
    <row r="58">
      <c r="A58" s="287" t="n">
        <v>55</v>
      </c>
      <c r="B58" s="472" t="inlineStr">
        <is>
          <t>기존제품</t>
        </is>
      </c>
      <c r="C58" s="431" t="inlineStr">
        <is>
          <t>ABC57</t>
        </is>
      </c>
      <c r="D58" s="536" t="n"/>
      <c r="E58" s="524" t="n"/>
      <c r="F58" s="42" t="n"/>
      <c r="G58" s="42" t="n"/>
      <c r="H58" s="42" t="n"/>
      <c r="I58" s="45" t="inlineStr">
        <is>
          <t>사계절</t>
        </is>
      </c>
      <c r="J58" s="537" t="n">
        <v>40</v>
      </c>
      <c r="K58" s="538" t="n">
        <v>52</v>
      </c>
      <c r="L58" s="538" t="n">
        <v>212</v>
      </c>
      <c r="M58" s="538" t="n">
        <v>224</v>
      </c>
      <c r="N58" s="538" t="n">
        <v>138</v>
      </c>
      <c r="O58" s="538" t="n">
        <v>90</v>
      </c>
      <c r="P58" s="538" t="n">
        <v>84</v>
      </c>
      <c r="Q58" s="538" t="n">
        <v>67</v>
      </c>
      <c r="R58" s="538" t="n">
        <v>81</v>
      </c>
      <c r="S58" s="538" t="n">
        <v>102</v>
      </c>
      <c r="T58" s="539" t="n">
        <v>66</v>
      </c>
      <c r="U58" s="540" t="n">
        <v>67</v>
      </c>
      <c r="V58" s="529" t="n">
        <v>24107</v>
      </c>
      <c r="W58" s="529">
        <f>SUM(J58:U58)</f>
        <v/>
      </c>
      <c r="X58" s="530">
        <f>AVERAGE(S58:U58)</f>
        <v/>
      </c>
      <c r="Y58" s="529">
        <f>(S58+T58+U58)*V58</f>
        <v/>
      </c>
      <c r="Z58" s="529">
        <f>W58*V58</f>
        <v/>
      </c>
      <c r="AA58" s="531">
        <f>Z58/SUM($Z$2:$Z$100)</f>
        <v/>
      </c>
      <c r="AB58" s="50">
        <f>SUM($AA$2:AA58)</f>
        <v/>
      </c>
      <c r="AC58" s="45">
        <f>IF(AB58&lt;=70%,"A",IF(AB58&lt;=90%,"B","C"))</f>
        <v/>
      </c>
      <c r="AD58" s="529">
        <f>AVERAGE(J58:U58)</f>
        <v/>
      </c>
      <c r="AE58" s="529">
        <f>_xlfn.STDEV.P(J58:U58)</f>
        <v/>
      </c>
      <c r="AF58" s="532">
        <f>IF(AD58=0,0,AE58/AD58)</f>
        <v/>
      </c>
      <c r="AG58" s="45">
        <f>IF(AF58&lt;0.5,"X",IF(AF58&lt;=1,"Y","Z"))</f>
        <v/>
      </c>
      <c r="AH58" s="45">
        <f>AC58&amp;AG58</f>
        <v/>
      </c>
      <c r="AI58" s="52">
        <f>IF(AH58="CZ",0%,IF(AH58="BZ",0%,IF(AH58="CY",5%,IF(I58="사계절",10%,IF(I58="봄",20%,IF(I58="여름",0%,IF(I58="가을",0%,IF(I58="겨울",0%,10%))))))))</f>
        <v/>
      </c>
      <c r="AJ58" s="289">
        <f>IF(AI58=0,"발주안함","발주")</f>
        <v/>
      </c>
      <c r="AK58" s="307">
        <f>IF(AC58="A",IF(AG58="X","AX - 중간재고+월1회(LCL)",IF(AG58="Y","AY - 낮은재고+격주1회","AZ - 중단")),IF(AC58="B",IF(AG58="X","BX - 낮은재고+격월1회",IF(AG58="Y","BY - 최소재고+분기1회","BZ - 중단")),IF(AG58="X","CX - 중단(재고소진만)",IF(AG58="Y","CY - 중단(재고소진만)","CZ - 즉시단종"))))</f>
        <v/>
      </c>
    </row>
    <row r="59">
      <c r="A59" s="287" t="n">
        <v>54</v>
      </c>
      <c r="B59" s="472" t="inlineStr">
        <is>
          <t>기존제품</t>
        </is>
      </c>
      <c r="C59" s="431" t="inlineStr">
        <is>
          <t>ABC58</t>
        </is>
      </c>
      <c r="D59" s="536" t="n"/>
      <c r="E59" s="524" t="n"/>
      <c r="F59" s="42" t="n"/>
      <c r="G59" s="42" t="n"/>
      <c r="H59" s="42" t="n"/>
      <c r="I59" s="436" t="inlineStr">
        <is>
          <t>사계절</t>
        </is>
      </c>
      <c r="J59" s="537" t="n">
        <v>236</v>
      </c>
      <c r="K59" s="538" t="n">
        <v>113</v>
      </c>
      <c r="L59" s="538" t="n">
        <v>209</v>
      </c>
      <c r="M59" s="538" t="n">
        <v>117</v>
      </c>
      <c r="N59" s="538" t="n">
        <v>81</v>
      </c>
      <c r="O59" s="538" t="n">
        <v>83</v>
      </c>
      <c r="P59" s="538" t="n">
        <v>63</v>
      </c>
      <c r="Q59" s="538" t="n">
        <v>82</v>
      </c>
      <c r="R59" s="538" t="n">
        <v>101</v>
      </c>
      <c r="S59" s="538" t="n">
        <v>91</v>
      </c>
      <c r="T59" s="539" t="n">
        <v>47</v>
      </c>
      <c r="U59" s="540" t="n">
        <v>49</v>
      </c>
      <c r="V59" s="529" t="n">
        <v>22887</v>
      </c>
      <c r="W59" s="529">
        <f>SUM(J59:U59)</f>
        <v/>
      </c>
      <c r="X59" s="530">
        <f>AVERAGE(S59:U59)</f>
        <v/>
      </c>
      <c r="Y59" s="529">
        <f>(S59+T59+U59)*V59</f>
        <v/>
      </c>
      <c r="Z59" s="529">
        <f>W59*V59</f>
        <v/>
      </c>
      <c r="AA59" s="531">
        <f>Z59/SUM($Z$2:$Z$100)</f>
        <v/>
      </c>
      <c r="AB59" s="50">
        <f>SUM($AA$2:AA59)</f>
        <v/>
      </c>
      <c r="AC59" s="45">
        <f>IF(AB59&lt;=70%,"A",IF(AB59&lt;=90%,"B","C"))</f>
        <v/>
      </c>
      <c r="AD59" s="529">
        <f>AVERAGE(J59:U59)</f>
        <v/>
      </c>
      <c r="AE59" s="529">
        <f>_xlfn.STDEV.P(J59:U59)</f>
        <v/>
      </c>
      <c r="AF59" s="532">
        <f>IF(AD59=0,0,AE59/AD59)</f>
        <v/>
      </c>
      <c r="AG59" s="45">
        <f>IF(AF59&lt;0.5,"X",IF(AF59&lt;=1,"Y","Z"))</f>
        <v/>
      </c>
      <c r="AH59" s="45">
        <f>AC59&amp;AG59</f>
        <v/>
      </c>
      <c r="AI59" s="52">
        <f>IF(AH59="CZ",0%,IF(AH59="BZ",0%,IF(AH59="CY",5%,IF(I59="사계절",10%,IF(I59="봄",20%,IF(I59="여름",0%,IF(I59="가을",0%,IF(I59="겨울",0%,10%))))))))</f>
        <v/>
      </c>
      <c r="AJ59" s="289">
        <f>IF(AI59=0,"발주안함","발주")</f>
        <v/>
      </c>
      <c r="AK59" s="307">
        <f>IF(AC59="A",IF(AG59="X","AX - 중간재고+월1회(LCL)",IF(AG59="Y","AY - 낮은재고+격주1회","AZ - 중단")),IF(AC59="B",IF(AG59="X","BX - 낮은재고+격월1회",IF(AG59="Y","BY - 최소재고+분기1회","BZ - 중단")),IF(AG59="X","CX - 중단(재고소진만)",IF(AG59="Y","CY - 중단(재고소진만)","CZ - 즉시단종"))))</f>
        <v/>
      </c>
    </row>
    <row r="60">
      <c r="A60" s="287" t="n">
        <v>56</v>
      </c>
      <c r="B60" s="472" t="inlineStr">
        <is>
          <t>기존제품</t>
        </is>
      </c>
      <c r="C60" s="431" t="inlineStr">
        <is>
          <t>ABC59</t>
        </is>
      </c>
      <c r="D60" s="536" t="n"/>
      <c r="E60" s="524" t="n"/>
      <c r="F60" s="42" t="n"/>
      <c r="G60" s="42" t="n"/>
      <c r="H60" s="42" t="n"/>
      <c r="I60" s="45" t="inlineStr">
        <is>
          <t>사계절</t>
        </is>
      </c>
      <c r="J60" s="537" t="n">
        <v>54</v>
      </c>
      <c r="K60" s="538" t="n">
        <v>66</v>
      </c>
      <c r="L60" s="538" t="n">
        <v>178</v>
      </c>
      <c r="M60" s="538" t="n">
        <v>230</v>
      </c>
      <c r="N60" s="538" t="n">
        <v>83</v>
      </c>
      <c r="O60" s="538" t="n">
        <v>75</v>
      </c>
      <c r="P60" s="538" t="n">
        <v>76</v>
      </c>
      <c r="Q60" s="538" t="n">
        <v>56</v>
      </c>
      <c r="R60" s="538" t="n">
        <v>58</v>
      </c>
      <c r="S60" s="538" t="n">
        <v>89</v>
      </c>
      <c r="T60" s="539" t="n">
        <v>144</v>
      </c>
      <c r="U60" s="540" t="n">
        <v>94</v>
      </c>
      <c r="V60" s="529" t="n">
        <v>24107</v>
      </c>
      <c r="W60" s="529">
        <f>SUM(J60:U60)</f>
        <v/>
      </c>
      <c r="X60" s="530">
        <f>AVERAGE(S60:U60)</f>
        <v/>
      </c>
      <c r="Y60" s="529">
        <f>(S60+T60+U60)*V60</f>
        <v/>
      </c>
      <c r="Z60" s="529">
        <f>W60*V60</f>
        <v/>
      </c>
      <c r="AA60" s="531">
        <f>Z60/SUM($Z$2:$Z$100)</f>
        <v/>
      </c>
      <c r="AB60" s="50">
        <f>SUM($AA$2:AA60)</f>
        <v/>
      </c>
      <c r="AC60" s="45">
        <f>IF(AB60&lt;=70%,"A",IF(AB60&lt;=90%,"B","C"))</f>
        <v/>
      </c>
      <c r="AD60" s="529">
        <f>AVERAGE(J60:U60)</f>
        <v/>
      </c>
      <c r="AE60" s="529">
        <f>_xlfn.STDEV.P(J60:U60)</f>
        <v/>
      </c>
      <c r="AF60" s="532">
        <f>IF(AD60=0,0,AE60/AD60)</f>
        <v/>
      </c>
      <c r="AG60" s="45">
        <f>IF(AF60&lt;0.5,"X",IF(AF60&lt;=1,"Y","Z"))</f>
        <v/>
      </c>
      <c r="AH60" s="45">
        <f>AC60&amp;AG60</f>
        <v/>
      </c>
      <c r="AI60" s="52">
        <f>IF(AH60="CZ",0%,IF(AH60="BZ",0%,IF(AH60="CY",5%,IF(I60="사계절",10%,IF(I60="봄",20%,IF(I60="여름",0%,IF(I60="가을",0%,IF(I60="겨울",0%,10%))))))))</f>
        <v/>
      </c>
      <c r="AJ60" s="289">
        <f>IF(AI60=0,"발주안함","발주")</f>
        <v/>
      </c>
      <c r="AK60" s="307">
        <f>IF(AC60="A",IF(AG60="X","AX - 중간재고+월1회(LCL)",IF(AG60="Y","AY - 낮은재고+격주1회","AZ - 중단")),IF(AC60="B",IF(AG60="X","BX - 낮은재고+격월1회",IF(AG60="Y","BY - 최소재고+분기1회","BZ - 중단")),IF(AG60="X","CX - 중단(재고소진만)",IF(AG60="Y","CY - 중단(재고소진만)","CZ - 즉시단종"))))</f>
        <v/>
      </c>
    </row>
    <row r="61">
      <c r="A61" s="287" t="n">
        <v>57</v>
      </c>
      <c r="B61" s="472" t="inlineStr">
        <is>
          <t>기존제품</t>
        </is>
      </c>
      <c r="C61" s="431" t="inlineStr">
        <is>
          <t>ABC60</t>
        </is>
      </c>
      <c r="D61" s="536" t="n"/>
      <c r="E61" s="524" t="n"/>
      <c r="F61" s="42" t="n"/>
      <c r="G61" s="42" t="n"/>
      <c r="H61" s="42" t="n"/>
      <c r="I61" s="45" t="inlineStr">
        <is>
          <t>겨울</t>
        </is>
      </c>
      <c r="J61" s="537" t="n">
        <v>0</v>
      </c>
      <c r="K61" s="538" t="n">
        <v>0</v>
      </c>
      <c r="L61" s="538" t="n">
        <v>0</v>
      </c>
      <c r="M61" s="538" t="n">
        <v>0</v>
      </c>
      <c r="N61" s="538" t="n">
        <v>0</v>
      </c>
      <c r="O61" s="538" t="n">
        <v>0</v>
      </c>
      <c r="P61" s="538" t="n">
        <v>0</v>
      </c>
      <c r="Q61" s="538" t="n">
        <v>0</v>
      </c>
      <c r="R61" s="538" t="n">
        <v>0</v>
      </c>
      <c r="S61" s="538" t="n">
        <v>0</v>
      </c>
      <c r="T61" s="539" t="n">
        <v>625</v>
      </c>
      <c r="U61" s="540" t="n">
        <v>89</v>
      </c>
      <c r="V61" s="529" t="n">
        <v>39794</v>
      </c>
      <c r="W61" s="529">
        <f>SUM(J61:U61)</f>
        <v/>
      </c>
      <c r="X61" s="530">
        <f>AVERAGE(S61:U61)</f>
        <v/>
      </c>
      <c r="Y61" s="529">
        <f>(S61+T61+U61)*V61</f>
        <v/>
      </c>
      <c r="Z61" s="529">
        <f>W61*V61</f>
        <v/>
      </c>
      <c r="AA61" s="531">
        <f>Z61/SUM($Z$2:$Z$100)</f>
        <v/>
      </c>
      <c r="AB61" s="50">
        <f>SUM($AA$2:AA61)</f>
        <v/>
      </c>
      <c r="AC61" s="45">
        <f>IF(AB61&lt;=70%,"A",IF(AB61&lt;=90%,"B","C"))</f>
        <v/>
      </c>
      <c r="AD61" s="529">
        <f>AVERAGE(J61,K61,R61,S61,T61,U61)</f>
        <v/>
      </c>
      <c r="AE61" s="529">
        <f>_xlfn.STDEV.S(J61,K61,R61,S61,T61,U61)</f>
        <v/>
      </c>
      <c r="AF61" s="532">
        <f>IF(AD61=0,0,AE61/AD61)</f>
        <v/>
      </c>
      <c r="AG61" s="45">
        <f>IF(AF61&lt;0.5,"X",IF(AF61&lt;=1,"Y","Z"))</f>
        <v/>
      </c>
      <c r="AH61" s="45">
        <f>AC61&amp;AG61</f>
        <v/>
      </c>
      <c r="AI61" s="52">
        <f>IF(AH61="CZ",0%,IF(AH61="BZ",0%,IF(AH61="CY",5%,IF(I61="사계절",10%,IF(I61="봄",20%,IF(I61="여름",0%,IF(I61="가을",0%,IF(I61="겨울",0%,10%))))))))</f>
        <v/>
      </c>
      <c r="AJ61" s="289">
        <f>IF(AI61=0,"발주안함","발주")</f>
        <v/>
      </c>
      <c r="AK61" s="307">
        <f>IF(AC61="A",IF(AG61="X","AX - 중간재고+월1회(LCL)",IF(AG61="Y","AY - 낮은재고+격주1회","AZ - 중단")),IF(AC61="B",IF(AG61="X","BX - 낮은재고+격월1회",IF(AG61="Y","BY - 최소재고+분기1회","BZ - 중단")),IF(AG61="X","CX - 중단(재고소진만)",IF(AG61="Y","CY - 중단(재고소진만)","CZ - 즉시단종"))))</f>
        <v/>
      </c>
    </row>
    <row r="62">
      <c r="A62" s="287" t="n">
        <v>101</v>
      </c>
      <c r="B62" s="472" t="inlineStr">
        <is>
          <t>기존제품</t>
        </is>
      </c>
      <c r="C62" s="431" t="inlineStr">
        <is>
          <t>ABC61</t>
        </is>
      </c>
      <c r="D62" s="536" t="n"/>
      <c r="E62" s="524" t="n"/>
      <c r="F62" s="42" t="n"/>
      <c r="G62" s="42" t="n"/>
      <c r="H62" s="42" t="n"/>
      <c r="I62" s="45" t="inlineStr">
        <is>
          <t>여름</t>
        </is>
      </c>
      <c r="J62" s="537" t="n">
        <v>0</v>
      </c>
      <c r="K62" s="538" t="n">
        <v>0</v>
      </c>
      <c r="L62" s="538" t="n">
        <v>0</v>
      </c>
      <c r="M62" s="538" t="n">
        <v>21</v>
      </c>
      <c r="N62" s="538" t="n">
        <v>123</v>
      </c>
      <c r="O62" s="538" t="n">
        <v>1008</v>
      </c>
      <c r="P62" s="538" t="n">
        <v>1517</v>
      </c>
      <c r="Q62" s="538" t="n">
        <v>180</v>
      </c>
      <c r="R62" s="538" t="n">
        <v>34</v>
      </c>
      <c r="S62" s="538" t="n">
        <v>19</v>
      </c>
      <c r="T62" s="539" t="n">
        <v>10</v>
      </c>
      <c r="U62" s="540" t="n">
        <v>6</v>
      </c>
      <c r="V62" s="529" t="n">
        <v>9649</v>
      </c>
      <c r="W62" s="529">
        <f>SUM(J62:U62)</f>
        <v/>
      </c>
      <c r="X62" s="530">
        <f>AVERAGE(S62:U62)</f>
        <v/>
      </c>
      <c r="Y62" s="529">
        <f>(S62+T62+U62)*V62</f>
        <v/>
      </c>
      <c r="Z62" s="529">
        <f>W62*V62</f>
        <v/>
      </c>
      <c r="AA62" s="531">
        <f>Z62/SUM($Z$2:$Z$100)</f>
        <v/>
      </c>
      <c r="AB62" s="50">
        <f>SUM($AA$2:AA62)</f>
        <v/>
      </c>
      <c r="AC62" s="45">
        <f>IF(AB62&lt;=70%,"A",IF(AB62&lt;=90%,"B","C"))</f>
        <v/>
      </c>
      <c r="AD62" s="529">
        <f>AVERAGE(M62:S62)</f>
        <v/>
      </c>
      <c r="AE62" s="529">
        <f>_xlfn.STDEV.S(M62:S62)</f>
        <v/>
      </c>
      <c r="AF62" s="532">
        <f>IF(AD62=0,0,AE62/AD62)</f>
        <v/>
      </c>
      <c r="AG62" s="45">
        <f>IF(AF62&lt;0.5,"X",IF(AF62&lt;=1,"Y","Z"))</f>
        <v/>
      </c>
      <c r="AH62" s="45">
        <f>AC62&amp;AG62</f>
        <v/>
      </c>
      <c r="AI62" s="52">
        <f>IF(AH62="CZ",0%,IF(AH62="BZ",0%,IF(AH62="CY",5%,IF(I62="사계절",10%,IF(I62="봄",20%,IF(I62="여름",0%,IF(I62="가을",0%,IF(I62="겨울",0%,10%))))))))</f>
        <v/>
      </c>
      <c r="AJ62" s="289">
        <f>IF(AI62=0,"발주안함","발주")</f>
        <v/>
      </c>
      <c r="AK62" s="307">
        <f>IF(AC62="A",IF(AG62="X","AX - 중간재고+월1회(LCL)",IF(AG62="Y","AY - 낮은재고+격주1회","AZ - 중단")),IF(AC62="B",IF(AG62="X","BX - 낮은재고+격월1회",IF(AG62="Y","BY - 최소재고+분기1회","BZ - 중단")),IF(AG62="X","CX - 중단(재고소진만)",IF(AG62="Y","CY - 중단(재고소진만)","CZ - 즉시단종"))))</f>
        <v/>
      </c>
    </row>
    <row r="63">
      <c r="A63" s="287" t="n">
        <v>60</v>
      </c>
      <c r="B63" s="472" t="inlineStr">
        <is>
          <t>기존제품</t>
        </is>
      </c>
      <c r="C63" s="431" t="inlineStr">
        <is>
          <t>ABC62</t>
        </is>
      </c>
      <c r="D63" s="536" t="n"/>
      <c r="E63" s="524" t="n"/>
      <c r="F63" s="42" t="n"/>
      <c r="G63" s="42" t="n"/>
      <c r="H63" s="42" t="n"/>
      <c r="I63" s="45" t="inlineStr">
        <is>
          <t>여름</t>
        </is>
      </c>
      <c r="J63" s="537" t="n">
        <v>3</v>
      </c>
      <c r="K63" s="538" t="n">
        <v>4</v>
      </c>
      <c r="L63" s="538" t="n">
        <v>31</v>
      </c>
      <c r="M63" s="538" t="n">
        <v>62</v>
      </c>
      <c r="N63" s="538" t="n">
        <v>112</v>
      </c>
      <c r="O63" s="538" t="n">
        <v>156</v>
      </c>
      <c r="P63" s="538" t="n">
        <v>94</v>
      </c>
      <c r="Q63" s="538" t="n">
        <v>84</v>
      </c>
      <c r="R63" s="538" t="n">
        <v>12</v>
      </c>
      <c r="S63" s="538" t="n">
        <v>4</v>
      </c>
      <c r="T63" s="539" t="n">
        <v>1</v>
      </c>
      <c r="U63" s="540" t="n">
        <v>2</v>
      </c>
      <c r="V63" s="529" t="n">
        <v>48857</v>
      </c>
      <c r="W63" s="529">
        <f>SUM(J63:U63)</f>
        <v/>
      </c>
      <c r="X63" s="530">
        <f>AVERAGE(S63:U63)</f>
        <v/>
      </c>
      <c r="Y63" s="529">
        <f>(S63+T63+U63)*V63</f>
        <v/>
      </c>
      <c r="Z63" s="529">
        <f>W63*V63</f>
        <v/>
      </c>
      <c r="AA63" s="531">
        <f>Z63/SUM($Z$2:$Z$100)</f>
        <v/>
      </c>
      <c r="AB63" s="50">
        <f>SUM($AA$2:AA63)</f>
        <v/>
      </c>
      <c r="AC63" s="45">
        <f>IF(AB63&lt;=70%,"A",IF(AB63&lt;=90%,"B","C"))</f>
        <v/>
      </c>
      <c r="AD63" s="529">
        <f>AVERAGE(M63:S63)</f>
        <v/>
      </c>
      <c r="AE63" s="529">
        <f>_xlfn.STDEV.S(M63:S63)</f>
        <v/>
      </c>
      <c r="AF63" s="532">
        <f>IF(AD63=0,0,AE63/AD63)</f>
        <v/>
      </c>
      <c r="AG63" s="45">
        <f>IF(AF63&lt;0.5,"X",IF(AF63&lt;=1,"Y","Z"))</f>
        <v/>
      </c>
      <c r="AH63" s="45">
        <f>AC63&amp;AG63</f>
        <v/>
      </c>
      <c r="AI63" s="52">
        <f>IF(AH63="CZ",0%,IF(AH63="BZ",0%,IF(AH63="CY",5%,IF(I63="사계절",10%,IF(I63="봄",20%,IF(I63="여름",0%,IF(I63="가을",0%,IF(I63="겨울",0%,10%))))))))</f>
        <v/>
      </c>
      <c r="AJ63" s="289">
        <f>IF(AI63=0,"발주안함","발주")</f>
        <v/>
      </c>
      <c r="AK63" s="307">
        <f>IF(AC63="A",IF(AG63="X","AX - 중간재고+월1회(LCL)",IF(AG63="Y","AY - 낮은재고+격주1회","AZ - 중단")),IF(AC63="B",IF(AG63="X","BX - 낮은재고+격월1회",IF(AG63="Y","BY - 최소재고+분기1회","BZ - 중단")),IF(AG63="X","CX - 중단(재고소진만)",IF(AG63="Y","CY - 중단(재고소진만)","CZ - 즉시단종"))))</f>
        <v/>
      </c>
    </row>
    <row r="64">
      <c r="A64" s="287" t="n">
        <v>58</v>
      </c>
      <c r="B64" s="472" t="inlineStr">
        <is>
          <t>기존제품</t>
        </is>
      </c>
      <c r="C64" s="431" t="inlineStr">
        <is>
          <t>ABC63</t>
        </is>
      </c>
      <c r="D64" s="536" t="n"/>
      <c r="E64" s="524" t="n"/>
      <c r="F64" s="42" t="n"/>
      <c r="G64" s="42" t="n"/>
      <c r="H64" s="42" t="n"/>
      <c r="I64" s="45" t="inlineStr">
        <is>
          <t>사계절</t>
        </is>
      </c>
      <c r="J64" s="537" t="n">
        <v>0</v>
      </c>
      <c r="K64" s="538" t="n">
        <v>0</v>
      </c>
      <c r="L64" s="538" t="n">
        <v>0</v>
      </c>
      <c r="M64" s="538" t="n">
        <v>495</v>
      </c>
      <c r="N64" s="538" t="n">
        <v>264</v>
      </c>
      <c r="O64" s="538" t="n">
        <v>137</v>
      </c>
      <c r="P64" s="538" t="n">
        <v>74</v>
      </c>
      <c r="Q64" s="538" t="n">
        <v>98</v>
      </c>
      <c r="R64" s="538" t="n">
        <v>130</v>
      </c>
      <c r="S64" s="538" t="n">
        <v>250</v>
      </c>
      <c r="T64" s="539" t="n">
        <v>175</v>
      </c>
      <c r="U64" s="540" t="n">
        <v>232</v>
      </c>
      <c r="V64" s="529" t="n">
        <v>14655</v>
      </c>
      <c r="W64" s="529">
        <f>SUM(J64:U64)</f>
        <v/>
      </c>
      <c r="X64" s="530">
        <f>AVERAGE(S64:U64)</f>
        <v/>
      </c>
      <c r="Y64" s="529">
        <f>(S64+T64+U64)*V64</f>
        <v/>
      </c>
      <c r="Z64" s="529">
        <f>W64*V64</f>
        <v/>
      </c>
      <c r="AA64" s="531">
        <f>Z64/SUM($Z$2:$Z$100)</f>
        <v/>
      </c>
      <c r="AB64" s="50">
        <f>SUM($AA$2:AA64)</f>
        <v/>
      </c>
      <c r="AC64" s="45">
        <f>IF(AB64&lt;=70%,"A",IF(AB64&lt;=90%,"B","C"))</f>
        <v/>
      </c>
      <c r="AD64" s="529">
        <f>AVERAGE(J64:U64)</f>
        <v/>
      </c>
      <c r="AE64" s="529">
        <f>_xlfn.STDEV.P(J64:U64)</f>
        <v/>
      </c>
      <c r="AF64" s="532">
        <f>IF(AD64=0,0,AE64/AD64)</f>
        <v/>
      </c>
      <c r="AG64" s="45">
        <f>IF(AF64&lt;0.5,"X",IF(AF64&lt;=1,"Y","Z"))</f>
        <v/>
      </c>
      <c r="AH64" s="45">
        <f>AC64&amp;AG64</f>
        <v/>
      </c>
      <c r="AI64" s="52">
        <f>IF(AH64="CZ",0%,IF(AH64="BZ",0%,IF(AH64="CY",5%,IF(I64="사계절",10%,IF(I64="봄",20%,IF(I64="여름",0%,IF(I64="가을",0%,IF(I64="겨울",0%,10%))))))))</f>
        <v/>
      </c>
      <c r="AJ64" s="289">
        <f>IF(AI64=0,"발주안함","발주")</f>
        <v/>
      </c>
      <c r="AK64" s="307">
        <f>IF(AC64="A",IF(AG64="X","AX - 중간재고+월1회(LCL)",IF(AG64="Y","AY - 낮은재고+격주1회","AZ - 중단")),IF(AC64="B",IF(AG64="X","BX - 낮은재고+격월1회",IF(AG64="Y","BY - 최소재고+분기1회","BZ - 중단")),IF(AG64="X","CX - 중단(재고소진만)",IF(AG64="Y","CY - 중단(재고소진만)","CZ - 즉시단종"))))</f>
        <v/>
      </c>
    </row>
    <row r="65">
      <c r="A65" s="287" t="n">
        <v>62</v>
      </c>
      <c r="B65" s="472" t="inlineStr">
        <is>
          <t>기존제품</t>
        </is>
      </c>
      <c r="C65" s="431" t="inlineStr">
        <is>
          <t>ABC64</t>
        </is>
      </c>
      <c r="D65" s="536" t="n"/>
      <c r="E65" s="524" t="n"/>
      <c r="F65" s="42" t="n"/>
      <c r="G65" s="42" t="n"/>
      <c r="H65" s="42" t="n"/>
      <c r="I65" s="45" t="inlineStr">
        <is>
          <t>사계절</t>
        </is>
      </c>
      <c r="J65" s="537" t="n">
        <v>0</v>
      </c>
      <c r="K65" s="538" t="n">
        <v>0</v>
      </c>
      <c r="L65" s="538" t="n">
        <v>0</v>
      </c>
      <c r="M65" s="538" t="n">
        <v>386</v>
      </c>
      <c r="N65" s="538" t="n">
        <v>163</v>
      </c>
      <c r="O65" s="538" t="n">
        <v>118</v>
      </c>
      <c r="P65" s="538" t="n">
        <v>65</v>
      </c>
      <c r="Q65" s="538" t="n">
        <v>59</v>
      </c>
      <c r="R65" s="538" t="n">
        <v>60</v>
      </c>
      <c r="S65" s="538" t="n">
        <v>151</v>
      </c>
      <c r="T65" s="539" t="n">
        <v>82</v>
      </c>
      <c r="U65" s="540" t="n">
        <v>103</v>
      </c>
      <c r="V65" s="529" t="n">
        <v>22456</v>
      </c>
      <c r="W65" s="529">
        <f>SUM(J65:U65)</f>
        <v/>
      </c>
      <c r="X65" s="530">
        <f>AVERAGE(S65:U65)</f>
        <v/>
      </c>
      <c r="Y65" s="529">
        <f>(S65+T65+U65)*V65</f>
        <v/>
      </c>
      <c r="Z65" s="529">
        <f>W65*V65</f>
        <v/>
      </c>
      <c r="AA65" s="531">
        <f>Z65/SUM($Z$2:$Z$100)</f>
        <v/>
      </c>
      <c r="AB65" s="50">
        <f>SUM($AA$2:AA65)</f>
        <v/>
      </c>
      <c r="AC65" s="45">
        <f>IF(AB65&lt;=70%,"A",IF(AB65&lt;=90%,"B","C"))</f>
        <v/>
      </c>
      <c r="AD65" s="529">
        <f>AVERAGE(J65:U65)</f>
        <v/>
      </c>
      <c r="AE65" s="529">
        <f>_xlfn.STDEV.P(J65:U65)</f>
        <v/>
      </c>
      <c r="AF65" s="532">
        <f>IF(AD65=0,0,AE65/AD65)</f>
        <v/>
      </c>
      <c r="AG65" s="45">
        <f>IF(AF65&lt;0.5,"X",IF(AF65&lt;=1,"Y","Z"))</f>
        <v/>
      </c>
      <c r="AH65" s="45">
        <f>AC65&amp;AG65</f>
        <v/>
      </c>
      <c r="AI65" s="52">
        <f>IF(AH65="CZ",0%,IF(AH65="BZ",0%,IF(AH65="CY",5%,IF(I65="사계절",10%,IF(I65="봄",20%,IF(I65="여름",0%,IF(I65="가을",0%,IF(I65="겨울",0%,10%))))))))</f>
        <v/>
      </c>
      <c r="AJ65" s="289">
        <f>IF(AI65=0,"발주안함","발주")</f>
        <v/>
      </c>
      <c r="AK65" s="307">
        <f>IF(AC65="A",IF(AG65="X","AX - 중간재고+월1회(LCL)",IF(AG65="Y","AY - 낮은재고+격주1회","AZ - 중단")),IF(AC65="B",IF(AG65="X","BX - 낮은재고+격월1회",IF(AG65="Y","BY - 최소재고+분기1회","BZ - 중단")),IF(AG65="X","CX - 중단(재고소진만)",IF(AG65="Y","CY - 중단(재고소진만)","CZ - 즉시단종"))))</f>
        <v/>
      </c>
    </row>
    <row r="66">
      <c r="A66" s="287" t="n">
        <v>59</v>
      </c>
      <c r="B66" s="472" t="inlineStr">
        <is>
          <t>기존제품</t>
        </is>
      </c>
      <c r="C66" s="431" t="inlineStr">
        <is>
          <t>ABC65</t>
        </is>
      </c>
      <c r="D66" s="536" t="n"/>
      <c r="E66" s="524" t="n"/>
      <c r="F66" s="42" t="n"/>
      <c r="G66" s="42" t="n"/>
      <c r="H66" s="42" t="n"/>
      <c r="I66" s="45" t="inlineStr">
        <is>
          <t>사계절</t>
        </is>
      </c>
      <c r="J66" s="537" t="n">
        <v>117</v>
      </c>
      <c r="K66" s="538" t="n">
        <v>105</v>
      </c>
      <c r="L66" s="538" t="n">
        <v>111</v>
      </c>
      <c r="M66" s="538" t="n">
        <v>82</v>
      </c>
      <c r="N66" s="538" t="n">
        <v>67</v>
      </c>
      <c r="O66" s="538" t="n">
        <v>37</v>
      </c>
      <c r="P66" s="538" t="n">
        <v>35</v>
      </c>
      <c r="Q66" s="538" t="n">
        <v>70</v>
      </c>
      <c r="R66" s="538" t="n">
        <v>98</v>
      </c>
      <c r="S66" s="538" t="n">
        <v>125</v>
      </c>
      <c r="T66" s="539" t="n">
        <v>143</v>
      </c>
      <c r="U66" s="540" t="n">
        <v>101</v>
      </c>
      <c r="V66" s="529" t="n">
        <v>24107</v>
      </c>
      <c r="W66" s="529">
        <f>SUM(J66:U66)</f>
        <v/>
      </c>
      <c r="X66" s="530">
        <f>AVERAGE(S66:U66)</f>
        <v/>
      </c>
      <c r="Y66" s="529">
        <f>(S66+T66+U66)*V66</f>
        <v/>
      </c>
      <c r="Z66" s="529">
        <f>W66*V66</f>
        <v/>
      </c>
      <c r="AA66" s="531">
        <f>Z66/SUM($Z$2:$Z$100)</f>
        <v/>
      </c>
      <c r="AB66" s="50">
        <f>SUM($AA$2:AA66)</f>
        <v/>
      </c>
      <c r="AC66" s="45">
        <f>IF(AB66&lt;=70%,"A",IF(AB66&lt;=90%,"B","C"))</f>
        <v/>
      </c>
      <c r="AD66" s="529">
        <f>AVERAGE(J66:U66)</f>
        <v/>
      </c>
      <c r="AE66" s="529">
        <f>_xlfn.STDEV.P(J66:U66)</f>
        <v/>
      </c>
      <c r="AF66" s="532">
        <f>IF(AD66=0,0,AE66/AD66)</f>
        <v/>
      </c>
      <c r="AG66" s="45">
        <f>IF(AF66&lt;0.5,"X",IF(AF66&lt;=1,"Y","Z"))</f>
        <v/>
      </c>
      <c r="AH66" s="45">
        <f>AC66&amp;AG66</f>
        <v/>
      </c>
      <c r="AI66" s="52">
        <f>IF(AH66="CZ",0%,IF(AH66="BZ",0%,IF(AH66="CY",5%,IF(I66="사계절",10%,IF(I66="봄",20%,IF(I66="여름",0%,IF(I66="가을",0%,IF(I66="겨울",0%,10%))))))))</f>
        <v/>
      </c>
      <c r="AJ66" s="289">
        <f>IF(AI66=0,"발주안함","발주")</f>
        <v/>
      </c>
      <c r="AK66" s="307">
        <f>IF(AC66="A",IF(AG66="X","AX - 중간재고+월1회(LCL)",IF(AG66="Y","AY - 낮은재고+격주1회","AZ - 중단")),IF(AC66="B",IF(AG66="X","BX - 낮은재고+격월1회",IF(AG66="Y","BY - 최소재고+분기1회","BZ - 중단")),IF(AG66="X","CX - 중단(재고소진만)",IF(AG66="Y","CY - 중단(재고소진만)","CZ - 즉시단종"))))</f>
        <v/>
      </c>
    </row>
    <row r="67">
      <c r="A67" s="287" t="n">
        <v>64</v>
      </c>
      <c r="B67" s="472" t="inlineStr">
        <is>
          <t>기존제품</t>
        </is>
      </c>
      <c r="C67" s="431" t="inlineStr">
        <is>
          <t>ABC66</t>
        </is>
      </c>
      <c r="D67" s="536" t="n"/>
      <c r="E67" s="524" t="n"/>
      <c r="F67" s="42" t="n"/>
      <c r="G67" s="42" t="n"/>
      <c r="H67" s="42" t="n"/>
      <c r="I67" s="45" t="inlineStr">
        <is>
          <t>사계절</t>
        </is>
      </c>
      <c r="J67" s="537" t="n">
        <v>241</v>
      </c>
      <c r="K67" s="538" t="n">
        <v>278</v>
      </c>
      <c r="L67" s="538" t="n">
        <v>586</v>
      </c>
      <c r="M67" s="538" t="n">
        <v>282</v>
      </c>
      <c r="N67" s="538" t="n">
        <v>424</v>
      </c>
      <c r="O67" s="538" t="n">
        <v>2</v>
      </c>
      <c r="P67" s="538" t="n">
        <v>2</v>
      </c>
      <c r="Q67" s="538" t="n">
        <v>4</v>
      </c>
      <c r="R67" s="538" t="n">
        <v>130</v>
      </c>
      <c r="S67" s="538" t="n">
        <v>1183</v>
      </c>
      <c r="T67" s="539" t="n">
        <v>334</v>
      </c>
      <c r="U67" s="540" t="n">
        <v>1482</v>
      </c>
      <c r="V67" s="529" t="n">
        <v>5000</v>
      </c>
      <c r="W67" s="529">
        <f>SUM(J67:U67)</f>
        <v/>
      </c>
      <c r="X67" s="530">
        <f>AVERAGE(S67:U67)</f>
        <v/>
      </c>
      <c r="Y67" s="529">
        <f>(S67+T67+U67)*V67</f>
        <v/>
      </c>
      <c r="Z67" s="529">
        <f>W67*V67</f>
        <v/>
      </c>
      <c r="AA67" s="531">
        <f>Z67/SUM($Z$2:$Z$100)</f>
        <v/>
      </c>
      <c r="AB67" s="50">
        <f>SUM($AA$2:AA67)</f>
        <v/>
      </c>
      <c r="AC67" s="45">
        <f>IF(AB67&lt;=70%,"A",IF(AB67&lt;=90%,"B","C"))</f>
        <v/>
      </c>
      <c r="AD67" s="529">
        <f>AVERAGE(J67:U67)</f>
        <v/>
      </c>
      <c r="AE67" s="529">
        <f>_xlfn.STDEV.P(J67:U67)</f>
        <v/>
      </c>
      <c r="AF67" s="532">
        <f>IF(AD67=0,0,AE67/AD67)</f>
        <v/>
      </c>
      <c r="AG67" s="45">
        <f>IF(AF67&lt;0.5,"X",IF(AF67&lt;=1,"Y","Z"))</f>
        <v/>
      </c>
      <c r="AH67" s="45">
        <f>AC67&amp;AG67</f>
        <v/>
      </c>
      <c r="AI67" s="52">
        <f>IF(AH67="CZ",0%,IF(AH67="BZ",0%,IF(AH67="CY",5%,IF(I67="사계절",10%,IF(I67="봄",20%,IF(I67="여름",0%,IF(I67="가을",0%,IF(I67="겨울",0%,10%))))))))</f>
        <v/>
      </c>
      <c r="AJ67" s="289">
        <f>IF(AI67=0,"발주안함","발주")</f>
        <v/>
      </c>
      <c r="AK67" s="307">
        <f>IF(AC67="A",IF(AG67="X","AX - 중간재고+월1회(LCL)",IF(AG67="Y","AY - 낮은재고+격주1회","AZ - 중단")),IF(AC67="B",IF(AG67="X","BX - 낮은재고+격월1회",IF(AG67="Y","BY - 최소재고+분기1회","BZ - 중단")),IF(AG67="X","CX - 중단(재고소진만)",IF(AG67="Y","CY - 중단(재고소진만)","CZ - 즉시단종"))))</f>
        <v/>
      </c>
    </row>
    <row r="68">
      <c r="A68" s="287" t="n">
        <v>67</v>
      </c>
      <c r="B68" s="472" t="inlineStr">
        <is>
          <t>기존제품</t>
        </is>
      </c>
      <c r="C68" s="431" t="inlineStr">
        <is>
          <t>ABC67</t>
        </is>
      </c>
      <c r="D68" s="536" t="n"/>
      <c r="E68" s="524" t="n"/>
      <c r="F68" s="42" t="n"/>
      <c r="G68" s="42" t="n"/>
      <c r="H68" s="42" t="n"/>
      <c r="I68" s="45" t="inlineStr">
        <is>
          <t>사계절</t>
        </is>
      </c>
      <c r="J68" s="537" t="n">
        <v>0</v>
      </c>
      <c r="K68" s="538" t="n">
        <v>0</v>
      </c>
      <c r="L68" s="538" t="n">
        <v>1587</v>
      </c>
      <c r="M68" s="538" t="n">
        <v>1774</v>
      </c>
      <c r="N68" s="538" t="n">
        <v>3323</v>
      </c>
      <c r="O68" s="538" t="n">
        <v>94</v>
      </c>
      <c r="P68" s="538" t="n">
        <v>282</v>
      </c>
      <c r="Q68" s="538" t="n">
        <v>12</v>
      </c>
      <c r="R68" s="538" t="n">
        <v>12</v>
      </c>
      <c r="S68" s="538" t="n">
        <v>92</v>
      </c>
      <c r="T68" s="539" t="n">
        <v>0</v>
      </c>
      <c r="U68" s="540" t="n">
        <v>4</v>
      </c>
      <c r="V68" s="529" t="n">
        <v>3400</v>
      </c>
      <c r="W68" s="529">
        <f>SUM(J68:U68)</f>
        <v/>
      </c>
      <c r="X68" s="530">
        <f>AVERAGE(S68:U68)</f>
        <v/>
      </c>
      <c r="Y68" s="529">
        <f>(S68+T68+U68)*V68</f>
        <v/>
      </c>
      <c r="Z68" s="529">
        <f>W68*V68</f>
        <v/>
      </c>
      <c r="AA68" s="531">
        <f>Z68/SUM($Z$2:$Z$100)</f>
        <v/>
      </c>
      <c r="AB68" s="50">
        <f>SUM($AA$2:AA68)</f>
        <v/>
      </c>
      <c r="AC68" s="45">
        <f>IF(AB68&lt;=70%,"A",IF(AB68&lt;=90%,"B","C"))</f>
        <v/>
      </c>
      <c r="AD68" s="529">
        <f>AVERAGE(J68:U68)</f>
        <v/>
      </c>
      <c r="AE68" s="529">
        <f>_xlfn.STDEV.P(J68:U68)</f>
        <v/>
      </c>
      <c r="AF68" s="532">
        <f>IF(AD68=0,0,AE68/AD68)</f>
        <v/>
      </c>
      <c r="AG68" s="45">
        <f>IF(AF68&lt;0.5,"X",IF(AF68&lt;=1,"Y","Z"))</f>
        <v/>
      </c>
      <c r="AH68" s="45">
        <f>AC68&amp;AG68</f>
        <v/>
      </c>
      <c r="AI68" s="52">
        <f>IF(AH68="CZ",0%,IF(AH68="BZ",0%,IF(AH68="CY",5%,IF(I68="사계절",10%,IF(I68="봄",20%,IF(I68="여름",0%,IF(I68="가을",0%,IF(I68="겨울",0%,10%))))))))</f>
        <v/>
      </c>
      <c r="AJ68" s="289">
        <f>IF(AI68=0,"발주안함","발주")</f>
        <v/>
      </c>
      <c r="AK68" s="307">
        <f>IF(AC68="A",IF(AG68="X","AX - 중간재고+월1회(LCL)",IF(AG68="Y","AY - 낮은재고+격주1회","AZ - 중단")),IF(AC68="B",IF(AG68="X","BX - 낮은재고+격월1회",IF(AG68="Y","BY - 최소재고+분기1회","BZ - 중단")),IF(AG68="X","CX - 중단(재고소진만)",IF(AG68="Y","CY - 중단(재고소진만)","CZ - 즉시단종"))))</f>
        <v/>
      </c>
    </row>
    <row r="69">
      <c r="A69" s="287" t="n">
        <v>66</v>
      </c>
      <c r="B69" s="472" t="inlineStr">
        <is>
          <t>기존제품</t>
        </is>
      </c>
      <c r="C69" s="431" t="inlineStr">
        <is>
          <t>ABC68</t>
        </is>
      </c>
      <c r="D69" s="536" t="n"/>
      <c r="E69" s="524" t="n"/>
      <c r="F69" s="42" t="n"/>
      <c r="G69" s="42" t="n"/>
      <c r="H69" s="42" t="n"/>
      <c r="I69" s="45" t="inlineStr">
        <is>
          <t>사계절</t>
        </is>
      </c>
      <c r="J69" s="537" t="n">
        <v>0</v>
      </c>
      <c r="K69" s="538" t="n">
        <v>0</v>
      </c>
      <c r="L69" s="538" t="n">
        <v>0</v>
      </c>
      <c r="M69" s="538" t="n">
        <v>284</v>
      </c>
      <c r="N69" s="538" t="n">
        <v>389</v>
      </c>
      <c r="O69" s="538" t="n">
        <v>280</v>
      </c>
      <c r="P69" s="538" t="n">
        <v>175</v>
      </c>
      <c r="Q69" s="538" t="n">
        <v>135</v>
      </c>
      <c r="R69" s="538" t="n">
        <v>100</v>
      </c>
      <c r="S69" s="538" t="n">
        <v>140</v>
      </c>
      <c r="T69" s="539" t="n">
        <v>270</v>
      </c>
      <c r="U69" s="540" t="n">
        <v>317</v>
      </c>
      <c r="V69" s="529" t="n">
        <v>11637</v>
      </c>
      <c r="W69" s="529">
        <f>SUM(J69:U69)</f>
        <v/>
      </c>
      <c r="X69" s="530">
        <f>AVERAGE(S69:U69)</f>
        <v/>
      </c>
      <c r="Y69" s="529">
        <f>(S69+T69+U69)*V69</f>
        <v/>
      </c>
      <c r="Z69" s="529">
        <f>W69*V69</f>
        <v/>
      </c>
      <c r="AA69" s="531">
        <f>Z69/SUM($Z$2:$Z$100)</f>
        <v/>
      </c>
      <c r="AB69" s="50">
        <f>SUM($AA$2:AA69)</f>
        <v/>
      </c>
      <c r="AC69" s="45">
        <f>IF(AB69&lt;=70%,"A",IF(AB69&lt;=90%,"B","C"))</f>
        <v/>
      </c>
      <c r="AD69" s="529">
        <f>AVERAGE(J69:U69)</f>
        <v/>
      </c>
      <c r="AE69" s="529">
        <f>_xlfn.STDEV.P(J69:U69)</f>
        <v/>
      </c>
      <c r="AF69" s="532">
        <f>IF(AD69=0,0,AE69/AD69)</f>
        <v/>
      </c>
      <c r="AG69" s="45">
        <f>IF(AF69&lt;0.5,"X",IF(AF69&lt;=1,"Y","Z"))</f>
        <v/>
      </c>
      <c r="AH69" s="45">
        <f>AC69&amp;AG69</f>
        <v/>
      </c>
      <c r="AI69" s="52">
        <f>IF(AH69="CZ",0%,IF(AH69="BZ",0%,IF(AH69="CY",5%,IF(I69="사계절",10%,IF(I69="봄",20%,IF(I69="여름",0%,IF(I69="가을",0%,IF(I69="겨울",0%,10%))))))))</f>
        <v/>
      </c>
      <c r="AJ69" s="289">
        <f>IF(AI69=0,"발주안함","발주")</f>
        <v/>
      </c>
      <c r="AK69" s="307">
        <f>IF(AC69="A",IF(AG69="X","AX - 중간재고+월1회(LCL)",IF(AG69="Y","AY - 낮은재고+격주1회","AZ - 중단")),IF(AC69="B",IF(AG69="X","BX - 낮은재고+격월1회",IF(AG69="Y","BY - 최소재고+분기1회","BZ - 중단")),IF(AG69="X","CX - 중단(재고소진만)",IF(AG69="Y","CY - 중단(재고소진만)","CZ - 즉시단종"))))</f>
        <v/>
      </c>
    </row>
    <row r="70">
      <c r="A70" s="287" t="n">
        <v>70</v>
      </c>
      <c r="B70" s="472" t="inlineStr">
        <is>
          <t>기존제품</t>
        </is>
      </c>
      <c r="C70" s="431" t="inlineStr">
        <is>
          <t>ABC69</t>
        </is>
      </c>
      <c r="D70" s="536" t="n"/>
      <c r="E70" s="524" t="n"/>
      <c r="F70" s="42" t="n"/>
      <c r="G70" s="42" t="n"/>
      <c r="H70" s="42" t="n"/>
      <c r="I70" s="45" t="inlineStr">
        <is>
          <t>사계절</t>
        </is>
      </c>
      <c r="J70" s="537" t="n">
        <v>0</v>
      </c>
      <c r="K70" s="538" t="n">
        <v>0</v>
      </c>
      <c r="L70" s="538" t="n">
        <v>0</v>
      </c>
      <c r="M70" s="538" t="n">
        <v>327</v>
      </c>
      <c r="N70" s="538" t="n">
        <v>356</v>
      </c>
      <c r="O70" s="538" t="n">
        <v>298</v>
      </c>
      <c r="P70" s="538" t="n">
        <v>187</v>
      </c>
      <c r="Q70" s="538" t="n">
        <v>107</v>
      </c>
      <c r="R70" s="538" t="n">
        <v>88</v>
      </c>
      <c r="S70" s="538" t="n">
        <v>100</v>
      </c>
      <c r="T70" s="539" t="n">
        <v>167</v>
      </c>
      <c r="U70" s="540" t="n">
        <v>164</v>
      </c>
      <c r="V70" s="529" t="n">
        <v>13291</v>
      </c>
      <c r="W70" s="529">
        <f>SUM(J70:U70)</f>
        <v/>
      </c>
      <c r="X70" s="530">
        <f>AVERAGE(S70:U70)</f>
        <v/>
      </c>
      <c r="Y70" s="529">
        <f>(S70+T70+U70)*V70</f>
        <v/>
      </c>
      <c r="Z70" s="529">
        <f>W70*V70</f>
        <v/>
      </c>
      <c r="AA70" s="531">
        <f>Z70/SUM($Z$2:$Z$100)</f>
        <v/>
      </c>
      <c r="AB70" s="50">
        <f>SUM($AA$2:AA70)</f>
        <v/>
      </c>
      <c r="AC70" s="45">
        <f>IF(AB70&lt;=70%,"A",IF(AB70&lt;=90%,"B","C"))</f>
        <v/>
      </c>
      <c r="AD70" s="529">
        <f>AVERAGE(J70:U70)</f>
        <v/>
      </c>
      <c r="AE70" s="529">
        <f>_xlfn.STDEV.P(J70:U70)</f>
        <v/>
      </c>
      <c r="AF70" s="532">
        <f>IF(AD70=0,0,AE70/AD70)</f>
        <v/>
      </c>
      <c r="AG70" s="45">
        <f>IF(AF70&lt;0.5,"X",IF(AF70&lt;=1,"Y","Z"))</f>
        <v/>
      </c>
      <c r="AH70" s="45">
        <f>AC70&amp;AG70</f>
        <v/>
      </c>
      <c r="AI70" s="52">
        <f>IF(AH70="CZ",0%,IF(AH70="BZ",0%,IF(AH70="CY",5%,IF(I70="사계절",10%,IF(I70="봄",20%,IF(I70="여름",0%,IF(I70="가을",0%,IF(I70="겨울",0%,10%))))))))</f>
        <v/>
      </c>
      <c r="AJ70" s="289">
        <f>IF(AI70=0,"발주안함","발주")</f>
        <v/>
      </c>
      <c r="AK70" s="307">
        <f>IF(AC70="A",IF(AG70="X","AX - 중간재고+월1회(LCL)",IF(AG70="Y","AY - 낮은재고+격주1회","AZ - 중단")),IF(AC70="B",IF(AG70="X","BX - 낮은재고+격월1회",IF(AG70="Y","BY - 최소재고+분기1회","BZ - 중단")),IF(AG70="X","CX - 중단(재고소진만)",IF(AG70="Y","CY - 중단(재고소진만)","CZ - 즉시단종"))))</f>
        <v/>
      </c>
    </row>
    <row r="71">
      <c r="A71" s="287" t="n">
        <v>65</v>
      </c>
      <c r="B71" s="472" t="inlineStr">
        <is>
          <t>기존제품</t>
        </is>
      </c>
      <c r="C71" s="431" t="inlineStr">
        <is>
          <t>ABC70</t>
        </is>
      </c>
      <c r="D71" s="536" t="n"/>
      <c r="E71" s="524" t="n"/>
      <c r="F71" s="42" t="n"/>
      <c r="G71" s="42" t="n"/>
      <c r="H71" s="42" t="n"/>
      <c r="I71" s="45" t="inlineStr">
        <is>
          <t>사계절</t>
        </is>
      </c>
      <c r="J71" s="537" t="n">
        <v>0</v>
      </c>
      <c r="K71" s="538" t="n">
        <v>0</v>
      </c>
      <c r="L71" s="538" t="n">
        <v>0</v>
      </c>
      <c r="M71" s="538" t="n">
        <v>592</v>
      </c>
      <c r="N71" s="538" t="n">
        <v>234</v>
      </c>
      <c r="O71" s="538" t="n">
        <v>81</v>
      </c>
      <c r="P71" s="538" t="n">
        <v>58</v>
      </c>
      <c r="Q71" s="538" t="n">
        <v>100</v>
      </c>
      <c r="R71" s="538" t="n">
        <v>112</v>
      </c>
      <c r="S71" s="538" t="n">
        <v>132</v>
      </c>
      <c r="T71" s="539" t="n">
        <v>156</v>
      </c>
      <c r="U71" s="540" t="n">
        <v>160</v>
      </c>
      <c r="V71" s="529" t="n">
        <v>14655</v>
      </c>
      <c r="W71" s="529">
        <f>SUM(J71:U71)</f>
        <v/>
      </c>
      <c r="X71" s="530">
        <f>AVERAGE(S71:U71)</f>
        <v/>
      </c>
      <c r="Y71" s="529">
        <f>(S71+T71+U71)*V71</f>
        <v/>
      </c>
      <c r="Z71" s="529">
        <f>W71*V71</f>
        <v/>
      </c>
      <c r="AA71" s="531">
        <f>Z71/SUM($Z$2:$Z$100)</f>
        <v/>
      </c>
      <c r="AB71" s="50">
        <f>SUM($AA$2:AA71)</f>
        <v/>
      </c>
      <c r="AC71" s="45">
        <f>IF(AB71&lt;=70%,"A",IF(AB71&lt;=90%,"B","C"))</f>
        <v/>
      </c>
      <c r="AD71" s="529">
        <f>AVERAGE(J71:U71)</f>
        <v/>
      </c>
      <c r="AE71" s="529">
        <f>_xlfn.STDEV.P(J71:U71)</f>
        <v/>
      </c>
      <c r="AF71" s="532">
        <f>IF(AD71=0,0,AE71/AD71)</f>
        <v/>
      </c>
      <c r="AG71" s="45">
        <f>IF(AF71&lt;0.5,"X",IF(AF71&lt;=1,"Y","Z"))</f>
        <v/>
      </c>
      <c r="AH71" s="45">
        <f>AC71&amp;AG71</f>
        <v/>
      </c>
      <c r="AI71" s="52">
        <f>IF(AH71="CZ",0%,IF(AH71="BZ",0%,IF(AH71="CY",5%,IF(I71="사계절",10%,IF(I71="봄",20%,IF(I71="여름",0%,IF(I71="가을",0%,IF(I71="겨울",0%,10%))))))))</f>
        <v/>
      </c>
      <c r="AJ71" s="289">
        <f>IF(AI71=0,"발주안함","발주")</f>
        <v/>
      </c>
      <c r="AK71" s="307">
        <f>IF(AC71="A",IF(AG71="X","AX - 중간재고+월1회(LCL)",IF(AG71="Y","AY - 낮은재고+격주1회","AZ - 중단")),IF(AC71="B",IF(AG71="X","BX - 낮은재고+격월1회",IF(AG71="Y","BY - 최소재고+분기1회","BZ - 중단")),IF(AG71="X","CX - 중단(재고소진만)",IF(AG71="Y","CY - 중단(재고소진만)","CZ - 즉시단종"))))</f>
        <v/>
      </c>
    </row>
    <row r="72">
      <c r="A72" s="287" t="n">
        <v>69</v>
      </c>
      <c r="B72" s="472" t="inlineStr">
        <is>
          <t>기존제품</t>
        </is>
      </c>
      <c r="C72" s="431" t="inlineStr">
        <is>
          <t>ABC71</t>
        </is>
      </c>
      <c r="D72" s="536" t="n"/>
      <c r="E72" s="524" t="n"/>
      <c r="F72" s="42" t="n"/>
      <c r="G72" s="42" t="n"/>
      <c r="H72" s="42" t="n"/>
      <c r="I72" s="45" t="inlineStr">
        <is>
          <t>사계절</t>
        </is>
      </c>
      <c r="J72" s="537" t="n">
        <v>0</v>
      </c>
      <c r="K72" s="538" t="n">
        <v>0</v>
      </c>
      <c r="L72" s="538" t="n">
        <v>0</v>
      </c>
      <c r="M72" s="538" t="n">
        <v>173</v>
      </c>
      <c r="N72" s="538" t="n">
        <v>99</v>
      </c>
      <c r="O72" s="538" t="n">
        <v>82</v>
      </c>
      <c r="P72" s="538" t="n">
        <v>57</v>
      </c>
      <c r="Q72" s="538" t="n">
        <v>50</v>
      </c>
      <c r="R72" s="538" t="n">
        <v>64</v>
      </c>
      <c r="S72" s="538" t="n">
        <v>87</v>
      </c>
      <c r="T72" s="539" t="n">
        <v>45</v>
      </c>
      <c r="U72" s="540" t="n">
        <v>56</v>
      </c>
      <c r="V72" s="529" t="n">
        <v>32309</v>
      </c>
      <c r="W72" s="529">
        <f>SUM(J72:U72)</f>
        <v/>
      </c>
      <c r="X72" s="530">
        <f>AVERAGE(S72:U72)</f>
        <v/>
      </c>
      <c r="Y72" s="529">
        <f>(S72+T72+U72)*V72</f>
        <v/>
      </c>
      <c r="Z72" s="529">
        <f>W72*V72</f>
        <v/>
      </c>
      <c r="AA72" s="531">
        <f>Z72/SUM($Z$2:$Z$100)</f>
        <v/>
      </c>
      <c r="AB72" s="50">
        <f>SUM($AA$2:AA72)</f>
        <v/>
      </c>
      <c r="AC72" s="45">
        <f>IF(AB72&lt;=70%,"A",IF(AB72&lt;=90%,"B","C"))</f>
        <v/>
      </c>
      <c r="AD72" s="529">
        <f>AVERAGE(J72:U72)</f>
        <v/>
      </c>
      <c r="AE72" s="529">
        <f>_xlfn.STDEV.P(J72:U72)</f>
        <v/>
      </c>
      <c r="AF72" s="532">
        <f>IF(AD72=0,0,AE72/AD72)</f>
        <v/>
      </c>
      <c r="AG72" s="45">
        <f>IF(AF72&lt;0.5,"X",IF(AF72&lt;=1,"Y","Z"))</f>
        <v/>
      </c>
      <c r="AH72" s="45">
        <f>AC72&amp;AG72</f>
        <v/>
      </c>
      <c r="AI72" s="52">
        <f>IF(AH72="CZ",0%,IF(AH72="BZ",0%,IF(AH72="CY",5%,IF(I72="사계절",10%,IF(I72="봄",20%,IF(I72="여름",0%,IF(I72="가을",0%,IF(I72="겨울",0%,10%))))))))</f>
        <v/>
      </c>
      <c r="AJ72" s="289">
        <f>IF(AI72=0,"발주안함","발주")</f>
        <v/>
      </c>
      <c r="AK72" s="307">
        <f>IF(AC72="A",IF(AG72="X","AX - 중간재고+월1회(LCL)",IF(AG72="Y","AY - 낮은재고+격주1회","AZ - 중단")),IF(AC72="B",IF(AG72="X","BX - 낮은재고+격월1회",IF(AG72="Y","BY - 최소재고+분기1회","BZ - 중단")),IF(AG72="X","CX - 중단(재고소진만)",IF(AG72="Y","CY - 중단(재고소진만)","CZ - 즉시단종"))))</f>
        <v/>
      </c>
    </row>
    <row r="73">
      <c r="A73" s="287" t="n">
        <v>68</v>
      </c>
      <c r="B73" s="472" t="inlineStr">
        <is>
          <t>기존제품</t>
        </is>
      </c>
      <c r="C73" s="431" t="inlineStr">
        <is>
          <t>ABC72</t>
        </is>
      </c>
      <c r="D73" s="536" t="n"/>
      <c r="E73" s="524" t="n"/>
      <c r="F73" s="42" t="n"/>
      <c r="G73" s="42" t="n"/>
      <c r="H73" s="42" t="n"/>
      <c r="I73" s="45" t="inlineStr">
        <is>
          <t>사계절</t>
        </is>
      </c>
      <c r="J73" s="537" t="n">
        <v>504</v>
      </c>
      <c r="K73" s="538" t="n">
        <v>1144</v>
      </c>
      <c r="L73" s="538" t="n">
        <v>813</v>
      </c>
      <c r="M73" s="538" t="n">
        <v>1061</v>
      </c>
      <c r="N73" s="538" t="n">
        <v>759</v>
      </c>
      <c r="O73" s="538" t="n">
        <v>245</v>
      </c>
      <c r="P73" s="538" t="n">
        <v>204</v>
      </c>
      <c r="Q73" s="538" t="n">
        <v>255</v>
      </c>
      <c r="R73" s="538" t="n">
        <v>460</v>
      </c>
      <c r="S73" s="538" t="n">
        <v>517</v>
      </c>
      <c r="T73" s="539" t="n">
        <v>432</v>
      </c>
      <c r="U73" s="540" t="n">
        <v>339</v>
      </c>
      <c r="V73" s="529" t="n">
        <v>3364</v>
      </c>
      <c r="W73" s="529">
        <f>SUM(J73:U73)</f>
        <v/>
      </c>
      <c r="X73" s="530">
        <f>AVERAGE(S73:U73)</f>
        <v/>
      </c>
      <c r="Y73" s="529">
        <f>(S73+T73+U73)*V73</f>
        <v/>
      </c>
      <c r="Z73" s="529">
        <f>W73*V73</f>
        <v/>
      </c>
      <c r="AA73" s="531">
        <f>Z73/SUM($Z$2:$Z$100)</f>
        <v/>
      </c>
      <c r="AB73" s="50">
        <f>SUM($AA$2:AA73)</f>
        <v/>
      </c>
      <c r="AC73" s="45">
        <f>IF(AB73&lt;=70%,"A",IF(AB73&lt;=90%,"B","C"))</f>
        <v/>
      </c>
      <c r="AD73" s="529">
        <f>AVERAGE(J73:U73)</f>
        <v/>
      </c>
      <c r="AE73" s="529">
        <f>_xlfn.STDEV.P(J73:U73)</f>
        <v/>
      </c>
      <c r="AF73" s="532">
        <f>IF(AD73=0,0,AE73/AD73)</f>
        <v/>
      </c>
      <c r="AG73" s="45">
        <f>IF(AF73&lt;0.5,"X",IF(AF73&lt;=1,"Y","Z"))</f>
        <v/>
      </c>
      <c r="AH73" s="45">
        <f>AC73&amp;AG73</f>
        <v/>
      </c>
      <c r="AI73" s="52">
        <f>IF(AH73="CZ",0%,IF(AH73="BZ",0%,IF(AH73="CY",5%,IF(I73="사계절",10%,IF(I73="봄",20%,IF(I73="여름",0%,IF(I73="가을",0%,IF(I73="겨울",0%,10%))))))))</f>
        <v/>
      </c>
      <c r="AJ73" s="289">
        <f>IF(AI73=0,"발주안함","발주")</f>
        <v/>
      </c>
      <c r="AK73" s="307">
        <f>IF(AC73="A",IF(AG73="X","AX - 중간재고+월1회(LCL)",IF(AG73="Y","AY - 낮은재고+격주1회","AZ - 중단")),IF(AC73="B",IF(AG73="X","BX - 낮은재고+격월1회",IF(AG73="Y","BY - 최소재고+분기1회","BZ - 중단")),IF(AG73="X","CX - 중단(재고소진만)",IF(AG73="Y","CY - 중단(재고소진만)","CZ - 즉시단종"))))</f>
        <v/>
      </c>
    </row>
    <row r="74">
      <c r="A74" s="287" t="n">
        <v>71</v>
      </c>
      <c r="B74" s="472" t="inlineStr">
        <is>
          <t>기존제품</t>
        </is>
      </c>
      <c r="C74" s="431" t="inlineStr">
        <is>
          <t>ABC73</t>
        </is>
      </c>
      <c r="D74" s="536" t="n"/>
      <c r="E74" s="524" t="n"/>
      <c r="F74" s="42" t="n"/>
      <c r="G74" s="42" t="n"/>
      <c r="H74" s="42" t="n"/>
      <c r="I74" s="45" t="inlineStr">
        <is>
          <t>사계절</t>
        </is>
      </c>
      <c r="J74" s="537" t="n">
        <v>0</v>
      </c>
      <c r="K74" s="538" t="n">
        <v>0</v>
      </c>
      <c r="L74" s="538" t="n">
        <v>0</v>
      </c>
      <c r="M74" s="538" t="n">
        <v>0</v>
      </c>
      <c r="N74" s="538" t="n">
        <v>0</v>
      </c>
      <c r="O74" s="538" t="n">
        <v>0</v>
      </c>
      <c r="P74" s="538" t="n">
        <v>0</v>
      </c>
      <c r="Q74" s="538" t="n">
        <v>0</v>
      </c>
      <c r="R74" s="538" t="n">
        <v>115</v>
      </c>
      <c r="S74" s="538" t="n">
        <v>93</v>
      </c>
      <c r="T74" s="539" t="n">
        <v>429</v>
      </c>
      <c r="U74" s="540" t="n">
        <v>117</v>
      </c>
      <c r="V74" s="529" t="n">
        <v>29918</v>
      </c>
      <c r="W74" s="529">
        <f>SUM(J74:U74)</f>
        <v/>
      </c>
      <c r="X74" s="530">
        <f>AVERAGE(S74:U74)</f>
        <v/>
      </c>
      <c r="Y74" s="529">
        <f>(S74+T74+U74)*V74</f>
        <v/>
      </c>
      <c r="Z74" s="529">
        <f>W74*V74</f>
        <v/>
      </c>
      <c r="AA74" s="531">
        <f>Z74/SUM($Z$2:$Z$100)</f>
        <v/>
      </c>
      <c r="AB74" s="50">
        <f>SUM($AA$2:AA74)</f>
        <v/>
      </c>
      <c r="AC74" s="45">
        <f>IF(AB74&lt;=70%,"A",IF(AB74&lt;=90%,"B","C"))</f>
        <v/>
      </c>
      <c r="AD74" s="529">
        <f>AVERAGE(J74:U74)</f>
        <v/>
      </c>
      <c r="AE74" s="529">
        <f>_xlfn.STDEV.P(J74:U74)</f>
        <v/>
      </c>
      <c r="AF74" s="532">
        <f>IF(AD74=0,0,AE74/AD74)</f>
        <v/>
      </c>
      <c r="AG74" s="45">
        <f>IF(AF74&lt;0.5,"X",IF(AF74&lt;=1,"Y","Z"))</f>
        <v/>
      </c>
      <c r="AH74" s="45">
        <f>AC74&amp;AG74</f>
        <v/>
      </c>
      <c r="AI74" s="52">
        <f>IF(AH74="CZ",0%,IF(AH74="BZ",0%,IF(AH74="CY",5%,IF(I74="사계절",10%,IF(I74="봄",20%,IF(I74="여름",0%,IF(I74="가을",0%,IF(I74="겨울",0%,10%))))))))</f>
        <v/>
      </c>
      <c r="AJ74" s="289">
        <f>IF(AI74=0,"발주안함","발주")</f>
        <v/>
      </c>
      <c r="AK74" s="307">
        <f>IF(AC74="A",IF(AG74="X","AX - 중간재고+월1회(LCL)",IF(AG74="Y","AY - 낮은재고+격주1회","AZ - 중단")),IF(AC74="B",IF(AG74="X","BX - 낮은재고+격월1회",IF(AG74="Y","BY - 최소재고+분기1회","BZ - 중단")),IF(AG74="X","CX - 중단(재고소진만)",IF(AG74="Y","CY - 중단(재고소진만)","CZ - 즉시단종"))))</f>
        <v/>
      </c>
    </row>
    <row r="75">
      <c r="A75" s="287" t="n">
        <v>75</v>
      </c>
      <c r="B75" s="472" t="inlineStr">
        <is>
          <t>기존제품</t>
        </is>
      </c>
      <c r="C75" s="431" t="inlineStr">
        <is>
          <t>ABC74</t>
        </is>
      </c>
      <c r="D75" s="536" t="n"/>
      <c r="E75" s="524" t="n"/>
      <c r="F75" s="42" t="n"/>
      <c r="G75" s="42" t="n"/>
      <c r="H75" s="42" t="n"/>
      <c r="I75" s="45" t="inlineStr">
        <is>
          <t>사계절</t>
        </is>
      </c>
      <c r="J75" s="537" t="n">
        <v>42</v>
      </c>
      <c r="K75" s="538" t="n">
        <v>32</v>
      </c>
      <c r="L75" s="538" t="n">
        <v>91</v>
      </c>
      <c r="M75" s="538" t="n">
        <v>101</v>
      </c>
      <c r="N75" s="538" t="n">
        <v>50</v>
      </c>
      <c r="O75" s="538" t="n">
        <v>44</v>
      </c>
      <c r="P75" s="538" t="n">
        <v>37</v>
      </c>
      <c r="Q75" s="538" t="n">
        <v>18</v>
      </c>
      <c r="R75" s="538" t="n">
        <v>15</v>
      </c>
      <c r="S75" s="538" t="n">
        <v>12</v>
      </c>
      <c r="T75" s="539" t="n">
        <v>128</v>
      </c>
      <c r="U75" s="540" t="n">
        <v>126</v>
      </c>
      <c r="V75" s="529" t="n">
        <v>31265</v>
      </c>
      <c r="W75" s="529">
        <f>SUM(J75:U75)</f>
        <v/>
      </c>
      <c r="X75" s="530">
        <f>AVERAGE(S75:U75)</f>
        <v/>
      </c>
      <c r="Y75" s="529">
        <f>(S75+T75+U75)*V75</f>
        <v/>
      </c>
      <c r="Z75" s="529">
        <f>W75*V75</f>
        <v/>
      </c>
      <c r="AA75" s="531">
        <f>Z75/SUM($Z$2:$Z$100)</f>
        <v/>
      </c>
      <c r="AB75" s="50">
        <f>SUM($AA$2:AA75)</f>
        <v/>
      </c>
      <c r="AC75" s="45">
        <f>IF(AB75&lt;=70%,"A",IF(AB75&lt;=90%,"B","C"))</f>
        <v/>
      </c>
      <c r="AD75" s="529">
        <f>AVERAGE(J75:U75)</f>
        <v/>
      </c>
      <c r="AE75" s="529">
        <f>_xlfn.STDEV.P(J75:U75)</f>
        <v/>
      </c>
      <c r="AF75" s="532">
        <f>IF(AD75=0,0,AE75/AD75)</f>
        <v/>
      </c>
      <c r="AG75" s="45">
        <f>IF(AF75&lt;0.5,"X",IF(AF75&lt;=1,"Y","Z"))</f>
        <v/>
      </c>
      <c r="AH75" s="45">
        <f>AC75&amp;AG75</f>
        <v/>
      </c>
      <c r="AI75" s="52">
        <f>IF(AH75="CZ",0%,IF(AH75="BZ",0%,IF(AH75="CY",5%,IF(I75="사계절",10%,IF(I75="봄",20%,IF(I75="여름",0%,IF(I75="가을",0%,IF(I75="겨울",0%,10%))))))))</f>
        <v/>
      </c>
      <c r="AJ75" s="289">
        <f>IF(AI75=0,"발주안함","발주")</f>
        <v/>
      </c>
      <c r="AK75" s="307">
        <f>IF(AC75="A",IF(AG75="X","AX - 중간재고+월1회(LCL)",IF(AG75="Y","AY - 낮은재고+격주1회","AZ - 중단")),IF(AC75="B",IF(AG75="X","BX - 낮은재고+격월1회",IF(AG75="Y","BY - 최소재고+분기1회","BZ - 중단")),IF(AG75="X","CX - 중단(재고소진만)",IF(AG75="Y","CY - 중단(재고소진만)","CZ - 즉시단종"))))</f>
        <v/>
      </c>
    </row>
    <row r="76">
      <c r="A76" s="287" t="n">
        <v>74</v>
      </c>
      <c r="B76" s="472" t="inlineStr">
        <is>
          <t>기존제품</t>
        </is>
      </c>
      <c r="C76" s="431" t="inlineStr">
        <is>
          <t>ABC75</t>
        </is>
      </c>
      <c r="D76" s="536" t="n"/>
      <c r="E76" s="524" t="n"/>
      <c r="F76" s="42" t="n"/>
      <c r="G76" s="42" t="n"/>
      <c r="H76" s="42" t="n"/>
      <c r="I76" s="45" t="inlineStr">
        <is>
          <t>사계절</t>
        </is>
      </c>
      <c r="J76" s="537" t="n">
        <v>0</v>
      </c>
      <c r="K76" s="538" t="n">
        <v>0</v>
      </c>
      <c r="L76" s="538" t="n">
        <v>0</v>
      </c>
      <c r="M76" s="538" t="n">
        <v>0</v>
      </c>
      <c r="N76" s="538" t="n">
        <v>0</v>
      </c>
      <c r="O76" s="538" t="n">
        <v>0</v>
      </c>
      <c r="P76" s="538" t="n">
        <v>0</v>
      </c>
      <c r="Q76" s="538" t="n">
        <v>0</v>
      </c>
      <c r="R76" s="538" t="n">
        <v>97</v>
      </c>
      <c r="S76" s="538" t="n">
        <v>272</v>
      </c>
      <c r="T76" s="539" t="n">
        <v>238</v>
      </c>
      <c r="U76" s="540" t="n">
        <v>271</v>
      </c>
      <c r="V76" s="529" t="n">
        <v>24620</v>
      </c>
      <c r="W76" s="529">
        <f>SUM(J76:U76)</f>
        <v/>
      </c>
      <c r="X76" s="530">
        <f>AVERAGE(S76:U76)</f>
        <v/>
      </c>
      <c r="Y76" s="529">
        <f>(S76+T76+U76)*V76</f>
        <v/>
      </c>
      <c r="Z76" s="549">
        <f>W76*V76</f>
        <v/>
      </c>
      <c r="AA76" s="531">
        <f>Z76/SUM($Z$2:$Z$100)</f>
        <v/>
      </c>
      <c r="AB76" s="50">
        <f>SUM($AA$2:AA76)</f>
        <v/>
      </c>
      <c r="AC76" s="45">
        <f>IF(AB76&lt;=70%,"A",IF(AB76&lt;=90%,"B","C"))</f>
        <v/>
      </c>
      <c r="AD76" s="529">
        <f>AVERAGE(J76:U76)</f>
        <v/>
      </c>
      <c r="AE76" s="529">
        <f>_xlfn.STDEV.P(J76:U76)</f>
        <v/>
      </c>
      <c r="AF76" s="532">
        <f>IF(AD76=0,0,AE76/AD76)</f>
        <v/>
      </c>
      <c r="AG76" s="45">
        <f>IF(AF76&lt;0.5,"X",IF(AF76&lt;=1,"Y","Z"))</f>
        <v/>
      </c>
      <c r="AH76" s="45">
        <f>AC76&amp;AG76</f>
        <v/>
      </c>
      <c r="AI76" s="52">
        <f>IF(AH76="CZ",0%,IF(AH76="BZ",0%,IF(AH76="CY",5%,IF(I76="사계절",10%,IF(I76="봄",20%,IF(I76="여름",0%,IF(I76="가을",0%,IF(I76="겨울",0%,10%))))))))</f>
        <v/>
      </c>
      <c r="AJ76" s="289">
        <f>IF(AI76=0,"발주안함","발주")</f>
        <v/>
      </c>
      <c r="AK76" s="307">
        <f>IF(AC76="A",IF(AG76="X","AX - 중간재고+월1회(LCL)",IF(AG76="Y","AY - 낮은재고+격주1회","AZ - 중단")),IF(AC76="B",IF(AG76="X","BX - 낮은재고+격월1회",IF(AG76="Y","BY - 최소재고+분기1회","BZ - 중단")),IF(AG76="X","CX - 중단(재고소진만)",IF(AG76="Y","CY - 중단(재고소진만)","CZ - 즉시단종"))))</f>
        <v/>
      </c>
    </row>
    <row r="77">
      <c r="A77" s="287" t="n">
        <v>73</v>
      </c>
      <c r="B77" s="472" t="inlineStr">
        <is>
          <t>기존제품</t>
        </is>
      </c>
      <c r="C77" s="431" t="inlineStr">
        <is>
          <t>ABC76</t>
        </is>
      </c>
      <c r="D77" s="536" t="n"/>
      <c r="E77" s="524" t="n"/>
      <c r="F77" s="42" t="n"/>
      <c r="G77" s="42" t="n"/>
      <c r="H77" s="42" t="n"/>
      <c r="I77" s="45" t="inlineStr">
        <is>
          <t>사계절</t>
        </is>
      </c>
      <c r="J77" s="537" t="n">
        <v>69</v>
      </c>
      <c r="K77" s="538" t="n">
        <v>64</v>
      </c>
      <c r="L77" s="538" t="n">
        <v>103</v>
      </c>
      <c r="M77" s="538" t="n">
        <v>66</v>
      </c>
      <c r="N77" s="538" t="n">
        <v>55</v>
      </c>
      <c r="O77" s="538" t="n">
        <v>29</v>
      </c>
      <c r="P77" s="538" t="n">
        <v>33</v>
      </c>
      <c r="Q77" s="538" t="n">
        <v>38</v>
      </c>
      <c r="R77" s="538" t="n">
        <v>57</v>
      </c>
      <c r="S77" s="538" t="n">
        <v>47</v>
      </c>
      <c r="T77" s="539" t="n">
        <v>6</v>
      </c>
      <c r="U77" s="540" t="n">
        <v>11</v>
      </c>
      <c r="V77" s="529" t="n">
        <v>37246</v>
      </c>
      <c r="W77" s="529">
        <f>SUM(J77:U77)</f>
        <v/>
      </c>
      <c r="X77" s="530">
        <f>AVERAGE(S77:U77)</f>
        <v/>
      </c>
      <c r="Y77" s="529">
        <f>(S77+T77+U77)*V77</f>
        <v/>
      </c>
      <c r="Z77" s="529">
        <f>W77*V77</f>
        <v/>
      </c>
      <c r="AA77" s="531">
        <f>Z77/SUM($Z$2:$Z$100)</f>
        <v/>
      </c>
      <c r="AB77" s="50">
        <f>SUM($AA$2:AA77)</f>
        <v/>
      </c>
      <c r="AC77" s="45">
        <f>IF(AB77&lt;=70%,"A",IF(AB77&lt;=90%,"B","C"))</f>
        <v/>
      </c>
      <c r="AD77" s="529">
        <f>AVERAGE(J77:U77)</f>
        <v/>
      </c>
      <c r="AE77" s="529">
        <f>_xlfn.STDEV.P(J77:U77)</f>
        <v/>
      </c>
      <c r="AF77" s="532">
        <f>IF(AD77=0,0,AE77/AD77)</f>
        <v/>
      </c>
      <c r="AG77" s="45">
        <f>IF(AF77&lt;0.5,"X",IF(AF77&lt;=1,"Y","Z"))</f>
        <v/>
      </c>
      <c r="AH77" s="45">
        <f>AC77&amp;AG77</f>
        <v/>
      </c>
      <c r="AI77" s="52">
        <f>IF(AH77="CZ",0%,IF(AH77="BZ",0%,IF(AH77="CY",5%,IF(I77="사계절",10%,IF(I77="봄",20%,IF(I77="여름",0%,IF(I77="가을",0%,IF(I77="겨울",0%,10%))))))))</f>
        <v/>
      </c>
      <c r="AJ77" s="289">
        <f>IF(AI77=0,"발주안함","발주")</f>
        <v/>
      </c>
      <c r="AK77" s="307">
        <f>IF(AC77="A",IF(AG77="X","AX - 중간재고+월1회(LCL)",IF(AG77="Y","AY - 낮은재고+격주1회","AZ - 중단")),IF(AC77="B",IF(AG77="X","BX - 낮은재고+격월1회",IF(AG77="Y","BY - 최소재고+분기1회","BZ - 중단")),IF(AG77="X","CX - 중단(재고소진만)",IF(AG77="Y","CY - 중단(재고소진만)","CZ - 즉시단종"))))</f>
        <v/>
      </c>
    </row>
    <row r="78">
      <c r="A78" s="287" t="n">
        <v>76</v>
      </c>
      <c r="B78" s="472" t="inlineStr">
        <is>
          <t>기존제품</t>
        </is>
      </c>
      <c r="C78" s="431" t="inlineStr">
        <is>
          <t>ABC77</t>
        </is>
      </c>
      <c r="D78" s="536" t="n"/>
      <c r="E78" s="524" t="n"/>
      <c r="F78" s="42" t="n"/>
      <c r="G78" s="42" t="n"/>
      <c r="H78" s="42" t="n"/>
      <c r="I78" s="45" t="inlineStr">
        <is>
          <t>사계절</t>
        </is>
      </c>
      <c r="J78" s="537" t="n">
        <v>559</v>
      </c>
      <c r="K78" s="538" t="n">
        <v>907</v>
      </c>
      <c r="L78" s="538" t="n">
        <v>876</v>
      </c>
      <c r="M78" s="538" t="n">
        <v>732</v>
      </c>
      <c r="N78" s="538" t="n">
        <v>524</v>
      </c>
      <c r="O78" s="538" t="n">
        <v>233</v>
      </c>
      <c r="P78" s="538" t="n">
        <v>193</v>
      </c>
      <c r="Q78" s="538" t="n">
        <v>211</v>
      </c>
      <c r="R78" s="538" t="n">
        <v>446</v>
      </c>
      <c r="S78" s="538" t="n">
        <v>519</v>
      </c>
      <c r="T78" s="539" t="n">
        <v>531</v>
      </c>
      <c r="U78" s="540" t="n">
        <v>348</v>
      </c>
      <c r="V78" s="529" t="n">
        <v>3364</v>
      </c>
      <c r="W78" s="529">
        <f>SUM(J78:U78)</f>
        <v/>
      </c>
      <c r="X78" s="530">
        <f>AVERAGE(S78:U78)</f>
        <v/>
      </c>
      <c r="Y78" s="529">
        <f>(S78+T78+U78)*V78</f>
        <v/>
      </c>
      <c r="Z78" s="529">
        <f>W78*V78</f>
        <v/>
      </c>
      <c r="AA78" s="531">
        <f>Z78/SUM($Z$2:$Z$100)</f>
        <v/>
      </c>
      <c r="AB78" s="50">
        <f>SUM($AA$2:AA78)</f>
        <v/>
      </c>
      <c r="AC78" s="45">
        <f>IF(AB78&lt;=70%,"A",IF(AB78&lt;=90%,"B","C"))</f>
        <v/>
      </c>
      <c r="AD78" s="529">
        <f>AVERAGE(J78:U78)</f>
        <v/>
      </c>
      <c r="AE78" s="529">
        <f>_xlfn.STDEV.P(J78:U78)</f>
        <v/>
      </c>
      <c r="AF78" s="532">
        <f>IF(AD78=0,0,AE78/AD78)</f>
        <v/>
      </c>
      <c r="AG78" s="45">
        <f>IF(AF78&lt;0.5,"X",IF(AF78&lt;=1,"Y","Z"))</f>
        <v/>
      </c>
      <c r="AH78" s="45">
        <f>AC78&amp;AG78</f>
        <v/>
      </c>
      <c r="AI78" s="52">
        <f>IF(AH78="CZ",0%,IF(AH78="BZ",0%,IF(AH78="CY",5%,IF(I78="사계절",10%,IF(I78="봄",20%,IF(I78="여름",0%,IF(I78="가을",0%,IF(I78="겨울",0%,10%))))))))</f>
        <v/>
      </c>
      <c r="AJ78" s="289">
        <f>IF(AI78=0,"발주안함","발주")</f>
        <v/>
      </c>
      <c r="AK78" s="307">
        <f>IF(AC78="A",IF(AG78="X","AX - 중간재고+월1회(LCL)",IF(AG78="Y","AY - 낮은재고+격주1회","AZ - 중단")),IF(AC78="B",IF(AG78="X","BX - 낮은재고+격월1회",IF(AG78="Y","BY - 최소재고+분기1회","BZ - 중단")),IF(AG78="X","CX - 중단(재고소진만)",IF(AG78="Y","CY - 중단(재고소진만)","CZ - 즉시단종"))))</f>
        <v/>
      </c>
    </row>
    <row r="79">
      <c r="A79" s="287" t="n">
        <v>72</v>
      </c>
      <c r="B79" s="472" t="inlineStr">
        <is>
          <t>기존제품</t>
        </is>
      </c>
      <c r="C79" s="431" t="inlineStr">
        <is>
          <t>ABC78</t>
        </is>
      </c>
      <c r="D79" s="536" t="n"/>
      <c r="E79" s="524" t="n"/>
      <c r="F79" s="42" t="n"/>
      <c r="G79" s="42" t="n"/>
      <c r="H79" s="42" t="n"/>
      <c r="I79" s="45" t="inlineStr">
        <is>
          <t>사계절</t>
        </is>
      </c>
      <c r="J79" s="537" t="n">
        <v>84</v>
      </c>
      <c r="K79" s="538" t="n">
        <v>90</v>
      </c>
      <c r="L79" s="538" t="n">
        <v>70</v>
      </c>
      <c r="M79" s="538" t="n">
        <v>58</v>
      </c>
      <c r="N79" s="538" t="n">
        <v>38</v>
      </c>
      <c r="O79" s="538" t="n">
        <v>24</v>
      </c>
      <c r="P79" s="538" t="n">
        <v>15</v>
      </c>
      <c r="Q79" s="538" t="n">
        <v>69</v>
      </c>
      <c r="R79" s="538" t="n">
        <v>48</v>
      </c>
      <c r="S79" s="538" t="n">
        <v>64</v>
      </c>
      <c r="T79" s="539" t="n">
        <v>66</v>
      </c>
      <c r="U79" s="540" t="n">
        <v>46</v>
      </c>
      <c r="V79" s="529" t="n">
        <v>30093</v>
      </c>
      <c r="W79" s="529">
        <f>SUM(J79:U79)</f>
        <v/>
      </c>
      <c r="X79" s="530">
        <f>AVERAGE(S79:U79)</f>
        <v/>
      </c>
      <c r="Y79" s="529">
        <f>(S79+T79+U79)*V79</f>
        <v/>
      </c>
      <c r="Z79" s="549">
        <f>W79*V79</f>
        <v/>
      </c>
      <c r="AA79" s="531">
        <f>Z79/SUM($Z$2:$Z$100)</f>
        <v/>
      </c>
      <c r="AB79" s="50">
        <f>SUM($AA$2:AA79)</f>
        <v/>
      </c>
      <c r="AC79" s="45">
        <f>IF(AB79&lt;=70%,"A",IF(AB79&lt;=90%,"B","C"))</f>
        <v/>
      </c>
      <c r="AD79" s="529">
        <f>AVERAGE(J79:U79)</f>
        <v/>
      </c>
      <c r="AE79" s="529">
        <f>_xlfn.STDEV.P(J79:U79)</f>
        <v/>
      </c>
      <c r="AF79" s="532">
        <f>IF(AD79=0,0,AE79/AD79)</f>
        <v/>
      </c>
      <c r="AG79" s="45">
        <f>IF(AF79&lt;0.5,"X",IF(AF79&lt;=1,"Y","Z"))</f>
        <v/>
      </c>
      <c r="AH79" s="45">
        <f>AC79&amp;AG79</f>
        <v/>
      </c>
      <c r="AI79" s="52">
        <f>IF(AH79="CZ",0%,IF(AH79="BZ",0%,IF(AH79="CY",5%,IF(I79="사계절",10%,IF(I79="봄",20%,IF(I79="여름",0%,IF(I79="가을",0%,IF(I79="겨울",0%,10%))))))))</f>
        <v/>
      </c>
      <c r="AJ79" s="289">
        <f>IF(AI79=0,"발주안함","발주")</f>
        <v/>
      </c>
      <c r="AK79" s="307">
        <f>IF(AC79="A",IF(AG79="X","AX - 중간재고+월1회(LCL)",IF(AG79="Y","AY - 낮은재고+격주1회","AZ - 중단")),IF(AC79="B",IF(AG79="X","BX - 낮은재고+격월1회",IF(AG79="Y","BY - 최소재고+분기1회","BZ - 중단")),IF(AG79="X","CX - 중단(재고소진만)",IF(AG79="Y","CY - 중단(재고소진만)","CZ - 즉시단종"))))</f>
        <v/>
      </c>
    </row>
    <row r="80">
      <c r="A80" s="287" t="n">
        <v>77</v>
      </c>
      <c r="B80" s="472" t="inlineStr">
        <is>
          <t>기존제품</t>
        </is>
      </c>
      <c r="C80" s="431" t="inlineStr">
        <is>
          <t>ABC79</t>
        </is>
      </c>
      <c r="D80" s="536" t="n"/>
      <c r="E80" s="524" t="n"/>
      <c r="F80" s="42" t="n"/>
      <c r="G80" s="42" t="n"/>
      <c r="H80" s="42" t="n"/>
      <c r="I80" s="45" t="inlineStr">
        <is>
          <t>사계절</t>
        </is>
      </c>
      <c r="J80" s="537" t="n">
        <v>0</v>
      </c>
      <c r="K80" s="538" t="n">
        <v>0</v>
      </c>
      <c r="L80" s="538" t="n">
        <v>0</v>
      </c>
      <c r="M80" s="538" t="n">
        <v>1119</v>
      </c>
      <c r="N80" s="538" t="n">
        <v>651</v>
      </c>
      <c r="O80" s="538" t="n">
        <v>677</v>
      </c>
      <c r="P80" s="538" t="n">
        <v>390</v>
      </c>
      <c r="Q80" s="538" t="n">
        <v>416</v>
      </c>
      <c r="R80" s="538" t="n">
        <v>574</v>
      </c>
      <c r="S80" s="538" t="n">
        <v>848</v>
      </c>
      <c r="T80" s="539" t="n">
        <v>583</v>
      </c>
      <c r="U80" s="540" t="n">
        <v>718</v>
      </c>
      <c r="V80" s="529" t="n">
        <v>3364</v>
      </c>
      <c r="W80" s="529">
        <f>SUM(J80:U80)</f>
        <v/>
      </c>
      <c r="X80" s="530">
        <f>AVERAGE(S80:U80)</f>
        <v/>
      </c>
      <c r="Y80" s="529">
        <f>(S80+T80+U80)*V80</f>
        <v/>
      </c>
      <c r="Z80" s="529">
        <f>W80*V80</f>
        <v/>
      </c>
      <c r="AA80" s="531">
        <f>Z80/SUM($Z$2:$Z$100)</f>
        <v/>
      </c>
      <c r="AB80" s="50">
        <f>SUM($AA$2:AA80)</f>
        <v/>
      </c>
      <c r="AC80" s="45">
        <f>IF(AB80&lt;=70%,"A",IF(AB80&lt;=90%,"B","C"))</f>
        <v/>
      </c>
      <c r="AD80" s="529">
        <f>AVERAGE(J80:U80)</f>
        <v/>
      </c>
      <c r="AE80" s="529">
        <f>_xlfn.STDEV.P(J80:U80)</f>
        <v/>
      </c>
      <c r="AF80" s="532">
        <f>IF(AD80=0,0,AE80/AD80)</f>
        <v/>
      </c>
      <c r="AG80" s="45">
        <f>IF(AF80&lt;0.5,"X",IF(AF80&lt;=1,"Y","Z"))</f>
        <v/>
      </c>
      <c r="AH80" s="45">
        <f>AC80&amp;AG80</f>
        <v/>
      </c>
      <c r="AI80" s="52">
        <f>IF(AH80="CZ",0%,IF(AH80="BZ",0%,IF(AH80="CY",5%,IF(I80="사계절",10%,IF(I80="봄",20%,IF(I80="여름",0%,IF(I80="가을",0%,IF(I80="겨울",0%,10%))))))))</f>
        <v/>
      </c>
      <c r="AJ80" s="289">
        <f>IF(AI80=0,"발주안함","발주")</f>
        <v/>
      </c>
      <c r="AK80" s="307">
        <f>IF(AC80="A",IF(AG80="X","AX - 중간재고+월1회(LCL)",IF(AG80="Y","AY - 낮은재고+격주1회","AZ - 중단")),IF(AC80="B",IF(AG80="X","BX - 낮은재고+격월1회",IF(AG80="Y","BY - 최소재고+분기1회","BZ - 중단")),IF(AG80="X","CX - 중단(재고소진만)",IF(AG80="Y","CY - 중단(재고소진만)","CZ - 즉시단종"))))</f>
        <v/>
      </c>
    </row>
    <row r="81">
      <c r="A81" s="287" t="n">
        <v>78</v>
      </c>
      <c r="B81" s="472" t="inlineStr">
        <is>
          <t>기존제품</t>
        </is>
      </c>
      <c r="C81" s="431" t="inlineStr">
        <is>
          <t>ABC80</t>
        </is>
      </c>
      <c r="D81" s="536" t="n"/>
      <c r="E81" s="524" t="n"/>
      <c r="F81" s="42" t="n"/>
      <c r="G81" s="42" t="n"/>
      <c r="H81" s="42" t="n"/>
      <c r="I81" s="45" t="inlineStr">
        <is>
          <t>사계절</t>
        </is>
      </c>
      <c r="J81" s="537" t="n">
        <v>204</v>
      </c>
      <c r="K81" s="538" t="n">
        <v>38</v>
      </c>
      <c r="L81" s="538" t="n">
        <v>1</v>
      </c>
      <c r="M81" s="538" t="n">
        <v>0</v>
      </c>
      <c r="N81" s="538" t="n">
        <v>0</v>
      </c>
      <c r="O81" s="538" t="n">
        <v>0</v>
      </c>
      <c r="P81" s="538" t="n">
        <v>0</v>
      </c>
      <c r="Q81" s="538" t="n">
        <v>0</v>
      </c>
      <c r="R81" s="538" t="n">
        <v>19</v>
      </c>
      <c r="S81" s="538" t="n">
        <v>185</v>
      </c>
      <c r="T81" s="539" t="n">
        <v>180</v>
      </c>
      <c r="U81" s="540" t="n">
        <v>11</v>
      </c>
      <c r="V81" s="529" t="n">
        <v>31265</v>
      </c>
      <c r="W81" s="529">
        <f>SUM(J81:U81)</f>
        <v/>
      </c>
      <c r="X81" s="530">
        <f>AVERAGE(S81:U81)</f>
        <v/>
      </c>
      <c r="Y81" s="529">
        <f>(S81+T81+U81)*V81</f>
        <v/>
      </c>
      <c r="Z81" s="549">
        <f>W81*V81</f>
        <v/>
      </c>
      <c r="AA81" s="531">
        <f>Z81/SUM($Z$2:$Z$100)</f>
        <v/>
      </c>
      <c r="AB81" s="50">
        <f>SUM($AA$2:AA81)</f>
        <v/>
      </c>
      <c r="AC81" s="45">
        <f>IF(AB81&lt;=70%,"A",IF(AB81&lt;=90%,"B","C"))</f>
        <v/>
      </c>
      <c r="AD81" s="529">
        <f>AVERAGE(J81:U81)</f>
        <v/>
      </c>
      <c r="AE81" s="529">
        <f>_xlfn.STDEV.P(J81:U81)</f>
        <v/>
      </c>
      <c r="AF81" s="532">
        <f>IF(AD81=0,0,AE81/AD81)</f>
        <v/>
      </c>
      <c r="AG81" s="45">
        <f>IF(AF81&lt;0.5,"X",IF(AF81&lt;=1,"Y","Z"))</f>
        <v/>
      </c>
      <c r="AH81" s="45">
        <f>AC81&amp;AG81</f>
        <v/>
      </c>
      <c r="AI81" s="52">
        <f>IF(AH81="CZ",0%,IF(AH81="BZ",0%,IF(AH81="CY",5%,IF(I81="사계절",10%,IF(I81="봄",20%,IF(I81="여름",0%,IF(I81="가을",0%,IF(I81="겨울",0%,10%))))))))</f>
        <v/>
      </c>
      <c r="AJ81" s="289">
        <f>IF(AI81=0,"발주안함","발주")</f>
        <v/>
      </c>
      <c r="AK81" s="307">
        <f>IF(AC81="A",IF(AG81="X","AX - 중간재고+월1회(LCL)",IF(AG81="Y","AY - 낮은재고+격주1회","AZ - 중단")),IF(AC81="B",IF(AG81="X","BX - 낮은재고+격월1회",IF(AG81="Y","BY - 최소재고+분기1회","BZ - 중단")),IF(AG81="X","CX - 중단(재고소진만)",IF(AG81="Y","CY - 중단(재고소진만)","CZ - 즉시단종"))))</f>
        <v/>
      </c>
    </row>
    <row r="82">
      <c r="A82" s="287" t="n">
        <v>81</v>
      </c>
      <c r="B82" s="472" t="inlineStr">
        <is>
          <t>기존제품</t>
        </is>
      </c>
      <c r="C82" s="431" t="inlineStr">
        <is>
          <t>ABC81</t>
        </is>
      </c>
      <c r="D82" s="536" t="n"/>
      <c r="E82" s="524" t="n"/>
      <c r="F82" s="42" t="n"/>
      <c r="G82" s="42" t="n"/>
      <c r="H82" s="42" t="n"/>
      <c r="I82" s="45" t="inlineStr">
        <is>
          <t>사계절</t>
        </is>
      </c>
      <c r="J82" s="537" t="n">
        <v>0</v>
      </c>
      <c r="K82" s="538" t="n">
        <v>0</v>
      </c>
      <c r="L82" s="538" t="n">
        <v>0</v>
      </c>
      <c r="M82" s="538" t="n">
        <v>235</v>
      </c>
      <c r="N82" s="538" t="n">
        <v>86</v>
      </c>
      <c r="O82" s="538" t="n">
        <v>38</v>
      </c>
      <c r="P82" s="538" t="n">
        <v>31</v>
      </c>
      <c r="Q82" s="538" t="n">
        <v>31</v>
      </c>
      <c r="R82" s="538" t="n">
        <v>109</v>
      </c>
      <c r="S82" s="538" t="n">
        <v>64</v>
      </c>
      <c r="T82" s="539" t="n">
        <v>84</v>
      </c>
      <c r="U82" s="540" t="n">
        <v>99</v>
      </c>
      <c r="V82" s="529" t="n">
        <v>24620</v>
      </c>
      <c r="W82" s="529">
        <f>SUM(J82:U82)</f>
        <v/>
      </c>
      <c r="X82" s="530">
        <f>AVERAGE(S82:U82)</f>
        <v/>
      </c>
      <c r="Y82" s="529">
        <f>(S82+T82+U82)*V82</f>
        <v/>
      </c>
      <c r="Z82" s="529">
        <f>W82*V82</f>
        <v/>
      </c>
      <c r="AA82" s="531">
        <f>Z82/SUM($Z$2:$Z$100)</f>
        <v/>
      </c>
      <c r="AB82" s="50">
        <f>SUM($AA$2:AA82)</f>
        <v/>
      </c>
      <c r="AC82" s="45">
        <f>IF(AB82&lt;=70%,"A",IF(AB82&lt;=90%,"B","C"))</f>
        <v/>
      </c>
      <c r="AD82" s="529">
        <f>AVERAGE(J82:U82)</f>
        <v/>
      </c>
      <c r="AE82" s="529">
        <f>_xlfn.STDEV.P(J82:U82)</f>
        <v/>
      </c>
      <c r="AF82" s="532">
        <f>IF(AD82=0,0,AE82/AD82)</f>
        <v/>
      </c>
      <c r="AG82" s="45">
        <f>IF(AF82&lt;0.5,"X",IF(AF82&lt;=1,"Y","Z"))</f>
        <v/>
      </c>
      <c r="AH82" s="45">
        <f>AC82&amp;AG82</f>
        <v/>
      </c>
      <c r="AI82" s="52">
        <f>IF(AH82="CZ",0%,IF(AH82="BZ",0%,IF(AH82="CY",5%,IF(I82="사계절",10%,IF(I82="봄",20%,IF(I82="여름",0%,IF(I82="가을",0%,IF(I82="겨울",0%,10%))))))))</f>
        <v/>
      </c>
      <c r="AJ82" s="289">
        <f>IF(AI82=0,"발주안함","발주")</f>
        <v/>
      </c>
      <c r="AK82" s="307">
        <f>IF(AC82="A",IF(AG82="X","AX - 중간재고+월1회(LCL)",IF(AG82="Y","AY - 낮은재고+격주1회","AZ - 중단")),IF(AC82="B",IF(AG82="X","BX - 낮은재고+격월1회",IF(AG82="Y","BY - 최소재고+분기1회","BZ - 중단")),IF(AG82="X","CX - 중단(재고소진만)",IF(AG82="Y","CY - 중단(재고소진만)","CZ - 즉시단종"))))</f>
        <v/>
      </c>
    </row>
    <row r="83">
      <c r="A83" s="287" t="n">
        <v>83</v>
      </c>
      <c r="B83" s="472" t="inlineStr">
        <is>
          <t>기존제품</t>
        </is>
      </c>
      <c r="C83" s="431" t="inlineStr">
        <is>
          <t>ABC82</t>
        </is>
      </c>
      <c r="D83" s="536" t="n"/>
      <c r="E83" s="524" t="n"/>
      <c r="F83" s="42" t="n"/>
      <c r="G83" s="42" t="n"/>
      <c r="H83" s="42" t="n"/>
      <c r="I83" s="45" t="inlineStr">
        <is>
          <t>사계절</t>
        </is>
      </c>
      <c r="J83" s="537" t="n">
        <v>0</v>
      </c>
      <c r="K83" s="538" t="n">
        <v>0</v>
      </c>
      <c r="L83" s="538" t="n">
        <v>0</v>
      </c>
      <c r="M83" s="538" t="n">
        <v>1546</v>
      </c>
      <c r="N83" s="538" t="n">
        <v>663</v>
      </c>
      <c r="O83" s="538" t="n">
        <v>465</v>
      </c>
      <c r="P83" s="538" t="n">
        <v>397</v>
      </c>
      <c r="Q83" s="538" t="n">
        <v>262</v>
      </c>
      <c r="R83" s="538" t="n">
        <v>360</v>
      </c>
      <c r="S83" s="538" t="n">
        <v>460</v>
      </c>
      <c r="T83" s="539" t="n">
        <v>448</v>
      </c>
      <c r="U83" s="540" t="n">
        <v>972</v>
      </c>
      <c r="V83" s="529" t="n">
        <v>3364</v>
      </c>
      <c r="W83" s="529">
        <f>SUM(J83:U83)</f>
        <v/>
      </c>
      <c r="X83" s="530">
        <f>AVERAGE(S83:U83)</f>
        <v/>
      </c>
      <c r="Y83" s="529">
        <f>(S83+T83+U83)*V83</f>
        <v/>
      </c>
      <c r="Z83" s="529">
        <f>W83*V83</f>
        <v/>
      </c>
      <c r="AA83" s="531">
        <f>Z83/SUM($Z$2:$Z$100)</f>
        <v/>
      </c>
      <c r="AB83" s="50">
        <f>SUM($AA$2:AA83)</f>
        <v/>
      </c>
      <c r="AC83" s="45">
        <f>IF(AB83&lt;=70%,"A",IF(AB83&lt;=90%,"B","C"))</f>
        <v/>
      </c>
      <c r="AD83" s="529">
        <f>AVERAGE(J83:U83)</f>
        <v/>
      </c>
      <c r="AE83" s="529">
        <f>_xlfn.STDEV.P(J83:U83)</f>
        <v/>
      </c>
      <c r="AF83" s="532">
        <f>IF(AD83=0,0,AE83/AD83)</f>
        <v/>
      </c>
      <c r="AG83" s="45">
        <f>IF(AF83&lt;0.5,"X",IF(AF83&lt;=1,"Y","Z"))</f>
        <v/>
      </c>
      <c r="AH83" s="45">
        <f>AC83&amp;AG83</f>
        <v/>
      </c>
      <c r="AI83" s="52">
        <f>IF(AH83="CZ",0%,IF(AH83="BZ",0%,IF(AH83="CY",5%,IF(I83="사계절",10%,IF(I83="봄",20%,IF(I83="여름",0%,IF(I83="가을",0%,IF(I83="겨울",0%,10%))))))))</f>
        <v/>
      </c>
      <c r="AJ83" s="289">
        <f>IF(AI83=0,"발주안함","발주")</f>
        <v/>
      </c>
      <c r="AK83" s="307">
        <f>IF(AC83="A",IF(AG83="X","AX - 중간재고+월1회(LCL)",IF(AG83="Y","AY - 낮은재고+격주1회","AZ - 중단")),IF(AC83="B",IF(AG83="X","BX - 낮은재고+격월1회",IF(AG83="Y","BY - 최소재고+분기1회","BZ - 중단")),IF(AG83="X","CX - 중단(재고소진만)",IF(AG83="Y","CY - 중단(재고소진만)","CZ - 즉시단종"))))</f>
        <v/>
      </c>
    </row>
    <row r="84">
      <c r="A84" s="287" t="n">
        <v>84</v>
      </c>
      <c r="B84" s="472" t="inlineStr">
        <is>
          <t>기존제품</t>
        </is>
      </c>
      <c r="C84" s="431" t="inlineStr">
        <is>
          <t>ABC83</t>
        </is>
      </c>
      <c r="D84" s="536" t="n"/>
      <c r="E84" s="524" t="n"/>
      <c r="F84" s="42" t="n"/>
      <c r="G84" s="42" t="n"/>
      <c r="H84" s="42" t="n"/>
      <c r="I84" s="45" t="inlineStr">
        <is>
          <t>사계절</t>
        </is>
      </c>
      <c r="J84" s="537" t="n">
        <v>0</v>
      </c>
      <c r="K84" s="538" t="n">
        <v>0</v>
      </c>
      <c r="L84" s="538" t="n">
        <v>0</v>
      </c>
      <c r="M84" s="538" t="n">
        <v>0</v>
      </c>
      <c r="N84" s="538" t="n">
        <v>0</v>
      </c>
      <c r="O84" s="538" t="n">
        <v>0</v>
      </c>
      <c r="P84" s="538" t="n">
        <v>0</v>
      </c>
      <c r="Q84" s="538" t="n">
        <v>0</v>
      </c>
      <c r="R84" s="538" t="n">
        <v>0</v>
      </c>
      <c r="S84" s="538" t="n">
        <v>110</v>
      </c>
      <c r="T84" s="539" t="n">
        <v>78</v>
      </c>
      <c r="U84" s="540" t="n">
        <v>15</v>
      </c>
      <c r="V84" s="529" t="n">
        <v>89631</v>
      </c>
      <c r="W84" s="529">
        <f>SUM(J84:U84)</f>
        <v/>
      </c>
      <c r="X84" s="530">
        <f>AVERAGE(S84:U84)</f>
        <v/>
      </c>
      <c r="Y84" s="529">
        <f>(S84+T84+U84)*V84</f>
        <v/>
      </c>
      <c r="Z84" s="529">
        <f>W84*V84</f>
        <v/>
      </c>
      <c r="AA84" s="531">
        <f>Z84/SUM($Z$2:$Z$100)</f>
        <v/>
      </c>
      <c r="AB84" s="50">
        <f>SUM($AA$2:AA84)</f>
        <v/>
      </c>
      <c r="AC84" s="45">
        <f>IF(AB84&lt;=70%,"A",IF(AB84&lt;=90%,"B","C"))</f>
        <v/>
      </c>
      <c r="AD84" s="529">
        <f>AVERAGE(J84:U84)</f>
        <v/>
      </c>
      <c r="AE84" s="529">
        <f>_xlfn.STDEV.P(J84:U84)</f>
        <v/>
      </c>
      <c r="AF84" s="532">
        <f>IF(AD84=0,0,AE84/AD84)</f>
        <v/>
      </c>
      <c r="AG84" s="45">
        <f>IF(AF84&lt;0.5,"X",IF(AF84&lt;=1,"Y","Z"))</f>
        <v/>
      </c>
      <c r="AH84" s="45">
        <f>AC84&amp;AG84</f>
        <v/>
      </c>
      <c r="AI84" s="52">
        <f>IF(AH84="CZ",0%,IF(AH84="BZ",0%,IF(AH84="CY",5%,IF(I84="사계절",10%,IF(I84="봄",20%,IF(I84="여름",0%,IF(I84="가을",0%,IF(I84="겨울",0%,10%))))))))</f>
        <v/>
      </c>
      <c r="AJ84" s="289">
        <f>IF(AI84=0,"발주안함","발주")</f>
        <v/>
      </c>
      <c r="AK84" s="307">
        <f>IF(AC84="A",IF(AG84="X","AX - 중간재고+월1회(LCL)",IF(AG84="Y","AY - 낮은재고+격주1회","AZ - 중단")),IF(AC84="B",IF(AG84="X","BX - 낮은재고+격월1회",IF(AG84="Y","BY - 최소재고+분기1회","BZ - 중단")),IF(AG84="X","CX - 중단(재고소진만)",IF(AG84="Y","CY - 중단(재고소진만)","CZ - 즉시단종"))))</f>
        <v/>
      </c>
    </row>
    <row r="85">
      <c r="A85" s="287" t="n">
        <v>85</v>
      </c>
      <c r="B85" s="472" t="inlineStr">
        <is>
          <t>기존제품</t>
        </is>
      </c>
      <c r="C85" s="431" t="inlineStr">
        <is>
          <t>ABC84</t>
        </is>
      </c>
      <c r="D85" s="536" t="n"/>
      <c r="E85" s="524" t="n"/>
      <c r="F85" s="42" t="n"/>
      <c r="G85" s="42" t="n"/>
      <c r="H85" s="42" t="n"/>
      <c r="I85" s="435" t="inlineStr">
        <is>
          <t>사계절</t>
        </is>
      </c>
      <c r="J85" s="537" t="n">
        <v>0</v>
      </c>
      <c r="K85" s="538" t="n">
        <v>0</v>
      </c>
      <c r="L85" s="538" t="n">
        <v>0</v>
      </c>
      <c r="M85" s="538" t="n">
        <v>0</v>
      </c>
      <c r="N85" s="538" t="n">
        <v>0</v>
      </c>
      <c r="O85" s="538" t="n">
        <v>0</v>
      </c>
      <c r="P85" s="538" t="n">
        <v>0</v>
      </c>
      <c r="Q85" s="538" t="n">
        <v>0</v>
      </c>
      <c r="R85" s="538" t="n">
        <v>99</v>
      </c>
      <c r="S85" s="538" t="n">
        <v>223</v>
      </c>
      <c r="T85" s="539" t="n">
        <v>82</v>
      </c>
      <c r="U85" s="540" t="n">
        <v>53</v>
      </c>
      <c r="V85" s="529" t="n">
        <v>39794</v>
      </c>
      <c r="W85" s="529">
        <f>SUM(J85:U85)</f>
        <v/>
      </c>
      <c r="X85" s="530">
        <f>AVERAGE(S85:U85)</f>
        <v/>
      </c>
      <c r="Y85" s="529">
        <f>(S85+T85+U85)*V85</f>
        <v/>
      </c>
      <c r="Z85" s="529">
        <f>W85*V85</f>
        <v/>
      </c>
      <c r="AA85" s="531">
        <f>Z85/SUM($Z$2:$Z$100)</f>
        <v/>
      </c>
      <c r="AB85" s="50">
        <f>SUM($AA$2:AA85)</f>
        <v/>
      </c>
      <c r="AC85" s="45">
        <f>IF(AB85&lt;=70%,"A",IF(AB85&lt;=90%,"B","C"))</f>
        <v/>
      </c>
      <c r="AD85" s="529">
        <f>AVERAGE(J85:U85)</f>
        <v/>
      </c>
      <c r="AE85" s="529">
        <f>_xlfn.STDEV.P(J85:U85)</f>
        <v/>
      </c>
      <c r="AF85" s="532">
        <f>IF(AD85=0,0,AE85/AD85)</f>
        <v/>
      </c>
      <c r="AG85" s="45">
        <f>IF(AF85&lt;0.5,"X",IF(AF85&lt;=1,"Y","Z"))</f>
        <v/>
      </c>
      <c r="AH85" s="45">
        <f>AC85&amp;AG85</f>
        <v/>
      </c>
      <c r="AI85" s="52">
        <f>IF(AH85="CZ",0%,IF(AH85="BZ",0%,IF(AH85="CY",5%,IF(I85="사계절",10%,IF(I85="봄",20%,IF(I85="여름",0%,IF(I85="가을",0%,IF(I85="겨울",0%,10%))))))))</f>
        <v/>
      </c>
      <c r="AJ85" s="289">
        <f>IF(AI85=0,"발주안함","발주")</f>
        <v/>
      </c>
      <c r="AK85" s="307">
        <f>IF(AC85="A",IF(AG85="X","AX - 중간재고+월1회(LCL)",IF(AG85="Y","AY - 낮은재고+격주1회","AZ - 중단")),IF(AC85="B",IF(AG85="X","BX - 낮은재고+격월1회",IF(AG85="Y","BY - 최소재고+분기1회","BZ - 중단")),IF(AG85="X","CX - 중단(재고소진만)",IF(AG85="Y","CY - 중단(재고소진만)","CZ - 즉시단종"))))</f>
        <v/>
      </c>
    </row>
    <row r="86">
      <c r="A86" s="287" t="n">
        <v>80</v>
      </c>
      <c r="B86" s="472" t="inlineStr">
        <is>
          <t>기존제품</t>
        </is>
      </c>
      <c r="C86" s="431" t="inlineStr">
        <is>
          <t>ABC85</t>
        </is>
      </c>
      <c r="D86" s="536" t="n"/>
      <c r="E86" s="524" t="n"/>
      <c r="F86" s="42" t="n"/>
      <c r="G86" s="42" t="n"/>
      <c r="H86" s="42" t="n"/>
      <c r="I86" s="45" t="inlineStr">
        <is>
          <t>사계절</t>
        </is>
      </c>
      <c r="J86" s="537" t="n">
        <v>40</v>
      </c>
      <c r="K86" s="538" t="n">
        <v>57</v>
      </c>
      <c r="L86" s="538" t="n">
        <v>58</v>
      </c>
      <c r="M86" s="538" t="n">
        <v>57</v>
      </c>
      <c r="N86" s="538" t="n">
        <v>40</v>
      </c>
      <c r="O86" s="538" t="n">
        <v>25</v>
      </c>
      <c r="P86" s="538" t="n">
        <v>11</v>
      </c>
      <c r="Q86" s="538" t="n">
        <v>58</v>
      </c>
      <c r="R86" s="538" t="n">
        <v>14</v>
      </c>
      <c r="S86" s="538" t="n">
        <v>43</v>
      </c>
      <c r="T86" s="539" t="n">
        <v>72</v>
      </c>
      <c r="U86" s="540" t="n">
        <v>157</v>
      </c>
      <c r="V86" s="529" t="n">
        <v>28675</v>
      </c>
      <c r="W86" s="529">
        <f>SUM(J86:U86)</f>
        <v/>
      </c>
      <c r="X86" s="530">
        <f>AVERAGE(S86:U86)</f>
        <v/>
      </c>
      <c r="Y86" s="529">
        <f>(S86+T86+U86)*V86</f>
        <v/>
      </c>
      <c r="Z86" s="529">
        <f>W86*V86</f>
        <v/>
      </c>
      <c r="AA86" s="531">
        <f>Z86/SUM($Z$2:$Z$100)</f>
        <v/>
      </c>
      <c r="AB86" s="50">
        <f>SUM($AA$2:AA86)</f>
        <v/>
      </c>
      <c r="AC86" s="45">
        <f>IF(AB86&lt;=70%,"A",IF(AB86&lt;=90%,"B","C"))</f>
        <v/>
      </c>
      <c r="AD86" s="529">
        <f>AVERAGE(J86:U86)</f>
        <v/>
      </c>
      <c r="AE86" s="529">
        <f>_xlfn.STDEV.P(J86:U86)</f>
        <v/>
      </c>
      <c r="AF86" s="532">
        <f>IF(AD86=0,0,AE86/AD86)</f>
        <v/>
      </c>
      <c r="AG86" s="45">
        <f>IF(AF86&lt;0.5,"X",IF(AF86&lt;=1,"Y","Z"))</f>
        <v/>
      </c>
      <c r="AH86" s="45">
        <f>AC86&amp;AG86</f>
        <v/>
      </c>
      <c r="AI86" s="52">
        <f>IF(AH86="CZ",0%,IF(AH86="BZ",0%,IF(AH86="CY",5%,IF(I86="사계절",10%,IF(I86="봄",20%,IF(I86="여름",0%,IF(I86="가을",0%,IF(I86="겨울",0%,10%))))))))</f>
        <v/>
      </c>
      <c r="AJ86" s="289">
        <f>IF(AI86=0,"발주안함","발주")</f>
        <v/>
      </c>
      <c r="AK86" s="307">
        <f>IF(AC86="A",IF(AG86="X","AX - 중간재고+월1회(LCL)",IF(AG86="Y","AY - 낮은재고+격주1회","AZ - 중단")),IF(AC86="B",IF(AG86="X","BX - 낮은재고+격월1회",IF(AG86="Y","BY - 최소재고+분기1회","BZ - 중단")),IF(AG86="X","CX - 중단(재고소진만)",IF(AG86="Y","CY - 중단(재고소진만)","CZ - 즉시단종"))))</f>
        <v/>
      </c>
    </row>
    <row r="87">
      <c r="A87" s="287" t="n">
        <v>89</v>
      </c>
      <c r="B87" s="472" t="inlineStr">
        <is>
          <t>기존제품</t>
        </is>
      </c>
      <c r="C87" s="431" t="inlineStr">
        <is>
          <t>ABC86</t>
        </is>
      </c>
      <c r="D87" s="536" t="n"/>
      <c r="E87" s="524" t="n"/>
      <c r="F87" s="42" t="n"/>
      <c r="G87" s="42" t="n"/>
      <c r="H87" s="42" t="n"/>
      <c r="I87" s="45" t="inlineStr">
        <is>
          <t>사계절</t>
        </is>
      </c>
      <c r="J87" s="537" t="n">
        <v>0</v>
      </c>
      <c r="K87" s="538" t="n">
        <v>0</v>
      </c>
      <c r="L87" s="538" t="n">
        <v>0</v>
      </c>
      <c r="M87" s="538" t="n">
        <v>176</v>
      </c>
      <c r="N87" s="538" t="n">
        <v>40</v>
      </c>
      <c r="O87" s="538" t="n">
        <v>52</v>
      </c>
      <c r="P87" s="538" t="n">
        <v>56</v>
      </c>
      <c r="Q87" s="538" t="n">
        <v>42</v>
      </c>
      <c r="R87" s="538" t="n">
        <v>39</v>
      </c>
      <c r="S87" s="538" t="n">
        <v>46</v>
      </c>
      <c r="T87" s="539" t="n">
        <v>51</v>
      </c>
      <c r="U87" s="540" t="n">
        <v>51</v>
      </c>
      <c r="V87" s="529" t="n">
        <v>32309</v>
      </c>
      <c r="W87" s="529">
        <f>SUM(J87:U87)</f>
        <v/>
      </c>
      <c r="X87" s="530">
        <f>AVERAGE(S87:U87)</f>
        <v/>
      </c>
      <c r="Y87" s="529">
        <f>(S87+T87+U87)*V87</f>
        <v/>
      </c>
      <c r="Z87" s="549">
        <f>W87*V87</f>
        <v/>
      </c>
      <c r="AA87" s="531">
        <f>Z87/SUM($Z$2:$Z$100)</f>
        <v/>
      </c>
      <c r="AB87" s="50">
        <f>SUM($AA$2:AA87)</f>
        <v/>
      </c>
      <c r="AC87" s="45">
        <f>IF(AB87&lt;=70%,"A",IF(AB87&lt;=90%,"B","C"))</f>
        <v/>
      </c>
      <c r="AD87" s="529">
        <f>AVERAGE(J87:U87)</f>
        <v/>
      </c>
      <c r="AE87" s="529">
        <f>_xlfn.STDEV.P(J87:U87)</f>
        <v/>
      </c>
      <c r="AF87" s="532">
        <f>IF(AD87=0,0,AE87/AD87)</f>
        <v/>
      </c>
      <c r="AG87" s="45">
        <f>IF(AF87&lt;0.5,"X",IF(AF87&lt;=1,"Y","Z"))</f>
        <v/>
      </c>
      <c r="AH87" s="45">
        <f>AC87&amp;AG87</f>
        <v/>
      </c>
      <c r="AI87" s="52">
        <f>IF(AH87="CZ",0%,IF(AH87="BZ",0%,IF(AH87="CY",5%,IF(I87="사계절",10%,IF(I87="봄",20%,IF(I87="여름",0%,IF(I87="가을",0%,IF(I87="겨울",0%,10%))))))))</f>
        <v/>
      </c>
      <c r="AJ87" s="289">
        <f>IF(AI87=0,"발주안함","발주")</f>
        <v/>
      </c>
      <c r="AK87" s="307">
        <f>IF(AC87="A",IF(AG87="X","AX - 중간재고+월1회(LCL)",IF(AG87="Y","AY - 낮은재고+격주1회","AZ - 중단")),IF(AC87="B",IF(AG87="X","BX - 낮은재고+격월1회",IF(AG87="Y","BY - 최소재고+분기1회","BZ - 중단")),IF(AG87="X","CX - 중단(재고소진만)",IF(AG87="Y","CY - 중단(재고소진만)","CZ - 즉시단종"))))</f>
        <v/>
      </c>
    </row>
    <row r="88">
      <c r="A88" s="287" t="n">
        <v>90</v>
      </c>
      <c r="B88" s="472" t="inlineStr">
        <is>
          <t>기존제품</t>
        </is>
      </c>
      <c r="C88" s="431" t="inlineStr">
        <is>
          <t>ABC87</t>
        </is>
      </c>
      <c r="D88" s="536" t="n"/>
      <c r="E88" s="524" t="n"/>
      <c r="F88" s="42" t="n"/>
      <c r="G88" s="42" t="n"/>
      <c r="H88" s="42" t="n"/>
      <c r="I88" s="45" t="inlineStr">
        <is>
          <t>사계절</t>
        </is>
      </c>
      <c r="J88" s="537" t="n">
        <v>0</v>
      </c>
      <c r="K88" s="538" t="n">
        <v>0</v>
      </c>
      <c r="L88" s="538" t="n">
        <v>0</v>
      </c>
      <c r="M88" s="538" t="n">
        <v>1453</v>
      </c>
      <c r="N88" s="538" t="n">
        <v>825</v>
      </c>
      <c r="O88" s="538" t="n">
        <v>454</v>
      </c>
      <c r="P88" s="538" t="n">
        <v>364</v>
      </c>
      <c r="Q88" s="538" t="n">
        <v>210</v>
      </c>
      <c r="R88" s="538" t="n">
        <v>352</v>
      </c>
      <c r="S88" s="538" t="n">
        <v>554</v>
      </c>
      <c r="T88" s="539" t="n">
        <v>495</v>
      </c>
      <c r="U88" s="540" t="n">
        <v>589</v>
      </c>
      <c r="V88" s="529" t="n">
        <v>3364</v>
      </c>
      <c r="W88" s="529">
        <f>SUM(J88:U88)</f>
        <v/>
      </c>
      <c r="X88" s="530">
        <f>AVERAGE(S88:U88)</f>
        <v/>
      </c>
      <c r="Y88" s="529">
        <f>(S88+T88+U88)*V88</f>
        <v/>
      </c>
      <c r="Z88" s="549">
        <f>W88*V88</f>
        <v/>
      </c>
      <c r="AA88" s="531">
        <f>Z88/SUM($Z$2:$Z$100)</f>
        <v/>
      </c>
      <c r="AB88" s="50">
        <f>SUM($AA$2:AA88)</f>
        <v/>
      </c>
      <c r="AC88" s="45">
        <f>IF(AB88&lt;=70%,"A",IF(AB88&lt;=90%,"B","C"))</f>
        <v/>
      </c>
      <c r="AD88" s="529">
        <f>AVERAGE(J88:U88)</f>
        <v/>
      </c>
      <c r="AE88" s="529">
        <f>_xlfn.STDEV.P(J88:U88)</f>
        <v/>
      </c>
      <c r="AF88" s="532">
        <f>IF(AD88=0,0,AE88/AD88)</f>
        <v/>
      </c>
      <c r="AG88" s="45">
        <f>IF(AF88&lt;0.5,"X",IF(AF88&lt;=1,"Y","Z"))</f>
        <v/>
      </c>
      <c r="AH88" s="45">
        <f>AC88&amp;AG88</f>
        <v/>
      </c>
      <c r="AI88" s="52">
        <f>IF(AH88="CZ",0%,IF(AH88="BZ",0%,IF(AH88="CY",5%,IF(I88="사계절",10%,IF(I88="봄",20%,IF(I88="여름",0%,IF(I88="가을",0%,IF(I88="겨울",0%,10%))))))))</f>
        <v/>
      </c>
      <c r="AJ88" s="289">
        <f>IF(AI88=0,"발주안함","발주")</f>
        <v/>
      </c>
      <c r="AK88" s="307">
        <f>IF(AC88="A",IF(AG88="X","AX - 중간재고+월1회(LCL)",IF(AG88="Y","AY - 낮은재고+격주1회","AZ - 중단")),IF(AC88="B",IF(AG88="X","BX - 낮은재고+격월1회",IF(AG88="Y","BY - 최소재고+분기1회","BZ - 중단")),IF(AG88="X","CX - 중단(재고소진만)",IF(AG88="Y","CY - 중단(재고소진만)","CZ - 즉시단종"))))</f>
        <v/>
      </c>
    </row>
    <row r="89">
      <c r="A89" s="287" t="n">
        <v>87</v>
      </c>
      <c r="B89" s="472" t="inlineStr">
        <is>
          <t>기존제품</t>
        </is>
      </c>
      <c r="C89" s="431" t="inlineStr">
        <is>
          <t>ABC88</t>
        </is>
      </c>
      <c r="D89" s="536" t="n"/>
      <c r="E89" s="524" t="n"/>
      <c r="F89" s="42" t="n"/>
      <c r="G89" s="42" t="n"/>
      <c r="H89" s="42" t="n"/>
      <c r="I89" s="45" t="inlineStr">
        <is>
          <t>사계절</t>
        </is>
      </c>
      <c r="J89" s="537" t="n">
        <v>61</v>
      </c>
      <c r="K89" s="538" t="n">
        <v>50</v>
      </c>
      <c r="L89" s="538" t="n">
        <v>48</v>
      </c>
      <c r="M89" s="538" t="n">
        <v>56</v>
      </c>
      <c r="N89" s="538" t="n">
        <v>48</v>
      </c>
      <c r="O89" s="538" t="n">
        <v>30</v>
      </c>
      <c r="P89" s="538" t="n">
        <v>18</v>
      </c>
      <c r="Q89" s="538" t="n">
        <v>23</v>
      </c>
      <c r="R89" s="538" t="n">
        <v>36</v>
      </c>
      <c r="S89" s="538" t="n">
        <v>31</v>
      </c>
      <c r="T89" s="539" t="n">
        <v>23</v>
      </c>
      <c r="U89" s="540" t="n">
        <v>12</v>
      </c>
      <c r="V89" s="529" t="n">
        <v>39794</v>
      </c>
      <c r="W89" s="529">
        <f>SUM(J89:U89)</f>
        <v/>
      </c>
      <c r="X89" s="530">
        <f>AVERAGE(S89:U89)</f>
        <v/>
      </c>
      <c r="Y89" s="529">
        <f>(S89+T89+U89)*V89</f>
        <v/>
      </c>
      <c r="Z89" s="549">
        <f>W89*V89</f>
        <v/>
      </c>
      <c r="AA89" s="531">
        <f>Z89/SUM($Z$2:$Z$100)</f>
        <v/>
      </c>
      <c r="AB89" s="50">
        <f>SUM($AA$2:AA89)</f>
        <v/>
      </c>
      <c r="AC89" s="45">
        <f>IF(AB89&lt;=70%,"A",IF(AB89&lt;=90%,"B","C"))</f>
        <v/>
      </c>
      <c r="AD89" s="529">
        <f>AVERAGE(J89:U89)</f>
        <v/>
      </c>
      <c r="AE89" s="529">
        <f>_xlfn.STDEV.P(J89:U89)</f>
        <v/>
      </c>
      <c r="AF89" s="532">
        <f>IF(AD89=0,0,AE89/AD89)</f>
        <v/>
      </c>
      <c r="AG89" s="45">
        <f>IF(AF89&lt;0.5,"X",IF(AF89&lt;=1,"Y","Z"))</f>
        <v/>
      </c>
      <c r="AH89" s="45">
        <f>AC89&amp;AG89</f>
        <v/>
      </c>
      <c r="AI89" s="52">
        <f>IF(AH89="CZ",0%,IF(AH89="BZ",0%,IF(AH89="CY",5%,IF(I89="사계절",10%,IF(I89="봄",20%,IF(I89="여름",0%,IF(I89="가을",0%,IF(I89="겨울",0%,10%))))))))</f>
        <v/>
      </c>
      <c r="AJ89" s="289">
        <f>IF(AI89=0,"발주안함","발주")</f>
        <v/>
      </c>
      <c r="AK89" s="307">
        <f>IF(AC89="A",IF(AG89="X","AX - 중간재고+월1회(LCL)",IF(AG89="Y","AY - 낮은재고+격주1회","AZ - 중단")),IF(AC89="B",IF(AG89="X","BX - 낮은재고+격월1회",IF(AG89="Y","BY - 최소재고+분기1회","BZ - 중단")),IF(AG89="X","CX - 중단(재고소진만)",IF(AG89="Y","CY - 중단(재고소진만)","CZ - 즉시단종"))))</f>
        <v/>
      </c>
    </row>
    <row r="90">
      <c r="A90" s="287" t="n">
        <v>88</v>
      </c>
      <c r="B90" s="472" t="inlineStr">
        <is>
          <t>기존제품</t>
        </is>
      </c>
      <c r="C90" s="431" t="inlineStr">
        <is>
          <t>ABC89</t>
        </is>
      </c>
      <c r="D90" s="536" t="n"/>
      <c r="E90" s="524" t="n"/>
      <c r="F90" s="42" t="n"/>
      <c r="G90" s="42" t="n"/>
      <c r="H90" s="42" t="n"/>
      <c r="I90" s="45" t="inlineStr">
        <is>
          <t>사계절</t>
        </is>
      </c>
      <c r="J90" s="537" t="n">
        <v>55</v>
      </c>
      <c r="K90" s="538" t="n">
        <v>61</v>
      </c>
      <c r="L90" s="538" t="n">
        <v>44</v>
      </c>
      <c r="M90" s="538" t="n">
        <v>49</v>
      </c>
      <c r="N90" s="538" t="n">
        <v>36</v>
      </c>
      <c r="O90" s="538" t="n">
        <v>23</v>
      </c>
      <c r="P90" s="538" t="n">
        <v>10</v>
      </c>
      <c r="Q90" s="538" t="n">
        <v>15</v>
      </c>
      <c r="R90" s="538" t="n">
        <v>35</v>
      </c>
      <c r="S90" s="538" t="n">
        <v>22</v>
      </c>
      <c r="T90" s="539" t="n">
        <v>30</v>
      </c>
      <c r="U90" s="540" t="n">
        <v>93</v>
      </c>
      <c r="V90" s="529" t="n">
        <v>36596</v>
      </c>
      <c r="W90" s="529">
        <f>SUM(J90:U90)</f>
        <v/>
      </c>
      <c r="X90" s="530">
        <f>AVERAGE(S90:U90)</f>
        <v/>
      </c>
      <c r="Y90" s="529">
        <f>(S90+T90+U90)*V90</f>
        <v/>
      </c>
      <c r="Z90" s="529">
        <f>W90*V90</f>
        <v/>
      </c>
      <c r="AA90" s="531">
        <f>Z90/SUM($Z$2:$Z$100)</f>
        <v/>
      </c>
      <c r="AB90" s="50">
        <f>SUM($AA$2:AA90)</f>
        <v/>
      </c>
      <c r="AC90" s="45">
        <f>IF(AB90&lt;=70%,"A",IF(AB90&lt;=90%,"B","C"))</f>
        <v/>
      </c>
      <c r="AD90" s="529">
        <f>AVERAGE(J90:U90)</f>
        <v/>
      </c>
      <c r="AE90" s="529">
        <f>_xlfn.STDEV.P(J90:U90)</f>
        <v/>
      </c>
      <c r="AF90" s="532">
        <f>IF(AD90=0,0,AE90/AD90)</f>
        <v/>
      </c>
      <c r="AG90" s="45">
        <f>IF(AF90&lt;0.5,"X",IF(AF90&lt;=1,"Y","Z"))</f>
        <v/>
      </c>
      <c r="AH90" s="45">
        <f>AC90&amp;AG90</f>
        <v/>
      </c>
      <c r="AI90" s="52">
        <f>IF(AH90="CZ",0%,IF(AH90="BZ",0%,IF(AH90="CY",5%,IF(I90="사계절",10%,IF(I90="봄",20%,IF(I90="여름",0%,IF(I90="가을",0%,IF(I90="겨울",0%,10%))))))))</f>
        <v/>
      </c>
      <c r="AJ90" s="289">
        <f>IF(AI90=0,"발주안함","발주")</f>
        <v/>
      </c>
      <c r="AK90" s="307">
        <f>IF(AC90="A",IF(AG90="X","AX - 중간재고+월1회(LCL)",IF(AG90="Y","AY - 낮은재고+격주1회","AZ - 중단")),IF(AC90="B",IF(AG90="X","BX - 낮은재고+격월1회",IF(AG90="Y","BY - 최소재고+분기1회","BZ - 중단")),IF(AG90="X","CX - 중단(재고소진만)",IF(AG90="Y","CY - 중단(재고소진만)","CZ - 즉시단종"))))</f>
        <v/>
      </c>
    </row>
    <row r="91">
      <c r="A91" s="287" t="n">
        <v>91</v>
      </c>
      <c r="B91" s="472" t="inlineStr">
        <is>
          <t>기존제품</t>
        </is>
      </c>
      <c r="C91" s="431" t="inlineStr">
        <is>
          <t>ABC90</t>
        </is>
      </c>
      <c r="D91" s="536" t="n"/>
      <c r="E91" s="524" t="n"/>
      <c r="F91" s="42" t="n"/>
      <c r="G91" s="42" t="n"/>
      <c r="H91" s="42" t="n"/>
      <c r="I91" s="435" t="inlineStr">
        <is>
          <t>겨울</t>
        </is>
      </c>
      <c r="J91" s="537" t="n">
        <v>3</v>
      </c>
      <c r="K91" s="538" t="n">
        <v>1</v>
      </c>
      <c r="L91" s="538" t="n">
        <v>0</v>
      </c>
      <c r="M91" s="538" t="n">
        <v>1</v>
      </c>
      <c r="N91" s="538" t="n">
        <v>1</v>
      </c>
      <c r="O91" s="538" t="n">
        <v>3</v>
      </c>
      <c r="P91" s="538" t="n">
        <v>0</v>
      </c>
      <c r="Q91" s="538" t="n">
        <v>0</v>
      </c>
      <c r="R91" s="538" t="n">
        <v>3</v>
      </c>
      <c r="S91" s="538" t="n">
        <v>16</v>
      </c>
      <c r="T91" s="539" t="n">
        <v>230</v>
      </c>
      <c r="U91" s="540" t="n">
        <v>354</v>
      </c>
      <c r="V91" s="529" t="n">
        <v>28242</v>
      </c>
      <c r="W91" s="529">
        <f>SUM(J91:U91)</f>
        <v/>
      </c>
      <c r="X91" s="530">
        <f>AVERAGE(S91:U91)</f>
        <v/>
      </c>
      <c r="Y91" s="529">
        <f>(S91+T91+U91)*V91</f>
        <v/>
      </c>
      <c r="Z91" s="529">
        <f>W91*V91</f>
        <v/>
      </c>
      <c r="AA91" s="531">
        <f>Z91/SUM($Z$2:$Z$100)</f>
        <v/>
      </c>
      <c r="AB91" s="50">
        <f>SUM($AA$2:AA91)</f>
        <v/>
      </c>
      <c r="AC91" s="45">
        <f>IF(AB91&lt;=70%,"A",IF(AB91&lt;=90%,"B","C"))</f>
        <v/>
      </c>
      <c r="AD91" s="529">
        <f>AVERAGE(J91:U91)</f>
        <v/>
      </c>
      <c r="AE91" s="529">
        <f>_xlfn.STDEV.S(R91:U91)</f>
        <v/>
      </c>
      <c r="AF91" s="532">
        <f>IF(AD91=0,0,AE91/AD91)</f>
        <v/>
      </c>
      <c r="AG91" s="45">
        <f>IF(AF91&lt;0.5,"X",IF(AF91&lt;=1,"Y","Z"))</f>
        <v/>
      </c>
      <c r="AH91" s="45">
        <f>AC91&amp;AG91</f>
        <v/>
      </c>
      <c r="AI91" s="52">
        <f>IF(AH91="CZ",0%,IF(AH91="BZ",0%,IF(AH91="CY",5%,IF(I91="사계절",10%,IF(I91="봄",20%,IF(I91="여름",0%,IF(I91="가을",0%,IF(I91="겨울",0%,10%))))))))</f>
        <v/>
      </c>
      <c r="AJ91" s="289">
        <f>IF(AI91=0,"발주안함","발주")</f>
        <v/>
      </c>
      <c r="AK91" s="307">
        <f>IF(AC91="A",IF(AG91="X","AX - 중간재고+월1회(LCL)",IF(AG91="Y","AY - 낮은재고+격주1회","AZ - 중단")),IF(AC91="B",IF(AG91="X","BX - 낮은재고+격월1회",IF(AG91="Y","BY - 최소재고+분기1회","BZ - 중단")),IF(AG91="X","CX - 중단(재고소진만)",IF(AG91="Y","CY - 중단(재고소진만)","CZ - 즉시단종"))))</f>
        <v/>
      </c>
    </row>
    <row r="92">
      <c r="A92" s="287" t="n">
        <v>86</v>
      </c>
      <c r="B92" s="472" t="inlineStr">
        <is>
          <t>기존제품</t>
        </is>
      </c>
      <c r="C92" s="431" t="inlineStr">
        <is>
          <t>ABC91</t>
        </is>
      </c>
      <c r="D92" s="536" t="n"/>
      <c r="E92" s="524" t="n"/>
      <c r="F92" s="42" t="n"/>
      <c r="G92" s="42" t="n"/>
      <c r="H92" s="42" t="n"/>
      <c r="I92" s="435" t="inlineStr">
        <is>
          <t>사계절</t>
        </is>
      </c>
      <c r="J92" s="537" t="n">
        <v>26</v>
      </c>
      <c r="K92" s="538" t="n">
        <v>24</v>
      </c>
      <c r="L92" s="538" t="n">
        <v>28</v>
      </c>
      <c r="M92" s="538" t="n">
        <v>22</v>
      </c>
      <c r="N92" s="538" t="n">
        <v>34</v>
      </c>
      <c r="O92" s="538" t="n">
        <v>39</v>
      </c>
      <c r="P92" s="538" t="n">
        <v>40</v>
      </c>
      <c r="Q92" s="538" t="n">
        <v>73</v>
      </c>
      <c r="R92" s="538" t="n">
        <v>13</v>
      </c>
      <c r="S92" s="538" t="n">
        <v>21</v>
      </c>
      <c r="T92" s="539" t="n">
        <v>114</v>
      </c>
      <c r="U92" s="540" t="n">
        <v>141</v>
      </c>
      <c r="V92" s="529" t="n">
        <v>29825</v>
      </c>
      <c r="W92" s="529">
        <f>SUM(J92:U92)</f>
        <v/>
      </c>
      <c r="X92" s="530">
        <f>AVERAGE(S92:U92)</f>
        <v/>
      </c>
      <c r="Y92" s="529">
        <f>(S92+T92+U92)*V92</f>
        <v/>
      </c>
      <c r="Z92" s="529">
        <f>W92*V92</f>
        <v/>
      </c>
      <c r="AA92" s="531">
        <f>Z92/SUM($Z$2:$Z$100)</f>
        <v/>
      </c>
      <c r="AB92" s="50">
        <f>SUM($AA$2:AA92)</f>
        <v/>
      </c>
      <c r="AC92" s="45">
        <f>IF(AB92&lt;=70%,"A",IF(AB92&lt;=90%,"B","C"))</f>
        <v/>
      </c>
      <c r="AD92" s="529">
        <f>AVERAGE(J92:U92)</f>
        <v/>
      </c>
      <c r="AE92" s="529">
        <f>_xlfn.STDEV.P(J92:U92)</f>
        <v/>
      </c>
      <c r="AF92" s="532">
        <f>IF(AD92=0,0,AE92/AD92)</f>
        <v/>
      </c>
      <c r="AG92" s="45">
        <f>IF(AF92&lt;0.5,"X",IF(AF92&lt;=1,"Y","Z"))</f>
        <v/>
      </c>
      <c r="AH92" s="45">
        <f>AC92&amp;AG92</f>
        <v/>
      </c>
      <c r="AI92" s="52">
        <f>IF(AH92="CZ",0%,IF(AH92="BZ",0%,IF(AH92="CY",5%,IF(I92="사계절",10%,IF(I92="봄",20%,IF(I92="여름",0%,IF(I92="가을",0%,IF(I92="겨울",0%,10%))))))))</f>
        <v/>
      </c>
      <c r="AJ92" s="289">
        <f>IF(AI92=0,"발주안함","발주")</f>
        <v/>
      </c>
      <c r="AK92" s="307">
        <f>IF(AC92="A",IF(AG92="X","AX - 중간재고+월1회(LCL)",IF(AG92="Y","AY - 낮은재고+격주1회","AZ - 중단")),IF(AC92="B",IF(AG92="X","BX - 낮은재고+격월1회",IF(AG92="Y","BY - 최소재고+분기1회","BZ - 중단")),IF(AG92="X","CX - 중단(재고소진만)",IF(AG92="Y","CY - 중단(재고소진만)","CZ - 즉시단종"))))</f>
        <v/>
      </c>
    </row>
    <row r="93">
      <c r="A93" s="287" t="n">
        <v>92</v>
      </c>
      <c r="B93" s="472" t="inlineStr">
        <is>
          <t>기존제품</t>
        </is>
      </c>
      <c r="C93" s="431" t="inlineStr">
        <is>
          <t>ABC92</t>
        </is>
      </c>
      <c r="D93" s="536" t="n"/>
      <c r="E93" s="524" t="n"/>
      <c r="F93" s="42" t="n"/>
      <c r="G93" s="42" t="n"/>
      <c r="H93" s="42" t="n"/>
      <c r="I93" s="45" t="inlineStr">
        <is>
          <t>사계절</t>
        </is>
      </c>
      <c r="J93" s="537" t="n">
        <v>177</v>
      </c>
      <c r="K93" s="538" t="n">
        <v>43</v>
      </c>
      <c r="L93" s="538" t="n">
        <v>0</v>
      </c>
      <c r="M93" s="538" t="n">
        <v>2</v>
      </c>
      <c r="N93" s="538" t="n">
        <v>0</v>
      </c>
      <c r="O93" s="538" t="n">
        <v>1</v>
      </c>
      <c r="P93" s="538" t="n">
        <v>0</v>
      </c>
      <c r="Q93" s="538" t="n">
        <v>0</v>
      </c>
      <c r="R93" s="538" t="n">
        <v>13</v>
      </c>
      <c r="S93" s="538" t="n">
        <v>128</v>
      </c>
      <c r="T93" s="539" t="n">
        <v>70</v>
      </c>
      <c r="U93" s="540" t="n">
        <v>32</v>
      </c>
      <c r="V93" s="529" t="n">
        <v>36596</v>
      </c>
      <c r="W93" s="529">
        <f>SUM(J93:U93)</f>
        <v/>
      </c>
      <c r="X93" s="530">
        <f>AVERAGE(S93:U93)</f>
        <v/>
      </c>
      <c r="Y93" s="529">
        <f>(S93+T93+U93)*V93</f>
        <v/>
      </c>
      <c r="Z93" s="529">
        <f>W93*V93</f>
        <v/>
      </c>
      <c r="AA93" s="531">
        <f>Z93/SUM($Z$2:$Z$100)</f>
        <v/>
      </c>
      <c r="AB93" s="50">
        <f>SUM($AA$2:AA93)</f>
        <v/>
      </c>
      <c r="AC93" s="45">
        <f>IF(AB93&lt;=70%,"A",IF(AB93&lt;=90%,"B","C"))</f>
        <v/>
      </c>
      <c r="AD93" s="529">
        <f>AVERAGE(J93:U93)</f>
        <v/>
      </c>
      <c r="AE93" s="529">
        <f>_xlfn.STDEV.P(J93:U93)</f>
        <v/>
      </c>
      <c r="AF93" s="532">
        <f>IF(AD93=0,0,AE93/AD93)</f>
        <v/>
      </c>
      <c r="AG93" s="45">
        <f>IF(AF93&lt;0.5,"X",IF(AF93&lt;=1,"Y","Z"))</f>
        <v/>
      </c>
      <c r="AH93" s="45">
        <f>AC93&amp;AG93</f>
        <v/>
      </c>
      <c r="AI93" s="52">
        <f>IF(AH93="CZ",0%,IF(AH93="BZ",0%,IF(AH93="CY",5%,IF(I93="사계절",10%,IF(I93="봄",20%,IF(I93="여름",0%,IF(I93="가을",0%,IF(I93="겨울",0%,10%))))))))</f>
        <v/>
      </c>
      <c r="AJ93" s="289">
        <f>IF(AI93=0,"발주안함","발주")</f>
        <v/>
      </c>
      <c r="AK93" s="307">
        <f>IF(AC93="A",IF(AG93="X","AX - 중간재고+월1회(LCL)",IF(AG93="Y","AY - 낮은재고+격주1회","AZ - 중단")),IF(AC93="B",IF(AG93="X","BX - 낮은재고+격월1회",IF(AG93="Y","BY - 최소재고+분기1회","BZ - 중단")),IF(AG93="X","CX - 중단(재고소진만)",IF(AG93="Y","CY - 중단(재고소진만)","CZ - 즉시단종"))))</f>
        <v/>
      </c>
    </row>
    <row r="94">
      <c r="A94" s="287" t="n">
        <v>94</v>
      </c>
      <c r="B94" s="472" t="inlineStr">
        <is>
          <t>기존제품</t>
        </is>
      </c>
      <c r="C94" s="431" t="inlineStr">
        <is>
          <t>ABC93</t>
        </is>
      </c>
      <c r="D94" s="536" t="n"/>
      <c r="E94" s="524" t="n"/>
      <c r="F94" s="42" t="n"/>
      <c r="G94" s="42" t="n"/>
      <c r="H94" s="42" t="n"/>
      <c r="I94" s="45" t="inlineStr">
        <is>
          <t>사계절</t>
        </is>
      </c>
      <c r="J94" s="537" t="n">
        <v>17</v>
      </c>
      <c r="K94" s="538" t="n">
        <v>1</v>
      </c>
      <c r="L94" s="538" t="n">
        <v>4</v>
      </c>
      <c r="M94" s="538" t="n">
        <v>0</v>
      </c>
      <c r="N94" s="538" t="n">
        <v>0</v>
      </c>
      <c r="O94" s="538" t="n">
        <v>0</v>
      </c>
      <c r="P94" s="538" t="n">
        <v>0</v>
      </c>
      <c r="Q94" s="538" t="n">
        <v>0</v>
      </c>
      <c r="R94" s="538" t="n">
        <v>8</v>
      </c>
      <c r="S94" s="538" t="n">
        <v>75</v>
      </c>
      <c r="T94" s="539" t="n">
        <v>68</v>
      </c>
      <c r="U94" s="540" t="n">
        <v>17</v>
      </c>
      <c r="V94" s="529" t="n">
        <v>89631</v>
      </c>
      <c r="W94" s="529">
        <f>SUM(J94:U94)</f>
        <v/>
      </c>
      <c r="X94" s="530">
        <f>AVERAGE(S94:U94)</f>
        <v/>
      </c>
      <c r="Y94" s="529">
        <f>(S94+T94+U94)*V94</f>
        <v/>
      </c>
      <c r="Z94" s="549">
        <f>W94*V94</f>
        <v/>
      </c>
      <c r="AA94" s="531">
        <f>Z94/SUM($Z$2:$Z$100)</f>
        <v/>
      </c>
      <c r="AB94" s="50">
        <f>SUM($AA$2:AA94)</f>
        <v/>
      </c>
      <c r="AC94" s="45">
        <f>IF(AB94&lt;=70%,"A",IF(AB94&lt;=90%,"B","C"))</f>
        <v/>
      </c>
      <c r="AD94" s="529">
        <f>AVERAGE(J94:U94)</f>
        <v/>
      </c>
      <c r="AE94" s="529">
        <f>_xlfn.STDEV.P(J94:U94)</f>
        <v/>
      </c>
      <c r="AF94" s="532">
        <f>IF(AD94=0,0,AE94/AD94)</f>
        <v/>
      </c>
      <c r="AG94" s="45">
        <f>IF(AF94&lt;0.5,"X",IF(AF94&lt;=1,"Y","Z"))</f>
        <v/>
      </c>
      <c r="AH94" s="45">
        <f>AC94&amp;AG94</f>
        <v/>
      </c>
      <c r="AI94" s="52">
        <f>IF(AH94="CZ",0%,IF(AH94="BZ",0%,IF(AH94="CY",5%,IF(I94="사계절",10%,IF(I94="봄",20%,IF(I94="여름",0%,IF(I94="가을",0%,IF(I94="겨울",0%,10%))))))))</f>
        <v/>
      </c>
      <c r="AJ94" s="289">
        <f>IF(AI94=0,"발주안함","발주")</f>
        <v/>
      </c>
      <c r="AK94" s="307">
        <f>IF(AC94="A",IF(AG94="X","AX - 중간재고+월1회(LCL)",IF(AG94="Y","AY - 낮은재고+격주1회","AZ - 중단")),IF(AC94="B",IF(AG94="X","BX - 낮은재고+격월1회",IF(AG94="Y","BY - 최소재고+분기1회","BZ - 중단")),IF(AG94="X","CX - 중단(재고소진만)",IF(AG94="Y","CY - 중단(재고소진만)","CZ - 즉시단종"))))</f>
        <v/>
      </c>
    </row>
    <row r="95">
      <c r="A95" s="287" t="n">
        <v>82</v>
      </c>
      <c r="B95" s="472" t="inlineStr">
        <is>
          <t>기존제품</t>
        </is>
      </c>
      <c r="C95" s="431" t="inlineStr">
        <is>
          <t>ABC94</t>
        </is>
      </c>
      <c r="D95" s="536" t="n"/>
      <c r="E95" s="524" t="n"/>
      <c r="F95" s="42" t="n"/>
      <c r="G95" s="42" t="n"/>
      <c r="H95" s="42" t="n"/>
      <c r="I95" s="45" t="inlineStr">
        <is>
          <t>사계절</t>
        </is>
      </c>
      <c r="J95" s="537" t="n">
        <v>0</v>
      </c>
      <c r="K95" s="538" t="n">
        <v>0</v>
      </c>
      <c r="L95" s="538" t="n">
        <v>0</v>
      </c>
      <c r="M95" s="538" t="n">
        <v>2</v>
      </c>
      <c r="N95" s="538" t="n">
        <v>6</v>
      </c>
      <c r="O95" s="538" t="n">
        <v>13</v>
      </c>
      <c r="P95" s="538" t="n">
        <v>86</v>
      </c>
      <c r="Q95" s="538" t="n">
        <v>162</v>
      </c>
      <c r="R95" s="538" t="n">
        <v>179</v>
      </c>
      <c r="S95" s="538" t="n">
        <v>99</v>
      </c>
      <c r="T95" s="539" t="n">
        <v>82</v>
      </c>
      <c r="U95" s="540" t="n">
        <v>79</v>
      </c>
      <c r="V95" s="529" t="n">
        <v>24030</v>
      </c>
      <c r="W95" s="529">
        <f>SUM(J95:U95)</f>
        <v/>
      </c>
      <c r="X95" s="530">
        <f>AVERAGE(S95:U95)</f>
        <v/>
      </c>
      <c r="Y95" s="529">
        <f>(S95+T95+U95)*V95</f>
        <v/>
      </c>
      <c r="Z95" s="549">
        <f>W95*V95</f>
        <v/>
      </c>
      <c r="AA95" s="531">
        <f>Z95/SUM($Z$2:$Z$100)</f>
        <v/>
      </c>
      <c r="AB95" s="50">
        <f>SUM($AA$2:AA95)</f>
        <v/>
      </c>
      <c r="AC95" s="45">
        <f>IF(AB95&lt;=70%,"A",IF(AB95&lt;=90%,"B","C"))</f>
        <v/>
      </c>
      <c r="AD95" s="529">
        <f>AVERAGE(J95:U95)</f>
        <v/>
      </c>
      <c r="AE95" s="529">
        <f>_xlfn.STDEV.P(J95:U95)</f>
        <v/>
      </c>
      <c r="AF95" s="532">
        <f>IF(AD95=0,0,AE95/AD95)</f>
        <v/>
      </c>
      <c r="AG95" s="45">
        <f>IF(AF95&lt;0.5,"X",IF(AF95&lt;=1,"Y","Z"))</f>
        <v/>
      </c>
      <c r="AH95" s="45">
        <f>AC95&amp;AG95</f>
        <v/>
      </c>
      <c r="AI95" s="52">
        <f>IF(AH95="CZ",0%,IF(AH95="BZ",0%,IF(AH95="CY",5%,IF(I95="사계절",10%,IF(I95="봄",20%,IF(I95="여름",0%,IF(I95="가을",0%,IF(I95="겨울",0%,10%))))))))</f>
        <v/>
      </c>
      <c r="AJ95" s="289">
        <f>IF(AI95=0,"발주안함","발주")</f>
        <v/>
      </c>
      <c r="AK95" s="307">
        <f>IF(AC95="A",IF(AG95="X","AX - 중간재고+월1회(LCL)",IF(AG95="Y","AY - 낮은재고+격주1회","AZ - 중단")),IF(AC95="B",IF(AG95="X","BX - 낮은재고+격월1회",IF(AG95="Y","BY - 최소재고+분기1회","BZ - 중단")),IF(AG95="X","CX - 중단(재고소진만)",IF(AG95="Y","CY - 중단(재고소진만)","CZ - 즉시단종"))))</f>
        <v/>
      </c>
    </row>
    <row r="96">
      <c r="A96" s="287" t="n">
        <v>93</v>
      </c>
      <c r="B96" s="472" t="inlineStr">
        <is>
          <t>기존제품</t>
        </is>
      </c>
      <c r="C96" s="431" t="inlineStr">
        <is>
          <t>ABC95</t>
        </is>
      </c>
      <c r="D96" s="536" t="n"/>
      <c r="E96" s="524" t="n"/>
      <c r="F96" s="42" t="n"/>
      <c r="G96" s="42" t="n"/>
      <c r="H96" s="42" t="n"/>
      <c r="I96" s="45" t="inlineStr">
        <is>
          <t>사계절</t>
        </is>
      </c>
      <c r="J96" s="537" t="n">
        <v>20</v>
      </c>
      <c r="K96" s="538" t="n">
        <v>21</v>
      </c>
      <c r="L96" s="538" t="n">
        <v>29</v>
      </c>
      <c r="M96" s="538" t="n">
        <v>28</v>
      </c>
      <c r="N96" s="538" t="n">
        <v>0</v>
      </c>
      <c r="O96" s="538" t="n">
        <v>0</v>
      </c>
      <c r="P96" s="538" t="n">
        <v>0</v>
      </c>
      <c r="Q96" s="538" t="n">
        <v>1</v>
      </c>
      <c r="R96" s="538" t="n">
        <v>2</v>
      </c>
      <c r="S96" s="538" t="n">
        <v>13</v>
      </c>
      <c r="T96" s="539" t="n">
        <v>94</v>
      </c>
      <c r="U96" s="540" t="n">
        <v>1</v>
      </c>
      <c r="V96" s="529" t="n">
        <v>81197</v>
      </c>
      <c r="W96" s="529">
        <f>SUM(J96:U96)</f>
        <v/>
      </c>
      <c r="X96" s="530">
        <f>AVERAGE(S96:U96)</f>
        <v/>
      </c>
      <c r="Y96" s="529">
        <f>(S96+T96+U96)*V96</f>
        <v/>
      </c>
      <c r="Z96" s="549">
        <f>W96*V96</f>
        <v/>
      </c>
      <c r="AA96" s="531">
        <f>Z96/SUM($Z$2:$Z$100)</f>
        <v/>
      </c>
      <c r="AB96" s="50">
        <f>SUM($AA$2:AA96)</f>
        <v/>
      </c>
      <c r="AC96" s="45">
        <f>IF(AB96&lt;=70%,"A",IF(AB96&lt;=90%,"B","C"))</f>
        <v/>
      </c>
      <c r="AD96" s="529">
        <f>AVERAGE(J96:U96)</f>
        <v/>
      </c>
      <c r="AE96" s="529">
        <f>_xlfn.STDEV.P(J96:U96)</f>
        <v/>
      </c>
      <c r="AF96" s="532">
        <f>IF(AD96=0,0,AE96/AD96)</f>
        <v/>
      </c>
      <c r="AG96" s="45">
        <f>IF(AF96&lt;0.5,"X",IF(AF96&lt;=1,"Y","Z"))</f>
        <v/>
      </c>
      <c r="AH96" s="45">
        <f>AC96&amp;AG96</f>
        <v/>
      </c>
      <c r="AI96" s="52">
        <f>IF(AH96="CZ",0%,IF(AH96="BZ",0%,IF(AH96="CY",5%,IF(I96="사계절",10%,IF(I96="봄",20%,IF(I96="여름",0%,IF(I96="가을",0%,IF(I96="겨울",0%,10%))))))))</f>
        <v/>
      </c>
      <c r="AJ96" s="289">
        <f>IF(AI96=0,"발주안함","발주")</f>
        <v/>
      </c>
      <c r="AK96" s="307">
        <f>IF(AC96="A",IF(AG96="X","AX - 중간재고+월1회(LCL)",IF(AG96="Y","AY - 낮은재고+격주1회","AZ - 중단")),IF(AC96="B",IF(AG96="X","BX - 낮은재고+격월1회",IF(AG96="Y","BY - 최소재고+분기1회","BZ - 중단")),IF(AG96="X","CX - 중단(재고소진만)",IF(AG96="Y","CY - 중단(재고소진만)","CZ - 즉시단종"))))</f>
        <v/>
      </c>
    </row>
    <row r="97">
      <c r="A97" s="287" t="n">
        <v>95</v>
      </c>
      <c r="B97" s="472" t="inlineStr">
        <is>
          <t>기존제품</t>
        </is>
      </c>
      <c r="C97" s="431" t="inlineStr">
        <is>
          <t>ABC96</t>
        </is>
      </c>
      <c r="D97" s="536" t="n"/>
      <c r="E97" s="524" t="n"/>
      <c r="F97" s="42" t="n"/>
      <c r="G97" s="42" t="n"/>
      <c r="H97" s="42" t="n"/>
      <c r="I97" s="435" t="inlineStr">
        <is>
          <t>사계절</t>
        </is>
      </c>
      <c r="J97" s="537" t="n">
        <v>55</v>
      </c>
      <c r="K97" s="538" t="n">
        <v>66</v>
      </c>
      <c r="L97" s="538" t="n">
        <v>69</v>
      </c>
      <c r="M97" s="538" t="n">
        <v>68</v>
      </c>
      <c r="N97" s="538" t="n">
        <v>30</v>
      </c>
      <c r="O97" s="538" t="n">
        <v>41</v>
      </c>
      <c r="P97" s="538" t="n">
        <v>18</v>
      </c>
      <c r="Q97" s="538" t="n">
        <v>23</v>
      </c>
      <c r="R97" s="538" t="n">
        <v>31</v>
      </c>
      <c r="S97" s="538" t="n">
        <v>55</v>
      </c>
      <c r="T97" s="539" t="n">
        <v>378</v>
      </c>
      <c r="U97" s="540" t="n">
        <v>28</v>
      </c>
      <c r="V97" s="529" t="n">
        <v>19177</v>
      </c>
      <c r="W97" s="529">
        <f>SUM(J97:U97)</f>
        <v/>
      </c>
      <c r="X97" s="530">
        <f>AVERAGE(S97:U97)</f>
        <v/>
      </c>
      <c r="Y97" s="529">
        <f>(S97+T97+U97)*V97</f>
        <v/>
      </c>
      <c r="Z97" s="529">
        <f>W97*V97</f>
        <v/>
      </c>
      <c r="AA97" s="531">
        <f>Z97/SUM($Z$2:$Z$100)</f>
        <v/>
      </c>
      <c r="AB97" s="50">
        <f>SUM($AA$2:AA97)</f>
        <v/>
      </c>
      <c r="AC97" s="45">
        <f>IF(AB97&lt;=70%,"A",IF(AB97&lt;=90%,"B","C"))</f>
        <v/>
      </c>
      <c r="AD97" s="529">
        <f>AVERAGE(J97:U97)</f>
        <v/>
      </c>
      <c r="AE97" s="529">
        <f>_xlfn.STDEV.P(J97:U97)</f>
        <v/>
      </c>
      <c r="AF97" s="532">
        <f>IF(AD97=0,0,AE97/AD97)</f>
        <v/>
      </c>
      <c r="AG97" s="45">
        <f>IF(AF97&lt;0.5,"X",IF(AF97&lt;=1,"Y","Z"))</f>
        <v/>
      </c>
      <c r="AH97" s="45">
        <f>AC97&amp;AG97</f>
        <v/>
      </c>
      <c r="AI97" s="52">
        <f>IF(AH97="CZ",0%,IF(AH97="BZ",0%,IF(AH97="CY",5%,IF(I97="사계절",10%,IF(I97="봄",20%,IF(I97="여름",0%,IF(I97="가을",0%,IF(I97="겨울",0%,10%))))))))</f>
        <v/>
      </c>
      <c r="AJ97" s="289">
        <f>IF(AI97=0,"발주안함","발주")</f>
        <v/>
      </c>
      <c r="AK97" s="307">
        <f>IF(AC97="A",IF(AG97="X","AX - 중간재고+월1회(LCL)",IF(AG97="Y","AY - 낮은재고+격주1회","AZ - 중단")),IF(AC97="B",IF(AG97="X","BX - 낮은재고+격월1회",IF(AG97="Y","BY - 최소재고+분기1회","BZ - 중단")),IF(AG97="X","CX - 중단(재고소진만)",IF(AG97="Y","CY - 중단(재고소진만)","CZ - 즉시단종"))))</f>
        <v/>
      </c>
    </row>
    <row r="98">
      <c r="A98" s="287" t="n">
        <v>96</v>
      </c>
      <c r="B98" s="472" t="inlineStr">
        <is>
          <t>기존제품</t>
        </is>
      </c>
      <c r="C98" s="431" t="inlineStr">
        <is>
          <t>ABC97</t>
        </is>
      </c>
      <c r="D98" s="536" t="n"/>
      <c r="E98" s="524" t="n"/>
      <c r="F98" s="42" t="n"/>
      <c r="G98" s="42" t="n"/>
      <c r="H98" s="42" t="n"/>
      <c r="I98" s="45" t="inlineStr">
        <is>
          <t>겨울</t>
        </is>
      </c>
      <c r="J98" s="537" t="n">
        <v>0</v>
      </c>
      <c r="K98" s="538" t="n">
        <v>0</v>
      </c>
      <c r="L98" s="538" t="n">
        <v>0</v>
      </c>
      <c r="M98" s="538" t="n">
        <v>426</v>
      </c>
      <c r="N98" s="538" t="n">
        <v>33</v>
      </c>
      <c r="O98" s="538" t="n">
        <v>0</v>
      </c>
      <c r="P98" s="538" t="n">
        <v>0</v>
      </c>
      <c r="Q98" s="538" t="n">
        <v>0</v>
      </c>
      <c r="R98" s="538" t="n">
        <v>0</v>
      </c>
      <c r="S98" s="538" t="n">
        <v>0</v>
      </c>
      <c r="T98" s="539" t="n">
        <v>111</v>
      </c>
      <c r="U98" s="540" t="n">
        <v>18</v>
      </c>
      <c r="V98" s="529" t="n">
        <v>27668</v>
      </c>
      <c r="W98" s="529">
        <f>SUM(J98:U98)</f>
        <v/>
      </c>
      <c r="X98" s="530">
        <f>AVERAGE(S98:U98)</f>
        <v/>
      </c>
      <c r="Y98" s="529">
        <f>(S98+T98+U98)*V98</f>
        <v/>
      </c>
      <c r="Z98" s="529">
        <f>W98*V98</f>
        <v/>
      </c>
      <c r="AA98" s="531">
        <f>Z98/SUM($Z$2:$Z$100)</f>
        <v/>
      </c>
      <c r="AB98" s="50">
        <f>SUM($AA$2:AA98)</f>
        <v/>
      </c>
      <c r="AC98" s="45">
        <f>IF(AB98&lt;=70%,"A",IF(AB98&lt;=90%,"B","C"))</f>
        <v/>
      </c>
      <c r="AD98" s="529">
        <f>AVERAGE(J98,K98,R98,S98,T98,U98)</f>
        <v/>
      </c>
      <c r="AE98" s="529">
        <f>_xlfn.STDEV.S(J98,K98,R98,S98,T98,U98)</f>
        <v/>
      </c>
      <c r="AF98" s="532">
        <f>IF(AD98=0,0,AE98/AD98)</f>
        <v/>
      </c>
      <c r="AG98" s="45">
        <f>IF(AF98&lt;0.5,"X",IF(AF98&lt;=1,"Y","Z"))</f>
        <v/>
      </c>
      <c r="AH98" s="45">
        <f>AC98&amp;AG98</f>
        <v/>
      </c>
      <c r="AI98" s="52">
        <f>IF(AH98="CZ",0%,IF(AH98="BZ",0%,IF(AH98="CY",5%,IF(I98="사계절",10%,IF(I98="봄",20%,IF(I98="여름",0%,IF(I98="가을",0%,IF(I98="겨울",0%,10%))))))))</f>
        <v/>
      </c>
      <c r="AJ98" s="289">
        <f>IF(AI98=0,"발주안함","발주")</f>
        <v/>
      </c>
      <c r="AK98" s="307">
        <f>IF(AC98="A",IF(AG98="X","AX - 중간재고+월1회(LCL)",IF(AG98="Y","AY - 낮은재고+격주1회","AZ - 중단")),IF(AC98="B",IF(AG98="X","BX - 낮은재고+격월1회",IF(AG98="Y","BY - 최소재고+분기1회","BZ - 중단")),IF(AG98="X","CX - 중단(재고소진만)",IF(AG98="Y","CY - 중단(재고소진만)","CZ - 즉시단종"))))</f>
        <v/>
      </c>
    </row>
    <row r="99">
      <c r="A99" s="287" t="n">
        <v>97</v>
      </c>
      <c r="B99" s="472" t="inlineStr">
        <is>
          <t>기존제품</t>
        </is>
      </c>
      <c r="C99" s="431" t="inlineStr">
        <is>
          <t>ABC98</t>
        </is>
      </c>
      <c r="D99" s="536" t="n"/>
      <c r="E99" s="524" t="n"/>
      <c r="F99" s="42" t="n"/>
      <c r="G99" s="42" t="n"/>
      <c r="H99" s="42" t="n"/>
      <c r="I99" s="45" t="inlineStr">
        <is>
          <t>사계절</t>
        </is>
      </c>
      <c r="J99" s="537" t="n">
        <v>0</v>
      </c>
      <c r="K99" s="538" t="n">
        <v>0</v>
      </c>
      <c r="L99" s="538" t="n">
        <v>0</v>
      </c>
      <c r="M99" s="538" t="n">
        <v>0</v>
      </c>
      <c r="N99" s="538" t="n">
        <v>0</v>
      </c>
      <c r="O99" s="538" t="n">
        <v>0</v>
      </c>
      <c r="P99" s="538" t="n">
        <v>0</v>
      </c>
      <c r="Q99" s="538" t="n">
        <v>0</v>
      </c>
      <c r="R99" s="538" t="n">
        <v>0</v>
      </c>
      <c r="S99" s="538" t="n">
        <v>107</v>
      </c>
      <c r="T99" s="539" t="n">
        <v>34</v>
      </c>
      <c r="U99" s="540" t="n">
        <v>40</v>
      </c>
      <c r="V99" s="529" t="n">
        <v>89631</v>
      </c>
      <c r="W99" s="529">
        <f>SUM(J99:U99)</f>
        <v/>
      </c>
      <c r="X99" s="530">
        <f>AVERAGE(S99:U99)</f>
        <v/>
      </c>
      <c r="Y99" s="529">
        <f>(S99+T99+U99)*V99</f>
        <v/>
      </c>
      <c r="Z99" s="529">
        <f>W99*V99</f>
        <v/>
      </c>
      <c r="AA99" s="531">
        <f>Z99/SUM($Z$2:$Z$100)</f>
        <v/>
      </c>
      <c r="AB99" s="50">
        <f>SUM($AA$2:AA99)</f>
        <v/>
      </c>
      <c r="AC99" s="45">
        <f>IF(AB99&lt;=70%,"A",IF(AB99&lt;=90%,"B","C"))</f>
        <v/>
      </c>
      <c r="AD99" s="529">
        <f>AVERAGE(J99:U99)</f>
        <v/>
      </c>
      <c r="AE99" s="529">
        <f>_xlfn.STDEV.P(J99:U99)</f>
        <v/>
      </c>
      <c r="AF99" s="532">
        <f>IF(AD99=0,0,AE99/AD99)</f>
        <v/>
      </c>
      <c r="AG99" s="45">
        <f>IF(AF99&lt;0.5,"X",IF(AF99&lt;=1,"Y","Z"))</f>
        <v/>
      </c>
      <c r="AH99" s="45">
        <f>AC99&amp;AG99</f>
        <v/>
      </c>
      <c r="AI99" s="52">
        <f>IF(AH99="CZ",0%,IF(AH99="BZ",0%,IF(AH99="CY",5%,IF(I99="사계절",10%,IF(I99="봄",20%,IF(I99="여름",0%,IF(I99="가을",0%,IF(I99="겨울",0%,10%))))))))</f>
        <v/>
      </c>
      <c r="AJ99" s="289">
        <f>IF(AI99=0,"발주안함","발주")</f>
        <v/>
      </c>
      <c r="AK99" s="307">
        <f>IF(AC99="A",IF(AG99="X","AX - 중간재고+월1회(LCL)",IF(AG99="Y","AY - 낮은재고+격주1회","AZ - 중단")),IF(AC99="B",IF(AG99="X","BX - 낮은재고+격월1회",IF(AG99="Y","BY - 최소재고+분기1회","BZ - 중단")),IF(AG99="X","CX - 중단(재고소진만)",IF(AG99="Y","CY - 중단(재고소진만)","CZ - 즉시단종"))))</f>
        <v/>
      </c>
    </row>
    <row r="100">
      <c r="A100" s="287" t="n">
        <v>99</v>
      </c>
      <c r="B100" s="472" t="inlineStr">
        <is>
          <t>기존제품</t>
        </is>
      </c>
      <c r="C100" s="431" t="inlineStr">
        <is>
          <t>ABC99</t>
        </is>
      </c>
      <c r="D100" s="536" t="n"/>
      <c r="E100" s="524" t="n"/>
      <c r="F100" s="42" t="n"/>
      <c r="G100" s="42" t="n"/>
      <c r="H100" s="42" t="n"/>
      <c r="I100" s="432" t="inlineStr">
        <is>
          <t>사계절</t>
        </is>
      </c>
      <c r="J100" s="537" t="n">
        <v>0</v>
      </c>
      <c r="K100" s="538" t="n">
        <v>0</v>
      </c>
      <c r="L100" s="538" t="n">
        <v>0</v>
      </c>
      <c r="M100" s="538" t="n">
        <v>138</v>
      </c>
      <c r="N100" s="538" t="n">
        <v>98</v>
      </c>
      <c r="O100" s="538" t="n">
        <v>44</v>
      </c>
      <c r="P100" s="538" t="n">
        <v>46</v>
      </c>
      <c r="Q100" s="538" t="n">
        <v>38</v>
      </c>
      <c r="R100" s="538" t="n">
        <v>27</v>
      </c>
      <c r="S100" s="538" t="n">
        <v>29</v>
      </c>
      <c r="T100" s="539" t="n">
        <v>41</v>
      </c>
      <c r="U100" s="540" t="n">
        <v>32</v>
      </c>
      <c r="V100" s="529" t="n">
        <v>32309</v>
      </c>
      <c r="W100" s="529">
        <f>SUM(J100:U100)</f>
        <v/>
      </c>
      <c r="X100" s="530">
        <f>AVERAGE(S100:U100)</f>
        <v/>
      </c>
      <c r="Y100" s="529">
        <f>(S100+T100+U100)*V100</f>
        <v/>
      </c>
      <c r="Z100" s="529">
        <f>W100*V100</f>
        <v/>
      </c>
      <c r="AA100" s="531">
        <f>Z100/SUM($Z$2:$Z$100)</f>
        <v/>
      </c>
      <c r="AB100" s="50">
        <f>SUM($AA$2:AA100)</f>
        <v/>
      </c>
      <c r="AC100" s="45">
        <f>IF(AB100&lt;=70%,"A",IF(AB100&lt;=90%,"B","C"))</f>
        <v/>
      </c>
      <c r="AD100" s="529">
        <f>AVERAGE(J100:U100)</f>
        <v/>
      </c>
      <c r="AE100" s="529">
        <f>_xlfn.STDEV.P(J100:U100)</f>
        <v/>
      </c>
      <c r="AF100" s="532">
        <f>IF(AD100=0,0,AE100/AD100)</f>
        <v/>
      </c>
      <c r="AG100" s="45">
        <f>IF(AF100&lt;0.5,"X",IF(AF100&lt;=1,"Y","Z"))</f>
        <v/>
      </c>
      <c r="AH100" s="45">
        <f>AC100&amp;AG100</f>
        <v/>
      </c>
      <c r="AI100" s="52">
        <f>IF(AH100="CZ",0%,IF(AH100="BZ",0%,IF(AH100="CY",5%,IF(I100="사계절",10%,IF(I100="봄",20%,IF(I100="여름",0%,IF(I100="가을",0%,IF(I100="겨울",0%,10%))))))))</f>
        <v/>
      </c>
      <c r="AJ100" s="289">
        <f>IF(AI100=0,"발주안함","발주")</f>
        <v/>
      </c>
      <c r="AK100" s="307">
        <f>IF(AC100="A",IF(AG100="X","AX - 중간재고+월1회(LCL)",IF(AG100="Y","AY - 낮은재고+격주1회","AZ - 중단")),IF(AC100="B",IF(AG100="X","BX - 낮은재고+격월1회",IF(AG100="Y","BY - 최소재고+분기1회","BZ - 중단")),IF(AG100="X","CX - 중단(재고소진만)",IF(AG100="Y","CY - 중단(재고소진만)","CZ - 즉시단종"))))</f>
        <v/>
      </c>
    </row>
  </sheetData>
  <conditionalFormatting sqref="D2:D100">
    <cfRule type="duplicateValues" priority="57" dxfId="1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B1:W100"/>
  <sheetViews>
    <sheetView showGridLines="0" zoomScaleNormal="100" workbookViewId="0">
      <pane xSplit="3" ySplit="1" topLeftCell="D82" activePane="bottomRight" state="frozen"/>
      <selection pane="topRight" activeCell="D1" sqref="D1"/>
      <selection pane="bottomLeft" activeCell="A2" sqref="A2"/>
      <selection pane="bottomRight" activeCell="J83" sqref="J83"/>
    </sheetView>
  </sheetViews>
  <sheetFormatPr baseColWidth="8" defaultColWidth="19" defaultRowHeight="16.5"/>
  <cols>
    <col width="0.5" customWidth="1" style="480" min="1" max="1"/>
    <col width="6.5" customWidth="1" style="480" min="2" max="2"/>
    <col width="7.125" bestFit="1" customWidth="1" style="480" min="3" max="3"/>
    <col width="9" customWidth="1" style="480" min="4" max="4"/>
    <col width="8.375" customWidth="1" style="480" min="5" max="5"/>
    <col width="6.25" customWidth="1" style="480" min="6" max="6"/>
    <col width="5.875" customWidth="1" style="480" min="7" max="7"/>
    <col width="8.375" customWidth="1" style="480" min="8" max="8"/>
    <col width="10.25" customWidth="1" style="480" min="9" max="9"/>
    <col width="12" customWidth="1" style="480" min="10" max="10"/>
    <col width="15.875" customWidth="1" style="550" min="11" max="11"/>
    <col width="15.875" customWidth="1" style="551" min="12" max="12"/>
    <col width="18.375" customWidth="1" style="551" min="13" max="13"/>
    <col width="10.25" customWidth="1" style="480" min="14" max="14"/>
    <col width="9.125" customWidth="1" style="480" min="15" max="15"/>
    <col width="13.125" customWidth="1" style="480" min="16" max="16"/>
    <col width="10.625" customWidth="1" style="480" min="17" max="17"/>
    <col width="11.5" customWidth="1" style="480" min="18" max="18"/>
    <col width="1.625" customWidth="1" style="480" min="19" max="19"/>
    <col width="18.25" customWidth="1" style="480" min="20" max="20"/>
    <col width="35.125" bestFit="1" customWidth="1" style="480" min="21" max="21"/>
    <col width="35.625" customWidth="1" style="480" min="22" max="22"/>
    <col width="25.375" customWidth="1" style="480" min="23" max="23"/>
  </cols>
  <sheetData>
    <row r="1" ht="36.75" customHeight="1" s="480">
      <c r="B1" s="315" t="inlineStr">
        <is>
          <t>구분</t>
        </is>
      </c>
      <c r="C1" s="284" t="inlineStr">
        <is>
          <t>SKU코드</t>
        </is>
      </c>
      <c r="D1" s="284" t="inlineStr">
        <is>
          <t>제품명</t>
        </is>
      </c>
      <c r="E1" s="284" t="inlineStr">
        <is>
          <t>카테고리</t>
        </is>
      </c>
      <c r="F1" s="284" t="inlineStr">
        <is>
          <t>ABC
등급</t>
        </is>
      </c>
      <c r="G1" s="284" t="inlineStr">
        <is>
          <t>XYZ
등급</t>
        </is>
      </c>
      <c r="H1" s="284" t="inlineStr">
        <is>
          <t>현재고</t>
        </is>
      </c>
      <c r="I1" s="284" t="inlineStr">
        <is>
          <t>안전재고</t>
        </is>
      </c>
      <c r="J1" s="284" t="inlineStr">
        <is>
          <t>최근3개월 
월 평균출고</t>
        </is>
      </c>
      <c r="K1" s="552" t="inlineStr">
        <is>
          <t>월 재고회전율
(Turnover rate)</t>
        </is>
      </c>
      <c r="L1" s="553" t="inlineStr">
        <is>
          <t>연 재고회전율</t>
        </is>
      </c>
      <c r="M1" s="554" t="inlineStr">
        <is>
          <t>재고회전일
(Days of Inventory)</t>
        </is>
      </c>
      <c r="N1" s="284" t="inlineStr">
        <is>
          <t>재고상태</t>
        </is>
      </c>
      <c r="O1" s="284" t="inlineStr">
        <is>
          <t>회전율
평가</t>
        </is>
      </c>
      <c r="P1" s="283" t="inlineStr">
        <is>
          <t>권장조치</t>
        </is>
      </c>
      <c r="Q1" s="284" t="inlineStr">
        <is>
          <t>매입원가</t>
        </is>
      </c>
      <c r="R1" s="283" t="inlineStr">
        <is>
          <t>재고금액</t>
        </is>
      </c>
      <c r="S1" s="218" t="n"/>
      <c r="T1" s="203" t="inlineStr">
        <is>
          <t>재고상태 판단 기준</t>
        </is>
      </c>
      <c r="V1" s="267" t="inlineStr">
        <is>
          <t>A등급 기준 (등급별 차등적용) -&gt; 왼쪽 N칼럼 재고상태 수식 참조</t>
        </is>
      </c>
    </row>
    <row r="2">
      <c r="B2" s="397">
        <f>_xlfn.XLOOKUP(C2,'ABC-XYZ분석 (2)'!C:C,'ABC-XYZ분석 (2)'!B:B)</f>
        <v/>
      </c>
      <c r="C2" s="431" t="inlineStr">
        <is>
          <t>ABC1</t>
        </is>
      </c>
      <c r="D2" s="380" t="n"/>
      <c r="E2" s="380" t="n"/>
      <c r="F2" s="381">
        <f>_xlfn.XLOOKUP(표3[[#This Row],[SKU코드]],'ABC-XYZ분석 (2)'!C:C,'ABC-XYZ분석 (2)'!AC:AC)</f>
        <v/>
      </c>
      <c r="G2" s="382">
        <f>_xlfn.XLOOKUP(C2,'ABC-XYZ분석 (2)'!C:C,'ABC-XYZ분석 (2)'!AG:AG)</f>
        <v/>
      </c>
      <c r="H2" s="383">
        <f>SUMIF(재고!C:C,재고분석!C2,재고!I:I)</f>
        <v/>
      </c>
      <c r="I2" s="382">
        <f>SUMIF(안전재고!A:A,재고분석!$C2,안전재고!I:I)</f>
        <v/>
      </c>
      <c r="J2" s="555">
        <f>SUMIF('ABC-XYZ분석 (2)'!C:C,재고분석!$C2,'ABC-XYZ분석 (2)'!X:X)</f>
        <v/>
      </c>
      <c r="K2" s="556">
        <f>IFERROR(재고분석!$J2/재고분석!$H2,"")</f>
        <v/>
      </c>
      <c r="L2" s="556">
        <f>IFERROR(재고분석!$K2*12,"")</f>
        <v/>
      </c>
      <c r="M2" s="555">
        <f>IFERROR(H2/(J2/30),"")</f>
        <v/>
      </c>
      <c r="N2" s="382">
        <f>IF(H2=0,"재고없음",IF(H2&lt;I2,"부족",IF(H2&lt;VLOOKUP(C2,공급물량!$B:$M,12,0)*0.8,"재주문",IF(H2&lt;=VLOOKUP(C2,공급물량!$B:$M,12,0)*1.2,"적정","과잉"))))</f>
        <v/>
      </c>
      <c r="O2" s="382">
        <f>IF(H2=0,"-",IF(K2&gt;=0.5,"우수",IF(K2&gt;=0.33,"적정",IF(K2&gt;=0.17,"주의","불량"))))</f>
        <v/>
      </c>
      <c r="P2" s="386">
        <f>IF(N2="재고없음","긴급발주",IF(N2="부족","긴급발주",IF(AND(N2="재주문",OR(O2="우수",O2="적정")),"현상유지",IF(N2="재주문","발주검토",IF(AND(N2="적정",O2="불량"),"판촉검토",IF(N2="적정","현상유지",IF(AND(N2="과잉",OR(O2="우수",O2="적정")),"발주축소","판촉/할인검토")))))))</f>
        <v/>
      </c>
      <c r="Q2" s="557">
        <f>_xlfn.XLOOKUP(표3[[#This Row],[SKU코드]],재고!C:C,재고!H:H)</f>
        <v/>
      </c>
      <c r="R2" s="558">
        <f>Q2*H2</f>
        <v/>
      </c>
      <c r="T2" s="219" t="inlineStr">
        <is>
          <t>상태</t>
        </is>
      </c>
      <c r="U2" s="150" t="inlineStr">
        <is>
          <t>조건</t>
        </is>
      </c>
      <c r="V2" s="365" t="inlineStr">
        <is>
          <t>예시 (안전재고=100개, 적정재고=450개)</t>
        </is>
      </c>
      <c r="W2" s="150" t="inlineStr">
        <is>
          <t>의미</t>
        </is>
      </c>
    </row>
    <row r="3">
      <c r="B3" s="398">
        <f>_xlfn.XLOOKUP(C3,'ABC-XYZ분석 (2)'!C:C,'ABC-XYZ분석 (2)'!B:B)</f>
        <v/>
      </c>
      <c r="C3" s="431" t="inlineStr">
        <is>
          <t>ABC2</t>
        </is>
      </c>
      <c r="D3" s="387" t="n"/>
      <c r="E3" s="387" t="n"/>
      <c r="F3" s="381">
        <f>_xlfn.XLOOKUP(표3[[#This Row],[SKU코드]],'ABC-XYZ분석 (2)'!C:C,'ABC-XYZ분석 (2)'!AC:AC)</f>
        <v/>
      </c>
      <c r="G3" s="388">
        <f>_xlfn.XLOOKUP(C3,'ABC-XYZ분석 (2)'!C:C,'ABC-XYZ분석 (2)'!AG:AG)</f>
        <v/>
      </c>
      <c r="H3" s="389">
        <f>SUMIF(재고!C:C,재고분석!C3,재고!I:I)</f>
        <v/>
      </c>
      <c r="I3" s="388">
        <f>SUMIF(안전재고!A:A,재고분석!$C3,안전재고!I:I)</f>
        <v/>
      </c>
      <c r="J3" s="559">
        <f>SUMIF('ABC-XYZ분석 (2)'!C:C,재고분석!$C3,'ABC-XYZ분석 (2)'!X:X)</f>
        <v/>
      </c>
      <c r="K3" s="556">
        <f>IFERROR(재고분석!$J3/재고분석!$H3,"")</f>
        <v/>
      </c>
      <c r="L3" s="556">
        <f>IFERROR(재고분석!$K3*12,"")</f>
        <v/>
      </c>
      <c r="M3" s="559">
        <f>IFERROR(H3/(J3/30),"")</f>
        <v/>
      </c>
      <c r="N3" s="388">
        <f>IF(H3=0,"재고없음",IF(H3&lt;I3,"부족",IF(H3&lt;VLOOKUP(C3,공급물량!$B:$M,12,0)*0.8,"재주문",IF(H3&lt;=VLOOKUP(C3,공급물량!$B:$M,12,0)*1.2,"적정","과잉"))))</f>
        <v/>
      </c>
      <c r="O3" s="388">
        <f>IF(H3=0,"-",IF(K3&gt;=0.5,"우수",IF(K3&gt;=0.33,"적정",IF(K3&gt;=0.17,"주의","불량"))))</f>
        <v/>
      </c>
      <c r="P3" s="392">
        <f>IF(N3="재고없음","긴급발주",IF(N3="부족","긴급발주",IF(AND(N3="재주문",OR(O3="우수",O3="적정")),"현상유지",IF(N3="재주문","발주검토",IF(AND(N3="적정",O3="불량"),"판촉검토",IF(N3="적정","현상유지",IF(AND(N3="과잉",OR(O3="우수",O3="적정")),"발주축소","판촉/할인검토")))))))</f>
        <v/>
      </c>
      <c r="Q3" s="560">
        <f>_xlfn.XLOOKUP(재고분석!$C3,재고!C:C,재고!H:H)</f>
        <v/>
      </c>
      <c r="R3" s="561">
        <f>Q3*H3</f>
        <v/>
      </c>
      <c r="T3" s="213" t="inlineStr">
        <is>
          <t>부족 (품절위험)</t>
        </is>
      </c>
      <c r="U3" s="151" t="inlineStr">
        <is>
          <t>현재고 &lt; 안전재고</t>
        </is>
      </c>
      <c r="V3" s="151" t="inlineStr">
        <is>
          <t>현재고 &lt;100개</t>
        </is>
      </c>
      <c r="W3" s="151" t="inlineStr">
        <is>
          <t>긴급발주</t>
        </is>
      </c>
    </row>
    <row r="4">
      <c r="B4" s="397">
        <f>_xlfn.XLOOKUP(C4,'ABC-XYZ분석 (2)'!C:C,'ABC-XYZ분석 (2)'!B:B)</f>
        <v/>
      </c>
      <c r="C4" s="431" t="inlineStr">
        <is>
          <t>ABC3</t>
        </is>
      </c>
      <c r="D4" s="380" t="n"/>
      <c r="E4" s="380" t="n"/>
      <c r="F4" s="381">
        <f>_xlfn.XLOOKUP(표3[[#This Row],[SKU코드]],'ABC-XYZ분석 (2)'!C:C,'ABC-XYZ분석 (2)'!AC:AC)</f>
        <v/>
      </c>
      <c r="G4" s="382">
        <f>_xlfn.XLOOKUP(C4,'ABC-XYZ분석 (2)'!C:C,'ABC-XYZ분석 (2)'!AG:AG)</f>
        <v/>
      </c>
      <c r="H4" s="383">
        <f>SUMIF(재고!C:C,재고분석!C4,재고!I:I)</f>
        <v/>
      </c>
      <c r="I4" s="382">
        <f>SUMIF(안전재고!A:A,재고분석!$C4,안전재고!I:I)</f>
        <v/>
      </c>
      <c r="J4" s="555">
        <f>SUMIF('ABC-XYZ분석 (2)'!C:C,재고분석!$C4,'ABC-XYZ분석 (2)'!X:X)</f>
        <v/>
      </c>
      <c r="K4" s="556">
        <f>IFERROR(재고분석!$J4/재고분석!$H4,"")</f>
        <v/>
      </c>
      <c r="L4" s="556">
        <f>IFERROR(재고분석!$K4*12,"")</f>
        <v/>
      </c>
      <c r="M4" s="559">
        <f>IFERROR(H4/(J4/30),"")</f>
        <v/>
      </c>
      <c r="N4" s="382">
        <f>IF(H4=0,"재고없음",IF(H4&lt;I4,"부족",IF(H4&lt;VLOOKUP(C4,공급물량!$B:$M,12,0)*0.8,"재주문",IF(H4&lt;=VLOOKUP(C4,공급물량!$B:$M,12,0)*1.2,"적정","과잉"))))</f>
        <v/>
      </c>
      <c r="O4" s="382">
        <f>IF(H4=0,"-",IF(K4&gt;=0.5,"우수",IF(K4&gt;=0.33,"적정",IF(K4&gt;=0.17,"주의","불량"))))</f>
        <v/>
      </c>
      <c r="P4" s="386">
        <f>IF(N4="재고없음","긴급발주",IF(N4="부족","긴급발주",IF(AND(N4="재주문",OR(O4="우수",O4="적정")),"현상유지",IF(N4="재주문","발주검토",IF(AND(N4="적정",O4="불량"),"판촉검토",IF(N4="적정","현상유지",IF(AND(N4="과잉",OR(O4="우수",O4="적정")),"발주축소","판촉/할인검토")))))))</f>
        <v/>
      </c>
      <c r="Q4" s="557">
        <f>_xlfn.XLOOKUP(재고분석!$C4,재고!C:C,재고!H:H)</f>
        <v/>
      </c>
      <c r="R4" s="558">
        <f>Q4*H4</f>
        <v/>
      </c>
      <c r="T4" s="213" t="inlineStr">
        <is>
          <t>재주문 (버퍼 부족)</t>
        </is>
      </c>
      <c r="U4" s="151" t="inlineStr">
        <is>
          <t>안전재고 ≤ 현재고 &lt; 적정재고×0.8</t>
        </is>
      </c>
      <c r="V4" s="151" t="inlineStr">
        <is>
          <t>100 ~ 360개</t>
        </is>
      </c>
      <c r="W4" s="151" t="inlineStr">
        <is>
          <t>변동성 커버하지만 여유 없음</t>
        </is>
      </c>
    </row>
    <row r="5">
      <c r="B5" s="398">
        <f>_xlfn.XLOOKUP(C5,'ABC-XYZ분석 (2)'!C:C,'ABC-XYZ분석 (2)'!B:B)</f>
        <v/>
      </c>
      <c r="C5" s="431" t="inlineStr">
        <is>
          <t>ABC4</t>
        </is>
      </c>
      <c r="D5" s="387" t="n"/>
      <c r="E5" s="387" t="n"/>
      <c r="F5" s="381">
        <f>_xlfn.XLOOKUP(표3[[#This Row],[SKU코드]],'ABC-XYZ분석 (2)'!C:C,'ABC-XYZ분석 (2)'!AC:AC)</f>
        <v/>
      </c>
      <c r="G5" s="388">
        <f>_xlfn.XLOOKUP(C5,'ABC-XYZ분석 (2)'!C:C,'ABC-XYZ분석 (2)'!AG:AG)</f>
        <v/>
      </c>
      <c r="H5" s="389">
        <f>SUMIF(재고!C:C,재고분석!C5,재고!I:I)</f>
        <v/>
      </c>
      <c r="I5" s="388">
        <f>SUMIF(안전재고!A:A,재고분석!$C5,안전재고!I:I)</f>
        <v/>
      </c>
      <c r="J5" s="559">
        <f>SUMIF('ABC-XYZ분석 (2)'!C:C,재고분석!$C5,'ABC-XYZ분석 (2)'!X:X)</f>
        <v/>
      </c>
      <c r="K5" s="556">
        <f>IFERROR(재고분석!$J5/재고분석!$H5,"")</f>
        <v/>
      </c>
      <c r="L5" s="556">
        <f>IFERROR(재고분석!$K5*12,"")</f>
        <v/>
      </c>
      <c r="M5" s="559">
        <f>IFERROR(H5/(J5/30),"")</f>
        <v/>
      </c>
      <c r="N5" s="388">
        <f>IF(H5=0,"재고없음",IF(H5&lt;I5,"부족",IF(H5&lt;VLOOKUP(C5,공급물량!$B:$M,12,0)*0.8,"재주문",IF(H5&lt;=VLOOKUP(C5,공급물량!$B:$M,12,0)*1.2,"적정","과잉"))))</f>
        <v/>
      </c>
      <c r="O5" s="388">
        <f>IF(H5=0,"-",IF(K5&gt;=0.5,"우수",IF(K5&gt;=0.33,"적정",IF(K5&gt;=0.17,"주의","불량"))))</f>
        <v/>
      </c>
      <c r="P5" s="392">
        <f>IF(N5="재고없음","긴급발주",IF(N5="부족","긴급발주",IF(AND(N5="재주문",OR(O5="우수",O5="적정")),"현상유지",IF(N5="재주문","발주검토",IF(AND(N5="적정",O5="불량"),"판촉검토",IF(N5="적정","현상유지",IF(AND(N5="과잉",OR(O5="우수",O5="적정")),"발주축소","판촉/할인검토")))))))</f>
        <v/>
      </c>
      <c r="Q5" s="560">
        <f>_xlfn.XLOOKUP(재고분석!$C5,재고!C:C,재고!H:H)</f>
        <v/>
      </c>
      <c r="R5" s="561">
        <f>Q5*H5</f>
        <v/>
      </c>
      <c r="T5" s="213" t="inlineStr">
        <is>
          <t>적정 (적정 운영버퍼)</t>
        </is>
      </c>
      <c r="U5" s="151" t="inlineStr">
        <is>
          <t>적정재고x0.8 ≤ 현재고 &lt; 적정재고×1.2</t>
        </is>
      </c>
      <c r="V5" s="151" t="inlineStr">
        <is>
          <t>360 ~ 540개</t>
        </is>
      </c>
      <c r="W5" s="151" t="inlineStr">
        <is>
          <t>안정적 운영</t>
        </is>
      </c>
    </row>
    <row r="6">
      <c r="B6" s="397">
        <f>_xlfn.XLOOKUP(C6,'ABC-XYZ분석 (2)'!C:C,'ABC-XYZ분석 (2)'!B:B)</f>
        <v/>
      </c>
      <c r="C6" s="431" t="inlineStr">
        <is>
          <t>ABC5</t>
        </is>
      </c>
      <c r="D6" s="380" t="n"/>
      <c r="E6" s="380" t="n"/>
      <c r="F6" s="381">
        <f>_xlfn.XLOOKUP(표3[[#This Row],[SKU코드]],'ABC-XYZ분석 (2)'!C:C,'ABC-XYZ분석 (2)'!AC:AC)</f>
        <v/>
      </c>
      <c r="G6" s="382">
        <f>_xlfn.XLOOKUP(C6,'ABC-XYZ분석 (2)'!C:C,'ABC-XYZ분석 (2)'!AG:AG)</f>
        <v/>
      </c>
      <c r="H6" s="383">
        <f>SUMIF(재고!C:C,재고분석!C6,재고!I:I)</f>
        <v/>
      </c>
      <c r="I6" s="382">
        <f>SUMIF(안전재고!A:A,재고분석!$C6,안전재고!I:I)</f>
        <v/>
      </c>
      <c r="J6" s="555">
        <f>SUMIF('ABC-XYZ분석 (2)'!C:C,재고분석!$C6,'ABC-XYZ분석 (2)'!X:X)</f>
        <v/>
      </c>
      <c r="K6" s="556">
        <f>IFERROR(재고분석!$J6/재고분석!$H6,"")</f>
        <v/>
      </c>
      <c r="L6" s="556">
        <f>IFERROR(재고분석!$K6*12,"")</f>
        <v/>
      </c>
      <c r="M6" s="555">
        <f>IFERROR(H6/(J6/30),"")</f>
        <v/>
      </c>
      <c r="N6" s="382">
        <f>IF(H6=0,"재고없음",IF(H6&lt;I6,"부족",IF(H6&lt;VLOOKUP(C6,공급물량!$B:$M,12,0)*0.8,"재주문",IF(H6&lt;=VLOOKUP(C6,공급물량!$B:$M,12,0)*1.2,"적정","과잉"))))</f>
        <v/>
      </c>
      <c r="O6" s="382">
        <f>IF(H6=0,"-",IF(K6&gt;=0.5,"우수",IF(K6&gt;=0.33,"적정",IF(K6&gt;=0.17,"주의","불량"))))</f>
        <v/>
      </c>
      <c r="P6" s="386">
        <f>IF(N6="재고없음","긴급발주",IF(N6="부족","긴급발주",IF(AND(N6="재주문",OR(O6="우수",O6="적정")),"현상유지",IF(N6="재주문","발주검토",IF(AND(N6="적정",O6="불량"),"판촉검토",IF(N6="적정","현상유지",IF(AND(N6="과잉",OR(O6="우수",O6="적정")),"발주축소","판촉/할인검토")))))))</f>
        <v/>
      </c>
      <c r="Q6" s="557">
        <f>_xlfn.XLOOKUP(재고분석!$C6,재고!C:C,재고!H:H)</f>
        <v/>
      </c>
      <c r="R6" s="558">
        <f>Q6*H6</f>
        <v/>
      </c>
      <c r="T6" s="314" t="inlineStr">
        <is>
          <t>과잉 (과도 안전마진)</t>
        </is>
      </c>
      <c r="U6" s="151" t="inlineStr">
        <is>
          <t>현재고 &gt;= 적정재고 x 1.2</t>
        </is>
      </c>
      <c r="V6" s="151" t="inlineStr">
        <is>
          <t>현재고 &gt; 540개</t>
        </is>
      </c>
      <c r="W6" s="151" t="inlineStr">
        <is>
          <t>과도한 안전 마진</t>
        </is>
      </c>
    </row>
    <row r="7">
      <c r="B7" s="398">
        <f>_xlfn.XLOOKUP(C7,'ABC-XYZ분석 (2)'!C:C,'ABC-XYZ분석 (2)'!B:B)</f>
        <v/>
      </c>
      <c r="C7" s="431" t="inlineStr">
        <is>
          <t>ABC6</t>
        </is>
      </c>
      <c r="D7" s="387" t="n"/>
      <c r="E7" s="387" t="n"/>
      <c r="F7" s="381">
        <f>_xlfn.XLOOKUP(표3[[#This Row],[SKU코드]],'ABC-XYZ분석 (2)'!C:C,'ABC-XYZ분석 (2)'!AC:AC)</f>
        <v/>
      </c>
      <c r="G7" s="388">
        <f>_xlfn.XLOOKUP(C7,'ABC-XYZ분석 (2)'!C:C,'ABC-XYZ분석 (2)'!AG:AG)</f>
        <v/>
      </c>
      <c r="H7" s="389">
        <f>SUMIF(재고!C:C,재고분석!C7,재고!I:I)</f>
        <v/>
      </c>
      <c r="I7" s="388">
        <f>SUMIF(안전재고!A:A,재고분석!$C7,안전재고!I:I)</f>
        <v/>
      </c>
      <c r="J7" s="559">
        <f>SUMIF('ABC-XYZ분석 (2)'!C:C,재고분석!$C7,'ABC-XYZ분석 (2)'!X:X)</f>
        <v/>
      </c>
      <c r="K7" s="556">
        <f>IFERROR(재고분석!$J7/재고분석!$H7,"")</f>
        <v/>
      </c>
      <c r="L7" s="556">
        <f>IFERROR(재고분석!$K7*12,"")</f>
        <v/>
      </c>
      <c r="M7" s="559">
        <f>IFERROR(H7/(J7/30),"")</f>
        <v/>
      </c>
      <c r="N7" s="388">
        <f>IF(H7=0,"재고없음",IF(H7&lt;I7,"부족",IF(H7&lt;VLOOKUP(C7,공급물량!$B:$M,12,0)*0.8,"재주문",IF(H7&lt;=VLOOKUP(C7,공급물량!$B:$M,12,0)*1.2,"적정","과잉"))))</f>
        <v/>
      </c>
      <c r="O7" s="388">
        <f>IF(H7=0,"-",IF(K7&gt;=0.5,"우수",IF(K7&gt;=0.33,"적정",IF(K7&gt;=0.17,"주의","불량"))))</f>
        <v/>
      </c>
      <c r="P7" s="392">
        <f>IF(N7="재고없음","긴급발주",IF(N7="부족","긴급발주",IF(AND(N7="재주문",OR(O7="우수",O7="적정")),"현상유지",IF(N7="재주문","발주검토",IF(AND(N7="적정",O7="불량"),"판촉검토",IF(N7="적정","현상유지",IF(AND(N7="과잉",OR(O7="우수",O7="적정")),"발주축소","판촉/할인검토")))))))</f>
        <v/>
      </c>
      <c r="Q7" s="560">
        <f>_xlfn.XLOOKUP(재고분석!$C7,재고!C:C,재고!H:H)</f>
        <v/>
      </c>
      <c r="R7" s="561">
        <f>Q7*H7</f>
        <v/>
      </c>
    </row>
    <row r="8">
      <c r="B8" s="397">
        <f>_xlfn.XLOOKUP(C8,'ABC-XYZ분석 (2)'!C:C,'ABC-XYZ분석 (2)'!B:B)</f>
        <v/>
      </c>
      <c r="C8" s="431" t="inlineStr">
        <is>
          <t>ABC7</t>
        </is>
      </c>
      <c r="D8" s="380" t="n"/>
      <c r="E8" s="380" t="n"/>
      <c r="F8" s="381">
        <f>_xlfn.XLOOKUP(표3[[#This Row],[SKU코드]],'ABC-XYZ분석 (2)'!C:C,'ABC-XYZ분석 (2)'!AC:AC)</f>
        <v/>
      </c>
      <c r="G8" s="382">
        <f>_xlfn.XLOOKUP(C8,'ABC-XYZ분석 (2)'!C:C,'ABC-XYZ분석 (2)'!AG:AG)</f>
        <v/>
      </c>
      <c r="H8" s="383">
        <f>SUMIF(재고!C:C,재고분석!C8,재고!I:I)</f>
        <v/>
      </c>
      <c r="I8" s="382">
        <f>SUMIF(안전재고!A:A,재고분석!$C8,안전재고!I:I)</f>
        <v/>
      </c>
      <c r="J8" s="555">
        <f>SUMIF('ABC-XYZ분석 (2)'!C:C,재고분석!$C8,'ABC-XYZ분석 (2)'!X:X)</f>
        <v/>
      </c>
      <c r="K8" s="556">
        <f>IFERROR(재고분석!$J8/재고분석!$H8,"")</f>
        <v/>
      </c>
      <c r="L8" s="556">
        <f>IFERROR(재고분석!$K8*12,"")</f>
        <v/>
      </c>
      <c r="M8" s="555">
        <f>IFERROR(H8/(J8/30),"")</f>
        <v/>
      </c>
      <c r="N8" s="382">
        <f>IF(H8=0,"재고없음",IF(H8&lt;I8,"부족",IF(H8&lt;VLOOKUP(C8,공급물량!$B:$M,12,0)*0.8,"재주문",IF(H8&lt;=VLOOKUP(C8,공급물량!$B:$M,12,0)*1.2,"적정","과잉"))))</f>
        <v/>
      </c>
      <c r="O8" s="382">
        <f>IF(H8=0,"-",IF(K8&gt;=0.5,"우수",IF(K8&gt;=0.33,"적정",IF(K8&gt;=0.17,"주의","불량"))))</f>
        <v/>
      </c>
      <c r="P8" s="386">
        <f>IF(N8="재고없음","긴급발주",IF(N8="부족","긴급발주",IF(AND(N8="재주문",OR(O8="우수",O8="적정")),"현상유지",IF(N8="재주문","발주검토",IF(AND(N8="적정",O8="불량"),"판촉검토",IF(N8="적정","현상유지",IF(AND(N8="과잉",OR(O8="우수",O8="적정")),"발주축소","판촉/할인검토")))))))</f>
        <v/>
      </c>
      <c r="Q8" s="557">
        <f>_xlfn.XLOOKUP(재고분석!$C8,재고!C:C,재고!H:H)</f>
        <v/>
      </c>
      <c r="R8" s="558">
        <f>Q8*H8</f>
        <v/>
      </c>
      <c r="T8" s="359" t="n"/>
      <c r="V8" s="562" t="n"/>
    </row>
    <row r="9">
      <c r="B9" s="398">
        <f>_xlfn.XLOOKUP(C9,'ABC-XYZ분석 (2)'!C:C,'ABC-XYZ분석 (2)'!B:B)</f>
        <v/>
      </c>
      <c r="C9" s="431" t="inlineStr">
        <is>
          <t>ABC8</t>
        </is>
      </c>
      <c r="D9" s="387" t="n"/>
      <c r="E9" s="387" t="n"/>
      <c r="F9" s="381">
        <f>_xlfn.XLOOKUP(표3[[#This Row],[SKU코드]],'ABC-XYZ분석 (2)'!C:C,'ABC-XYZ분석 (2)'!AC:AC)</f>
        <v/>
      </c>
      <c r="G9" s="388">
        <f>_xlfn.XLOOKUP(C9,'ABC-XYZ분석 (2)'!C:C,'ABC-XYZ분석 (2)'!AG:AG)</f>
        <v/>
      </c>
      <c r="H9" s="389">
        <f>SUMIF(재고!C:C,재고분석!C9,재고!I:I)</f>
        <v/>
      </c>
      <c r="I9" s="388">
        <f>SUMIF(안전재고!A:A,재고분석!$C9,안전재고!I:I)</f>
        <v/>
      </c>
      <c r="J9" s="559">
        <f>SUMIF('ABC-XYZ분석 (2)'!C:C,재고분석!$C9,'ABC-XYZ분석 (2)'!X:X)</f>
        <v/>
      </c>
      <c r="K9" s="556">
        <f>IFERROR(재고분석!$J9/재고분석!$H9,"")</f>
        <v/>
      </c>
      <c r="L9" s="556">
        <f>IFERROR(재고분석!$K9*12,"")</f>
        <v/>
      </c>
      <c r="M9" s="559">
        <f>IFERROR(H9/(J9/30),"")</f>
        <v/>
      </c>
      <c r="N9" s="388">
        <f>IF(H9=0,"재고없음",IF(H9&lt;I9,"부족",IF(H9&lt;VLOOKUP(C9,공급물량!$B:$M,12,0)*0.8,"재주문",IF(H9&lt;=VLOOKUP(C9,공급물량!$B:$M,12,0)*1.2,"적정","과잉"))))</f>
        <v/>
      </c>
      <c r="O9" s="388">
        <f>IF(H9=0,"-",IF(K9&gt;=0.5,"우수",IF(K9&gt;=0.33,"적정",IF(K9&gt;=0.17,"주의","불량"))))</f>
        <v/>
      </c>
      <c r="P9" s="392">
        <f>IF(N9="재고없음","긴급발주",IF(N9="부족","긴급발주",IF(AND(N9="재주문",OR(O9="우수",O9="적정")),"현상유지",IF(N9="재주문","발주검토",IF(AND(N9="적정",O9="불량"),"판촉검토",IF(N9="적정","현상유지",IF(AND(N9="과잉",OR(O9="우수",O9="적정")),"발주축소","판촉/할인검토")))))))</f>
        <v/>
      </c>
      <c r="Q9" s="560">
        <f>_xlfn.XLOOKUP(재고분석!$C9,재고!C:C,재고!H:H)</f>
        <v/>
      </c>
      <c r="R9" s="561">
        <f>Q9*H9</f>
        <v/>
      </c>
      <c r="T9" s="359" t="n"/>
    </row>
    <row r="10">
      <c r="B10" s="397">
        <f>_xlfn.XLOOKUP(C10,'ABC-XYZ분석 (2)'!C:C,'ABC-XYZ분석 (2)'!B:B)</f>
        <v/>
      </c>
      <c r="C10" s="431" t="inlineStr">
        <is>
          <t>ABC9</t>
        </is>
      </c>
      <c r="D10" s="380" t="n"/>
      <c r="E10" s="380" t="n"/>
      <c r="F10" s="381">
        <f>_xlfn.XLOOKUP(표3[[#This Row],[SKU코드]],'ABC-XYZ분석 (2)'!C:C,'ABC-XYZ분석 (2)'!AC:AC)</f>
        <v/>
      </c>
      <c r="G10" s="382">
        <f>_xlfn.XLOOKUP(C10,'ABC-XYZ분석 (2)'!C:C,'ABC-XYZ분석 (2)'!AG:AG)</f>
        <v/>
      </c>
      <c r="H10" s="383">
        <f>SUMIF(재고!C:C,재고분석!C10,재고!I:I)</f>
        <v/>
      </c>
      <c r="I10" s="382">
        <f>SUMIF(안전재고!A:A,재고분석!$C10,안전재고!I:I)</f>
        <v/>
      </c>
      <c r="J10" s="555">
        <f>SUMIF('ABC-XYZ분석 (2)'!C:C,재고분석!$C10,'ABC-XYZ분석 (2)'!X:X)</f>
        <v/>
      </c>
      <c r="K10" s="556">
        <f>IFERROR(재고분석!$J10/재고분석!$H10,"")</f>
        <v/>
      </c>
      <c r="L10" s="556">
        <f>IFERROR(재고분석!$K10*12,"")</f>
        <v/>
      </c>
      <c r="M10" s="555">
        <f>IFERROR(H10/(J10/30),"")</f>
        <v/>
      </c>
      <c r="N10" s="382">
        <f>IF(H10=0,"재고없음",IF(H10&lt;I10,"부족",IF(H10&lt;VLOOKUP(C10,공급물량!$B:$M,12,0)*0.8,"재주문",IF(H10&lt;=VLOOKUP(C10,공급물량!$B:$M,12,0)*1.2,"적정","과잉"))))</f>
        <v/>
      </c>
      <c r="O10" s="382">
        <f>IF(H10=0,"-",IF(K10&gt;=0.5,"우수",IF(K10&gt;=0.33,"적정",IF(K10&gt;=0.17,"주의","불량"))))</f>
        <v/>
      </c>
      <c r="P10" s="386">
        <f>IF(N10="재고없음","긴급발주",IF(N10="부족","긴급발주",IF(AND(N10="재주문",OR(O10="우수",O10="적정")),"현상유지",IF(N10="재주문","발주검토",IF(AND(N10="적정",O10="불량"),"판촉검토",IF(N10="적정","현상유지",IF(AND(N10="과잉",OR(O10="우수",O10="적정")),"발주축소","판촉/할인검토")))))))</f>
        <v/>
      </c>
      <c r="Q10" s="557">
        <f>_xlfn.XLOOKUP(재고분석!$C10,재고!C:C,재고!H:H)</f>
        <v/>
      </c>
      <c r="R10" s="558">
        <f>Q10*H10</f>
        <v/>
      </c>
      <c r="T10" s="563" t="n"/>
    </row>
    <row r="11">
      <c r="B11" s="398">
        <f>_xlfn.XLOOKUP(C11,'ABC-XYZ분석 (2)'!C:C,'ABC-XYZ분석 (2)'!B:B)</f>
        <v/>
      </c>
      <c r="C11" s="431" t="inlineStr">
        <is>
          <t>ABC10</t>
        </is>
      </c>
      <c r="D11" s="387" t="n"/>
      <c r="E11" s="387" t="n"/>
      <c r="F11" s="381">
        <f>_xlfn.XLOOKUP(표3[[#This Row],[SKU코드]],'ABC-XYZ분석 (2)'!C:C,'ABC-XYZ분석 (2)'!AC:AC)</f>
        <v/>
      </c>
      <c r="G11" s="388">
        <f>_xlfn.XLOOKUP(C11,'ABC-XYZ분석 (2)'!C:C,'ABC-XYZ분석 (2)'!AG:AG)</f>
        <v/>
      </c>
      <c r="H11" s="389">
        <f>SUMIF(재고!C:C,재고분석!C11,재고!I:I)</f>
        <v/>
      </c>
      <c r="I11" s="388">
        <f>SUMIF(안전재고!A:A,재고분석!$C11,안전재고!I:I)</f>
        <v/>
      </c>
      <c r="J11" s="559">
        <f>SUMIF('ABC-XYZ분석 (2)'!C:C,재고분석!$C11,'ABC-XYZ분석 (2)'!X:X)</f>
        <v/>
      </c>
      <c r="K11" s="556">
        <f>IFERROR(재고분석!$J11/재고분석!$H11,"")</f>
        <v/>
      </c>
      <c r="L11" s="556">
        <f>IFERROR(재고분석!$K11*12,"")</f>
        <v/>
      </c>
      <c r="M11" s="559">
        <f>IFERROR(H11/(J11/30),"")</f>
        <v/>
      </c>
      <c r="N11" s="388">
        <f>IF(H11=0,"재고없음",IF(H11&lt;I11,"부족",IF(H11&lt;VLOOKUP(C11,공급물량!$B:$M,12,0)*0.8,"재주문",IF(H11&lt;=VLOOKUP(C11,공급물량!$B:$M,12,0)*1.2,"적정","과잉"))))</f>
        <v/>
      </c>
      <c r="O11" s="388">
        <f>IF(H11=0,"-",IF(K11&gt;=0.5,"우수",IF(K11&gt;=0.33,"적정",IF(K11&gt;=0.17,"주의","불량"))))</f>
        <v/>
      </c>
      <c r="P11" s="392">
        <f>IF(N11="재고없음","긴급발주",IF(N11="부족","긴급발주",IF(AND(N11="재주문",OR(O11="우수",O11="적정")),"현상유지",IF(N11="재주문","발주검토",IF(AND(N11="적정",O11="불량"),"판촉검토",IF(N11="적정","현상유지",IF(AND(N11="과잉",OR(O11="우수",O11="적정")),"발주축소","판촉/할인검토")))))))</f>
        <v/>
      </c>
      <c r="Q11" s="560">
        <f>_xlfn.XLOOKUP(재고분석!$C11,재고!C:C,재고!H:H)</f>
        <v/>
      </c>
      <c r="R11" s="561">
        <f>Q11*H11</f>
        <v/>
      </c>
      <c r="T11" s="563" t="n"/>
    </row>
    <row r="12">
      <c r="B12" s="397">
        <f>_xlfn.XLOOKUP(C12,'ABC-XYZ분석 (2)'!C:C,'ABC-XYZ분석 (2)'!B:B)</f>
        <v/>
      </c>
      <c r="C12" s="431" t="inlineStr">
        <is>
          <t>ABC11</t>
        </is>
      </c>
      <c r="D12" s="380" t="n"/>
      <c r="E12" s="380" t="n"/>
      <c r="F12" s="381">
        <f>_xlfn.XLOOKUP(표3[[#This Row],[SKU코드]],'ABC-XYZ분석 (2)'!C:C,'ABC-XYZ분석 (2)'!AC:AC)</f>
        <v/>
      </c>
      <c r="G12" s="382">
        <f>_xlfn.XLOOKUP(C12,'ABC-XYZ분석 (2)'!C:C,'ABC-XYZ분석 (2)'!AG:AG)</f>
        <v/>
      </c>
      <c r="H12" s="383">
        <f>SUMIF(재고!C:C,재고분석!C12,재고!I:I)</f>
        <v/>
      </c>
      <c r="I12" s="382">
        <f>SUMIF(안전재고!A:A,재고분석!$C12,안전재고!I:I)</f>
        <v/>
      </c>
      <c r="J12" s="555">
        <f>SUMIF('ABC-XYZ분석 (2)'!C:C,재고분석!$C12,'ABC-XYZ분석 (2)'!X:X)</f>
        <v/>
      </c>
      <c r="K12" s="556">
        <f>IFERROR(재고분석!$J12/재고분석!$H12,"")</f>
        <v/>
      </c>
      <c r="L12" s="556">
        <f>IFERROR(재고분석!$K12*12,"")</f>
        <v/>
      </c>
      <c r="M12" s="555">
        <f>IFERROR(H12/(J12/30),"")</f>
        <v/>
      </c>
      <c r="N12" s="382">
        <f>IF(H12=0,"재고없음",IF(H12&lt;I12,"부족",IF(H12&lt;VLOOKUP(C12,공급물량!$B:$M,12,0)*0.8,"재주문",IF(H12&lt;=VLOOKUP(C12,공급물량!$B:$M,12,0)*1.2,"적정","과잉"))))</f>
        <v/>
      </c>
      <c r="O12" s="382">
        <f>IF(H12=0,"-",IF(K12&gt;=0.5,"우수",IF(K12&gt;=0.33,"적정",IF(K12&gt;=0.17,"주의","불량"))))</f>
        <v/>
      </c>
      <c r="P12" s="386">
        <f>IF(N12="재고없음","긴급발주",IF(N12="부족","긴급발주",IF(AND(N12="재주문",OR(O12="우수",O12="적정")),"현상유지",IF(N12="재주문","발주검토",IF(AND(N12="적정",O12="불량"),"판촉검토",IF(N12="적정","현상유지",IF(AND(N12="과잉",OR(O12="우수",O12="적정")),"발주축소","판촉/할인검토")))))))</f>
        <v/>
      </c>
      <c r="Q12" s="557">
        <f>_xlfn.XLOOKUP(재고분석!$C12,재고!C:C,재고!H:H)</f>
        <v/>
      </c>
      <c r="R12" s="558">
        <f>Q12*H12</f>
        <v/>
      </c>
    </row>
    <row r="13">
      <c r="B13" s="398">
        <f>_xlfn.XLOOKUP(C13,'ABC-XYZ분석 (2)'!C:C,'ABC-XYZ분석 (2)'!B:B)</f>
        <v/>
      </c>
      <c r="C13" s="431" t="inlineStr">
        <is>
          <t>ABC12</t>
        </is>
      </c>
      <c r="D13" s="387" t="n"/>
      <c r="E13" s="387" t="n"/>
      <c r="F13" s="381">
        <f>_xlfn.XLOOKUP(표3[[#This Row],[SKU코드]],'ABC-XYZ분석 (2)'!C:C,'ABC-XYZ분석 (2)'!AC:AC)</f>
        <v/>
      </c>
      <c r="G13" s="388">
        <f>_xlfn.XLOOKUP(C13,'ABC-XYZ분석 (2)'!C:C,'ABC-XYZ분석 (2)'!AG:AG)</f>
        <v/>
      </c>
      <c r="H13" s="389">
        <f>SUMIF(재고!C:C,재고분석!C13,재고!I:I)</f>
        <v/>
      </c>
      <c r="I13" s="388">
        <f>SUMIF(안전재고!A:A,재고분석!$C13,안전재고!I:I)</f>
        <v/>
      </c>
      <c r="J13" s="559">
        <f>SUMIF('ABC-XYZ분석 (2)'!C:C,재고분석!$C13,'ABC-XYZ분석 (2)'!X:X)</f>
        <v/>
      </c>
      <c r="K13" s="556">
        <f>IFERROR(재고분석!$J13/재고분석!$H13,"")</f>
        <v/>
      </c>
      <c r="L13" s="556">
        <f>IFERROR(재고분석!$K13*12,"")</f>
        <v/>
      </c>
      <c r="M13" s="559">
        <f>IFERROR(H13/(J13/30),"")</f>
        <v/>
      </c>
      <c r="N13" s="388">
        <f>IF(H13=0,"재고없음",IF(H13&lt;I13,"부족",IF(H13&lt;VLOOKUP(C13,공급물량!$B:$M,12,0)*0.8,"재주문",IF(H13&lt;=VLOOKUP(C13,공급물량!$B:$M,12,0)*1.2,"적정","과잉"))))</f>
        <v/>
      </c>
      <c r="O13" s="388">
        <f>IF(H13=0,"-",IF(K13&gt;=0.5,"우수",IF(K13&gt;=0.33,"적정",IF(K13&gt;=0.17,"주의","불량"))))</f>
        <v/>
      </c>
      <c r="P13" s="392">
        <f>IF(N13="재고없음","긴급발주",IF(N13="부족","긴급발주",IF(AND(N13="재주문",OR(O13="우수",O13="적정")),"현상유지",IF(N13="재주문","발주검토",IF(AND(N13="적정",O13="불량"),"판촉검토",IF(N13="적정","현상유지",IF(AND(N13="과잉",OR(O13="우수",O13="적정")),"발주축소","판촉/할인검토")))))))</f>
        <v/>
      </c>
      <c r="Q13" s="560">
        <f>_xlfn.XLOOKUP(재고분석!$C13,재고!C:C,재고!H:H)</f>
        <v/>
      </c>
      <c r="R13" s="561">
        <f>Q13*H13</f>
        <v/>
      </c>
      <c r="T13" s="563" t="n"/>
    </row>
    <row r="14">
      <c r="B14" s="397">
        <f>_xlfn.XLOOKUP(C14,'ABC-XYZ분석 (2)'!C:C,'ABC-XYZ분석 (2)'!B:B)</f>
        <v/>
      </c>
      <c r="C14" s="431" t="inlineStr">
        <is>
          <t>ABC13</t>
        </is>
      </c>
      <c r="D14" s="380" t="n"/>
      <c r="E14" s="380" t="n"/>
      <c r="F14" s="381">
        <f>_xlfn.XLOOKUP(표3[[#This Row],[SKU코드]],'ABC-XYZ분석 (2)'!C:C,'ABC-XYZ분석 (2)'!AC:AC)</f>
        <v/>
      </c>
      <c r="G14" s="382">
        <f>_xlfn.XLOOKUP(C14,'ABC-XYZ분석 (2)'!C:C,'ABC-XYZ분석 (2)'!AG:AG)</f>
        <v/>
      </c>
      <c r="H14" s="383">
        <f>SUMIF(재고!C:C,재고분석!C14,재고!I:I)</f>
        <v/>
      </c>
      <c r="I14" s="382">
        <f>SUMIF(안전재고!A:A,재고분석!$C14,안전재고!I:I)</f>
        <v/>
      </c>
      <c r="J14" s="555">
        <f>SUMIF('ABC-XYZ분석 (2)'!C:C,재고분석!$C14,'ABC-XYZ분석 (2)'!X:X)</f>
        <v/>
      </c>
      <c r="K14" s="556">
        <f>IFERROR(재고분석!$J14/재고분석!$H14,"")</f>
        <v/>
      </c>
      <c r="L14" s="556">
        <f>IFERROR(재고분석!$K14*12,"")</f>
        <v/>
      </c>
      <c r="M14" s="555">
        <f>IFERROR(H14/(J14/30),"")</f>
        <v/>
      </c>
      <c r="N14" s="382">
        <f>IF(H14=0,"재고없음",IF(H14&lt;I14,"부족",IF(H14&lt;VLOOKUP(C14,공급물량!$B:$M,12,0)*0.8,"재주문",IF(H14&lt;=VLOOKUP(C14,공급물량!$B:$M,12,0)*1.2,"적정","과잉"))))</f>
        <v/>
      </c>
      <c r="O14" s="382">
        <f>IF(H14=0,"-",IF(K14&gt;=0.5,"우수",IF(K14&gt;=0.33,"적정",IF(K14&gt;=0.17,"주의","불량"))))</f>
        <v/>
      </c>
      <c r="P14" s="386">
        <f>IF(N14="재고없음","긴급발주",IF(N14="부족","긴급발주",IF(AND(N14="재주문",OR(O14="우수",O14="적정")),"현상유지",IF(N14="재주문","발주검토",IF(AND(N14="적정",O14="불량"),"판촉검토",IF(N14="적정","현상유지",IF(AND(N14="과잉",OR(O14="우수",O14="적정")),"발주축소","판촉/할인검토")))))))</f>
        <v/>
      </c>
      <c r="Q14" s="557">
        <f>_xlfn.XLOOKUP(재고분석!$C14,재고!C:C,재고!H:H)</f>
        <v/>
      </c>
      <c r="R14" s="558">
        <f>Q14*H14</f>
        <v/>
      </c>
    </row>
    <row r="15">
      <c r="B15" s="398">
        <f>_xlfn.XLOOKUP(C15,'ABC-XYZ분석 (2)'!C:C,'ABC-XYZ분석 (2)'!B:B)</f>
        <v/>
      </c>
      <c r="C15" s="431" t="inlineStr">
        <is>
          <t>ABC14</t>
        </is>
      </c>
      <c r="D15" s="387" t="n"/>
      <c r="E15" s="387" t="n"/>
      <c r="F15" s="381">
        <f>_xlfn.XLOOKUP(표3[[#This Row],[SKU코드]],'ABC-XYZ분석 (2)'!C:C,'ABC-XYZ분석 (2)'!AC:AC)</f>
        <v/>
      </c>
      <c r="G15" s="388">
        <f>_xlfn.XLOOKUP(C15,'ABC-XYZ분석 (2)'!C:C,'ABC-XYZ분석 (2)'!AG:AG)</f>
        <v/>
      </c>
      <c r="H15" s="389">
        <f>SUMIF(재고!C:C,재고분석!C15,재고!I:I)</f>
        <v/>
      </c>
      <c r="I15" s="388">
        <f>SUMIF(안전재고!A:A,재고분석!$C15,안전재고!I:I)</f>
        <v/>
      </c>
      <c r="J15" s="559">
        <f>SUMIF('ABC-XYZ분석 (2)'!C:C,재고분석!$C15,'ABC-XYZ분석 (2)'!X:X)</f>
        <v/>
      </c>
      <c r="K15" s="556">
        <f>IFERROR(재고분석!$J15/재고분석!$H15,"")</f>
        <v/>
      </c>
      <c r="L15" s="556">
        <f>IFERROR(재고분석!$K15*12,"")</f>
        <v/>
      </c>
      <c r="M15" s="559">
        <f>IFERROR(H15/(J15/30),"")</f>
        <v/>
      </c>
      <c r="N15" s="388">
        <f>IF(H15=0,"재고없음",IF(H15&lt;I15,"부족",IF(H15&lt;VLOOKUP(C15,공급물량!$B:$M,12,0)*0.8,"재주문",IF(H15&lt;=VLOOKUP(C15,공급물량!$B:$M,12,0)*1.2,"적정","과잉"))))</f>
        <v/>
      </c>
      <c r="O15" s="388">
        <f>IF(H15=0,"-",IF(K15&gt;=0.5,"우수",IF(K15&gt;=0.33,"적정",IF(K15&gt;=0.17,"주의","불량"))))</f>
        <v/>
      </c>
      <c r="P15" s="392">
        <f>IF(N15="재고없음","긴급발주",IF(N15="부족","긴급발주",IF(AND(N15="재주문",OR(O15="우수",O15="적정")),"현상유지",IF(N15="재주문","발주검토",IF(AND(N15="적정",O15="불량"),"판촉검토",IF(N15="적정","현상유지",IF(AND(N15="과잉",OR(O15="우수",O15="적정")),"발주축소","판촉/할인검토")))))))</f>
        <v/>
      </c>
      <c r="Q15" s="560">
        <f>_xlfn.XLOOKUP(재고분석!$C15,재고!C:C,재고!H:H)</f>
        <v/>
      </c>
      <c r="R15" s="561">
        <f>Q15*H15</f>
        <v/>
      </c>
    </row>
    <row r="16">
      <c r="B16" s="397">
        <f>_xlfn.XLOOKUP(C16,'ABC-XYZ분석 (2)'!C:C,'ABC-XYZ분석 (2)'!B:B)</f>
        <v/>
      </c>
      <c r="C16" s="431" t="inlineStr">
        <is>
          <t>ABC15</t>
        </is>
      </c>
      <c r="D16" s="380" t="n"/>
      <c r="E16" s="380" t="n"/>
      <c r="F16" s="381">
        <f>_xlfn.XLOOKUP(표3[[#This Row],[SKU코드]],'ABC-XYZ분석 (2)'!C:C,'ABC-XYZ분석 (2)'!AC:AC)</f>
        <v/>
      </c>
      <c r="G16" s="382">
        <f>_xlfn.XLOOKUP(C16,'ABC-XYZ분석 (2)'!C:C,'ABC-XYZ분석 (2)'!AG:AG)</f>
        <v/>
      </c>
      <c r="H16" s="383">
        <f>SUMIF(재고!C:C,재고분석!C16,재고!I:I)</f>
        <v/>
      </c>
      <c r="I16" s="382">
        <f>SUMIF(안전재고!A:A,재고분석!$C16,안전재고!I:I)</f>
        <v/>
      </c>
      <c r="J16" s="555">
        <f>SUMIF('ABC-XYZ분석 (2)'!C:C,재고분석!$C16,'ABC-XYZ분석 (2)'!X:X)</f>
        <v/>
      </c>
      <c r="K16" s="556">
        <f>IFERROR(재고분석!$J16/재고분석!$H16,"")</f>
        <v/>
      </c>
      <c r="L16" s="556">
        <f>IFERROR(재고분석!$K16*12,"")</f>
        <v/>
      </c>
      <c r="M16" s="555">
        <f>IFERROR(H16/(J16/30),"")</f>
        <v/>
      </c>
      <c r="N16" s="382">
        <f>IF(H16=0,"재고없음",IF(H16&lt;I16,"부족",IF(H16&lt;VLOOKUP(C16,공급물량!$B:$M,12,0)*0.8,"재주문",IF(H16&lt;=VLOOKUP(C16,공급물량!$B:$M,12,0)*1.2,"적정","과잉"))))</f>
        <v/>
      </c>
      <c r="O16" s="382">
        <f>IF(H16=0,"-",IF(K16&gt;=0.5,"우수",IF(K16&gt;=0.33,"적정",IF(K16&gt;=0.17,"주의","불량"))))</f>
        <v/>
      </c>
      <c r="P16" s="386">
        <f>IF(N16="재고없음","긴급발주",IF(N16="부족","긴급발주",IF(AND(N16="재주문",OR(O16="우수",O16="적정")),"현상유지",IF(N16="재주문","발주검토",IF(AND(N16="적정",O16="불량"),"판촉검토",IF(N16="적정","현상유지",IF(AND(N16="과잉",OR(O16="우수",O16="적정")),"발주축소","판촉/할인검토")))))))</f>
        <v/>
      </c>
      <c r="Q16" s="557">
        <f>_xlfn.XLOOKUP(재고분석!$C16,재고!C:C,재고!H:H)</f>
        <v/>
      </c>
      <c r="R16" s="558">
        <f>Q16*H16</f>
        <v/>
      </c>
    </row>
    <row r="17">
      <c r="B17" s="398">
        <f>_xlfn.XLOOKUP(C17,'ABC-XYZ분석 (2)'!C:C,'ABC-XYZ분석 (2)'!B:B)</f>
        <v/>
      </c>
      <c r="C17" s="431" t="inlineStr">
        <is>
          <t>ABC16</t>
        </is>
      </c>
      <c r="D17" s="387" t="n"/>
      <c r="E17" s="387" t="n"/>
      <c r="F17" s="381">
        <f>_xlfn.XLOOKUP(표3[[#This Row],[SKU코드]],'ABC-XYZ분석 (2)'!C:C,'ABC-XYZ분석 (2)'!AC:AC)</f>
        <v/>
      </c>
      <c r="G17" s="388">
        <f>_xlfn.XLOOKUP(C17,'ABC-XYZ분석 (2)'!C:C,'ABC-XYZ분석 (2)'!AG:AG)</f>
        <v/>
      </c>
      <c r="H17" s="389">
        <f>SUMIF(재고!C:C,재고분석!C17,재고!I:I)</f>
        <v/>
      </c>
      <c r="I17" s="388">
        <f>SUMIF(안전재고!A:A,재고분석!$C17,안전재고!I:I)</f>
        <v/>
      </c>
      <c r="J17" s="559">
        <f>SUMIF('ABC-XYZ분석 (2)'!C:C,재고분석!$C17,'ABC-XYZ분석 (2)'!X:X)</f>
        <v/>
      </c>
      <c r="K17" s="556">
        <f>IFERROR(재고분석!$J17/재고분석!$H17,"")</f>
        <v/>
      </c>
      <c r="L17" s="556">
        <f>IFERROR(재고분석!$K17*12,"")</f>
        <v/>
      </c>
      <c r="M17" s="559">
        <f>IFERROR(H17/(J17/30),"")</f>
        <v/>
      </c>
      <c r="N17" s="388">
        <f>IF(H17=0,"재고없음",IF(H17&lt;I17,"부족",IF(H17&lt;VLOOKUP(C17,공급물량!$B:$M,12,0)*0.8,"재주문",IF(H17&lt;=VLOOKUP(C17,공급물량!$B:$M,12,0)*1.2,"적정","과잉"))))</f>
        <v/>
      </c>
      <c r="O17" s="388">
        <f>IF(H17=0,"-",IF(K17&gt;=0.5,"우수",IF(K17&gt;=0.33,"적정",IF(K17&gt;=0.17,"주의","불량"))))</f>
        <v/>
      </c>
      <c r="P17" s="392">
        <f>IF(N17="재고없음","긴급발주",IF(N17="부족","긴급발주",IF(AND(N17="재주문",OR(O17="우수",O17="적정")),"현상유지",IF(N17="재주문","발주검토",IF(AND(N17="적정",O17="불량"),"판촉검토",IF(N17="적정","현상유지",IF(AND(N17="과잉",OR(O17="우수",O17="적정")),"발주축소","판촉/할인검토")))))))</f>
        <v/>
      </c>
      <c r="Q17" s="560">
        <f>_xlfn.XLOOKUP(재고분석!$C17,재고!C:C,재고!H:H)</f>
        <v/>
      </c>
      <c r="R17" s="561">
        <f>Q17*H17</f>
        <v/>
      </c>
    </row>
    <row r="18">
      <c r="B18" s="397">
        <f>_xlfn.XLOOKUP(C18,'ABC-XYZ분석 (2)'!C:C,'ABC-XYZ분석 (2)'!B:B)</f>
        <v/>
      </c>
      <c r="C18" s="431" t="inlineStr">
        <is>
          <t>ABC17</t>
        </is>
      </c>
      <c r="D18" s="380" t="n"/>
      <c r="E18" s="380" t="n"/>
      <c r="F18" s="381">
        <f>_xlfn.XLOOKUP(표3[[#This Row],[SKU코드]],'ABC-XYZ분석 (2)'!C:C,'ABC-XYZ분석 (2)'!AC:AC)</f>
        <v/>
      </c>
      <c r="G18" s="382">
        <f>_xlfn.XLOOKUP(C18,'ABC-XYZ분석 (2)'!C:C,'ABC-XYZ분석 (2)'!AG:AG)</f>
        <v/>
      </c>
      <c r="H18" s="383">
        <f>SUMIF(재고!C:C,재고분석!C18,재고!I:I)</f>
        <v/>
      </c>
      <c r="I18" s="382">
        <f>SUMIF(안전재고!A:A,재고분석!$C18,안전재고!I:I)</f>
        <v/>
      </c>
      <c r="J18" s="555">
        <f>SUMIF('ABC-XYZ분석 (2)'!C:C,재고분석!$C18,'ABC-XYZ분석 (2)'!X:X)</f>
        <v/>
      </c>
      <c r="K18" s="556">
        <f>IFERROR(재고분석!$J18/재고분석!$H18,"")</f>
        <v/>
      </c>
      <c r="L18" s="556">
        <f>IFERROR(재고분석!$K18*12,"")</f>
        <v/>
      </c>
      <c r="M18" s="555">
        <f>IFERROR(H18/(J18/30),"")</f>
        <v/>
      </c>
      <c r="N18" s="382">
        <f>IF(H18=0,"재고없음",IF(H18&lt;I18,"부족",IF(H18&lt;VLOOKUP(C18,공급물량!$B:$M,12,0)*0.8,"재주문",IF(H18&lt;=VLOOKUP(C18,공급물량!$B:$M,12,0)*1.2,"적정","과잉"))))</f>
        <v/>
      </c>
      <c r="O18" s="382">
        <f>IF(H18=0,"-",IF(K18&gt;=0.5,"우수",IF(K18&gt;=0.33,"적정",IF(K18&gt;=0.17,"주의","불량"))))</f>
        <v/>
      </c>
      <c r="P18" s="386">
        <f>IF(N18="재고없음","긴급발주",IF(N18="부족","긴급발주",IF(AND(N18="재주문",OR(O18="우수",O18="적정")),"현상유지",IF(N18="재주문","발주검토",IF(AND(N18="적정",O18="불량"),"판촉검토",IF(N18="적정","현상유지",IF(AND(N18="과잉",OR(O18="우수",O18="적정")),"발주축소","판촉/할인검토")))))))</f>
        <v/>
      </c>
      <c r="Q18" s="557">
        <f>_xlfn.XLOOKUP(재고분석!$C18,재고!C:C,재고!H:H)</f>
        <v/>
      </c>
      <c r="R18" s="558">
        <f>Q18*H18</f>
        <v/>
      </c>
    </row>
    <row r="19">
      <c r="B19" s="398">
        <f>_xlfn.XLOOKUP(C19,'ABC-XYZ분석 (2)'!C:C,'ABC-XYZ분석 (2)'!B:B)</f>
        <v/>
      </c>
      <c r="C19" s="431" t="inlineStr">
        <is>
          <t>ABC18</t>
        </is>
      </c>
      <c r="D19" s="387" t="n"/>
      <c r="E19" s="387" t="n"/>
      <c r="F19" s="381">
        <f>_xlfn.XLOOKUP(표3[[#This Row],[SKU코드]],'ABC-XYZ분석 (2)'!C:C,'ABC-XYZ분석 (2)'!AC:AC)</f>
        <v/>
      </c>
      <c r="G19" s="388">
        <f>_xlfn.XLOOKUP(C19,'ABC-XYZ분석 (2)'!C:C,'ABC-XYZ분석 (2)'!AG:AG)</f>
        <v/>
      </c>
      <c r="H19" s="389">
        <f>SUMIF(재고!C:C,재고분석!C19,재고!I:I)</f>
        <v/>
      </c>
      <c r="I19" s="388">
        <f>SUMIF(안전재고!A:A,재고분석!$C19,안전재고!I:I)</f>
        <v/>
      </c>
      <c r="J19" s="559">
        <f>SUMIF('ABC-XYZ분석 (2)'!C:C,재고분석!$C19,'ABC-XYZ분석 (2)'!X:X)</f>
        <v/>
      </c>
      <c r="K19" s="556">
        <f>IFERROR(재고분석!$J19/재고분석!$H19,"")</f>
        <v/>
      </c>
      <c r="L19" s="556">
        <f>IFERROR(재고분석!$K19*12,"")</f>
        <v/>
      </c>
      <c r="M19" s="559">
        <f>IFERROR(H19/(J19/30),"")</f>
        <v/>
      </c>
      <c r="N19" s="388">
        <f>IF(H19=0,"재고없음",IF(H19&lt;I19,"부족",IF(H19&lt;VLOOKUP(C19,공급물량!$B:$M,12,0)*0.8,"재주문",IF(H19&lt;=VLOOKUP(C19,공급물량!$B:$M,12,0)*1.2,"적정","과잉"))))</f>
        <v/>
      </c>
      <c r="O19" s="388">
        <f>IF(H19=0,"-",IF(K19&gt;=0.5,"우수",IF(K19&gt;=0.33,"적정",IF(K19&gt;=0.17,"주의","불량"))))</f>
        <v/>
      </c>
      <c r="P19" s="392">
        <f>IF(N19="재고없음","긴급발주",IF(N19="부족","긴급발주",IF(AND(N19="재주문",OR(O19="우수",O19="적정")),"현상유지",IF(N19="재주문","발주검토",IF(AND(N19="적정",O19="불량"),"판촉검토",IF(N19="적정","현상유지",IF(AND(N19="과잉",OR(O19="우수",O19="적정")),"발주축소","판촉/할인검토")))))))</f>
        <v/>
      </c>
      <c r="Q19" s="560">
        <f>_xlfn.XLOOKUP(재고분석!$C19,재고!C:C,재고!H:H)</f>
        <v/>
      </c>
      <c r="R19" s="561">
        <f>Q19*H19</f>
        <v/>
      </c>
    </row>
    <row r="20">
      <c r="B20" s="397">
        <f>_xlfn.XLOOKUP(C20,'ABC-XYZ분석 (2)'!C:C,'ABC-XYZ분석 (2)'!B:B)</f>
        <v/>
      </c>
      <c r="C20" s="431" t="inlineStr">
        <is>
          <t>ABC19</t>
        </is>
      </c>
      <c r="D20" s="380" t="n"/>
      <c r="E20" s="380" t="n"/>
      <c r="F20" s="381">
        <f>_xlfn.XLOOKUP(표3[[#This Row],[SKU코드]],'ABC-XYZ분석 (2)'!C:C,'ABC-XYZ분석 (2)'!AC:AC)</f>
        <v/>
      </c>
      <c r="G20" s="382">
        <f>_xlfn.XLOOKUP(C20,'ABC-XYZ분석 (2)'!C:C,'ABC-XYZ분석 (2)'!AG:AG)</f>
        <v/>
      </c>
      <c r="H20" s="383">
        <f>SUMIF(재고!C:C,재고분석!C20,재고!I:I)</f>
        <v/>
      </c>
      <c r="I20" s="382">
        <f>SUMIF(안전재고!A:A,재고분석!$C20,안전재고!I:I)</f>
        <v/>
      </c>
      <c r="J20" s="555">
        <f>SUMIF('ABC-XYZ분석 (2)'!C:C,재고분석!$C20,'ABC-XYZ분석 (2)'!X:X)</f>
        <v/>
      </c>
      <c r="K20" s="556">
        <f>IFERROR(재고분석!$J20/재고분석!$H20,"")</f>
        <v/>
      </c>
      <c r="L20" s="556">
        <f>IFERROR(재고분석!$K20*12,"")</f>
        <v/>
      </c>
      <c r="M20" s="555">
        <f>IFERROR(H20/(J20/30),"")</f>
        <v/>
      </c>
      <c r="N20" s="382">
        <f>IF(H20=0,"재고없음",IF(H20&lt;I20,"부족",IF(H20&lt;VLOOKUP(C20,공급물량!$B:$M,12,0)*0.8,"재주문",IF(H20&lt;=VLOOKUP(C20,공급물량!$B:$M,12,0)*1.2,"적정","과잉"))))</f>
        <v/>
      </c>
      <c r="O20" s="382">
        <f>IF(H20=0,"-",IF(K20&gt;=0.5,"우수",IF(K20&gt;=0.33,"적정",IF(K20&gt;=0.17,"주의","불량"))))</f>
        <v/>
      </c>
      <c r="P20" s="386">
        <f>IF(N20="재고없음","긴급발주",IF(N20="부족","긴급발주",IF(AND(N20="재주문",OR(O20="우수",O20="적정")),"현상유지",IF(N20="재주문","발주검토",IF(AND(N20="적정",O20="불량"),"판촉검토",IF(N20="적정","현상유지",IF(AND(N20="과잉",OR(O20="우수",O20="적정")),"발주축소","판촉/할인검토")))))))</f>
        <v/>
      </c>
      <c r="Q20" s="557">
        <f>_xlfn.XLOOKUP(재고분석!$C20,재고!C:C,재고!H:H)</f>
        <v/>
      </c>
      <c r="R20" s="558">
        <f>Q20*H20</f>
        <v/>
      </c>
    </row>
    <row r="21">
      <c r="B21" s="398">
        <f>_xlfn.XLOOKUP(C21,'ABC-XYZ분석 (2)'!C:C,'ABC-XYZ분석 (2)'!B:B)</f>
        <v/>
      </c>
      <c r="C21" s="431" t="inlineStr">
        <is>
          <t>ABC20</t>
        </is>
      </c>
      <c r="D21" s="387" t="n"/>
      <c r="E21" s="387" t="n"/>
      <c r="F21" s="381">
        <f>_xlfn.XLOOKUP(표3[[#This Row],[SKU코드]],'ABC-XYZ분석 (2)'!C:C,'ABC-XYZ분석 (2)'!AC:AC)</f>
        <v/>
      </c>
      <c r="G21" s="388">
        <f>_xlfn.XLOOKUP(C21,'ABC-XYZ분석 (2)'!C:C,'ABC-XYZ분석 (2)'!AG:AG)</f>
        <v/>
      </c>
      <c r="H21" s="389">
        <f>SUMIF(재고!C:C,재고분석!C21,재고!I:I)</f>
        <v/>
      </c>
      <c r="I21" s="388">
        <f>SUMIF(안전재고!A:A,재고분석!$C21,안전재고!I:I)</f>
        <v/>
      </c>
      <c r="J21" s="559">
        <f>SUMIF('ABC-XYZ분석 (2)'!C:C,재고분석!$C21,'ABC-XYZ분석 (2)'!X:X)</f>
        <v/>
      </c>
      <c r="K21" s="556">
        <f>IFERROR(재고분석!$J21/재고분석!$H21,"")</f>
        <v/>
      </c>
      <c r="L21" s="556">
        <f>IFERROR(재고분석!$K21*12,"")</f>
        <v/>
      </c>
      <c r="M21" s="559">
        <f>IFERROR(H21/(J21/30),"")</f>
        <v/>
      </c>
      <c r="N21" s="388">
        <f>IF(H21=0,"재고없음",IF(H21&lt;I21,"부족",IF(H21&lt;VLOOKUP(C21,공급물량!$B:$M,12,0)*0.8,"재주문",IF(H21&lt;=VLOOKUP(C21,공급물량!$B:$M,12,0)*1.2,"적정","과잉"))))</f>
        <v/>
      </c>
      <c r="O21" s="388">
        <f>IF(H21=0,"-",IF(K21&gt;=0.5,"우수",IF(K21&gt;=0.33,"적정",IF(K21&gt;=0.17,"주의","불량"))))</f>
        <v/>
      </c>
      <c r="P21" s="392">
        <f>IF(N21="재고없음","긴급발주",IF(N21="부족","긴급발주",IF(AND(N21="재주문",OR(O21="우수",O21="적정")),"현상유지",IF(N21="재주문","발주검토",IF(AND(N21="적정",O21="불량"),"판촉검토",IF(N21="적정","현상유지",IF(AND(N21="과잉",OR(O21="우수",O21="적정")),"발주축소","판촉/할인검토")))))))</f>
        <v/>
      </c>
      <c r="Q21" s="560">
        <f>_xlfn.XLOOKUP(재고분석!$C21,재고!C:C,재고!H:H)</f>
        <v/>
      </c>
      <c r="R21" s="561">
        <f>Q21*H21</f>
        <v/>
      </c>
    </row>
    <row r="22">
      <c r="B22" s="397">
        <f>_xlfn.XLOOKUP(C22,'ABC-XYZ분석 (2)'!C:C,'ABC-XYZ분석 (2)'!B:B)</f>
        <v/>
      </c>
      <c r="C22" s="431" t="inlineStr">
        <is>
          <t>ABC21</t>
        </is>
      </c>
      <c r="D22" s="380" t="n"/>
      <c r="E22" s="380" t="n"/>
      <c r="F22" s="381">
        <f>_xlfn.XLOOKUP(표3[[#This Row],[SKU코드]],'ABC-XYZ분석 (2)'!C:C,'ABC-XYZ분석 (2)'!AC:AC)</f>
        <v/>
      </c>
      <c r="G22" s="382">
        <f>_xlfn.XLOOKUP(C22,'ABC-XYZ분석 (2)'!C:C,'ABC-XYZ분석 (2)'!AG:AG)</f>
        <v/>
      </c>
      <c r="H22" s="383">
        <f>SUMIF(재고!C:C,재고분석!C22,재고!I:I)</f>
        <v/>
      </c>
      <c r="I22" s="382">
        <f>SUMIF(안전재고!A:A,재고분석!$C22,안전재고!I:I)</f>
        <v/>
      </c>
      <c r="J22" s="555">
        <f>SUMIF('ABC-XYZ분석 (2)'!C:C,재고분석!$C22,'ABC-XYZ분석 (2)'!X:X)</f>
        <v/>
      </c>
      <c r="K22" s="556">
        <f>IFERROR(재고분석!$J22/재고분석!$H22,"")</f>
        <v/>
      </c>
      <c r="L22" s="556">
        <f>IFERROR(재고분석!$K22*12,"")</f>
        <v/>
      </c>
      <c r="M22" s="555">
        <f>IFERROR(H22/(J22/30),"")</f>
        <v/>
      </c>
      <c r="N22" s="382">
        <f>IF(H22=0,"재고없음",IF(H22&lt;I22,"부족",IF(H22&lt;VLOOKUP(C22,공급물량!$B:$M,12,0)*0.8,"재주문",IF(H22&lt;=VLOOKUP(C22,공급물량!$B:$M,12,0)*1.2,"적정","과잉"))))</f>
        <v/>
      </c>
      <c r="O22" s="382">
        <f>IF(H22=0,"-",IF(K22&gt;=0.5,"우수",IF(K22&gt;=0.33,"적정",IF(K22&gt;=0.17,"주의","불량"))))</f>
        <v/>
      </c>
      <c r="P22" s="386">
        <f>IF(N22="재고없음","긴급발주",IF(N22="부족","긴급발주",IF(AND(N22="재주문",OR(O22="우수",O22="적정")),"현상유지",IF(N22="재주문","발주검토",IF(AND(N22="적정",O22="불량"),"판촉검토",IF(N22="적정","현상유지",IF(AND(N22="과잉",OR(O22="우수",O22="적정")),"발주축소","판촉/할인검토")))))))</f>
        <v/>
      </c>
      <c r="Q22" s="557">
        <f>_xlfn.XLOOKUP(재고분석!$C22,재고!C:C,재고!H:H)</f>
        <v/>
      </c>
      <c r="R22" s="558">
        <f>Q22*H22</f>
        <v/>
      </c>
    </row>
    <row r="23">
      <c r="B23" s="398">
        <f>_xlfn.XLOOKUP(C23,'ABC-XYZ분석 (2)'!C:C,'ABC-XYZ분석 (2)'!B:B)</f>
        <v/>
      </c>
      <c r="C23" s="431" t="inlineStr">
        <is>
          <t>ABC22</t>
        </is>
      </c>
      <c r="D23" s="387" t="n"/>
      <c r="E23" s="387" t="n"/>
      <c r="F23" s="381">
        <f>_xlfn.XLOOKUP(표3[[#This Row],[SKU코드]],'ABC-XYZ분석 (2)'!C:C,'ABC-XYZ분석 (2)'!AC:AC)</f>
        <v/>
      </c>
      <c r="G23" s="388">
        <f>_xlfn.XLOOKUP(C23,'ABC-XYZ분석 (2)'!C:C,'ABC-XYZ분석 (2)'!AG:AG)</f>
        <v/>
      </c>
      <c r="H23" s="389">
        <f>SUMIF(재고!C:C,재고분석!C23,재고!I:I)</f>
        <v/>
      </c>
      <c r="I23" s="388">
        <f>SUMIF(안전재고!A:A,재고분석!$C23,안전재고!I:I)</f>
        <v/>
      </c>
      <c r="J23" s="559">
        <f>SUMIF('ABC-XYZ분석 (2)'!C:C,재고분석!$C23,'ABC-XYZ분석 (2)'!X:X)</f>
        <v/>
      </c>
      <c r="K23" s="556">
        <f>IFERROR(재고분석!$J23/재고분석!$H23,"")</f>
        <v/>
      </c>
      <c r="L23" s="556">
        <f>IFERROR(재고분석!$K23*12,"")</f>
        <v/>
      </c>
      <c r="M23" s="559">
        <f>IFERROR(H23/(J23/30),"")</f>
        <v/>
      </c>
      <c r="N23" s="388">
        <f>IF(H23=0,"재고없음",IF(H23&lt;I23,"부족",IF(H23&lt;VLOOKUP(C23,공급물량!$B:$M,12,0)*0.8,"재주문",IF(H23&lt;=VLOOKUP(C23,공급물량!$B:$M,12,0)*1.2,"적정","과잉"))))</f>
        <v/>
      </c>
      <c r="O23" s="388">
        <f>IF(H23=0,"-",IF(K23&gt;=0.5,"우수",IF(K23&gt;=0.33,"적정",IF(K23&gt;=0.17,"주의","불량"))))</f>
        <v/>
      </c>
      <c r="P23" s="392">
        <f>IF(N23="재고없음","긴급발주",IF(N23="부족","긴급발주",IF(AND(N23="재주문",OR(O23="우수",O23="적정")),"현상유지",IF(N23="재주문","발주검토",IF(AND(N23="적정",O23="불량"),"판촉검토",IF(N23="적정","현상유지",IF(AND(N23="과잉",OR(O23="우수",O23="적정")),"발주축소","판촉/할인검토")))))))</f>
        <v/>
      </c>
      <c r="Q23" s="560">
        <f>_xlfn.XLOOKUP(재고분석!$C23,재고!C:C,재고!H:H)</f>
        <v/>
      </c>
      <c r="R23" s="561">
        <f>Q23*H23</f>
        <v/>
      </c>
    </row>
    <row r="24">
      <c r="B24" s="397">
        <f>_xlfn.XLOOKUP(C24,'ABC-XYZ분석 (2)'!C:C,'ABC-XYZ분석 (2)'!B:B)</f>
        <v/>
      </c>
      <c r="C24" s="431" t="inlineStr">
        <is>
          <t>ABC23</t>
        </is>
      </c>
      <c r="D24" s="380" t="n"/>
      <c r="E24" s="380" t="n"/>
      <c r="F24" s="381">
        <f>_xlfn.XLOOKUP(표3[[#This Row],[SKU코드]],'ABC-XYZ분석 (2)'!C:C,'ABC-XYZ분석 (2)'!AC:AC)</f>
        <v/>
      </c>
      <c r="G24" s="382">
        <f>_xlfn.XLOOKUP(C24,'ABC-XYZ분석 (2)'!C:C,'ABC-XYZ분석 (2)'!AG:AG)</f>
        <v/>
      </c>
      <c r="H24" s="383">
        <f>SUMIF(재고!C:C,재고분석!C24,재고!I:I)</f>
        <v/>
      </c>
      <c r="I24" s="382">
        <f>SUMIF(안전재고!A:A,재고분석!$C24,안전재고!I:I)</f>
        <v/>
      </c>
      <c r="J24" s="555">
        <f>SUMIF('ABC-XYZ분석 (2)'!C:C,재고분석!$C24,'ABC-XYZ분석 (2)'!X:X)</f>
        <v/>
      </c>
      <c r="K24" s="556">
        <f>IFERROR(재고분석!$J24/재고분석!$H24,"")</f>
        <v/>
      </c>
      <c r="L24" s="556">
        <f>IFERROR(재고분석!$K24*12,"")</f>
        <v/>
      </c>
      <c r="M24" s="555">
        <f>IFERROR(H24/(J24/30),"")</f>
        <v/>
      </c>
      <c r="N24" s="382">
        <f>IF(H24=0,"재고없음",IF(H24&lt;I24,"부족",IF(H24&lt;VLOOKUP(C24,공급물량!$B:$M,12,0)*0.8,"재주문",IF(H24&lt;=VLOOKUP(C24,공급물량!$B:$M,12,0)*1.2,"적정","과잉"))))</f>
        <v/>
      </c>
      <c r="O24" s="382">
        <f>IF(H24=0,"-",IF(K24&gt;=0.5,"우수",IF(K24&gt;=0.33,"적정",IF(K24&gt;=0.17,"주의","불량"))))</f>
        <v/>
      </c>
      <c r="P24" s="386">
        <f>IF(N24="재고없음","긴급발주",IF(N24="부족","긴급발주",IF(AND(N24="재주문",OR(O24="우수",O24="적정")),"현상유지",IF(N24="재주문","발주검토",IF(AND(N24="적정",O24="불량"),"판촉검토",IF(N24="적정","현상유지",IF(AND(N24="과잉",OR(O24="우수",O24="적정")),"발주축소","판촉/할인검토")))))))</f>
        <v/>
      </c>
      <c r="Q24" s="557">
        <f>_xlfn.XLOOKUP(재고분석!$C24,재고!C:C,재고!H:H)</f>
        <v/>
      </c>
      <c r="R24" s="558">
        <f>Q24*H24</f>
        <v/>
      </c>
    </row>
    <row r="25">
      <c r="B25" s="398">
        <f>_xlfn.XLOOKUP(C25,'ABC-XYZ분석 (2)'!C:C,'ABC-XYZ분석 (2)'!B:B)</f>
        <v/>
      </c>
      <c r="C25" s="431" t="inlineStr">
        <is>
          <t>ABC24</t>
        </is>
      </c>
      <c r="D25" s="387" t="n"/>
      <c r="E25" s="387" t="n"/>
      <c r="F25" s="381">
        <f>_xlfn.XLOOKUP(표3[[#This Row],[SKU코드]],'ABC-XYZ분석 (2)'!C:C,'ABC-XYZ분석 (2)'!AC:AC)</f>
        <v/>
      </c>
      <c r="G25" s="388">
        <f>_xlfn.XLOOKUP(C25,'ABC-XYZ분석 (2)'!C:C,'ABC-XYZ분석 (2)'!AG:AG)</f>
        <v/>
      </c>
      <c r="H25" s="389">
        <f>SUMIF(재고!C:C,재고분석!C25,재고!I:I)</f>
        <v/>
      </c>
      <c r="I25" s="388">
        <f>SUMIF(안전재고!A:A,재고분석!$C25,안전재고!I:I)</f>
        <v/>
      </c>
      <c r="J25" s="559">
        <f>SUMIF('ABC-XYZ분석 (2)'!C:C,재고분석!$C25,'ABC-XYZ분석 (2)'!X:X)</f>
        <v/>
      </c>
      <c r="K25" s="556">
        <f>IFERROR(재고분석!$J25/재고분석!$H25,"")</f>
        <v/>
      </c>
      <c r="L25" s="556">
        <f>IFERROR(재고분석!$K25*12,"")</f>
        <v/>
      </c>
      <c r="M25" s="559">
        <f>IFERROR(H25/(J25/30),"")</f>
        <v/>
      </c>
      <c r="N25" s="388">
        <f>IF(H25=0,"재고없음",IF(H25&lt;I25,"부족",IF(H25&lt;VLOOKUP(C25,공급물량!$B:$M,12,0)*0.8,"재주문",IF(H25&lt;=VLOOKUP(C25,공급물량!$B:$M,12,0)*1.2,"적정","과잉"))))</f>
        <v/>
      </c>
      <c r="O25" s="388">
        <f>IF(H25=0,"-",IF(K25&gt;=0.5,"우수",IF(K25&gt;=0.33,"적정",IF(K25&gt;=0.17,"주의","불량"))))</f>
        <v/>
      </c>
      <c r="P25" s="392">
        <f>IF(N25="재고없음","긴급발주",IF(N25="부족","긴급발주",IF(AND(N25="재주문",OR(O25="우수",O25="적정")),"현상유지",IF(N25="재주문","발주검토",IF(AND(N25="적정",O25="불량"),"판촉검토",IF(N25="적정","현상유지",IF(AND(N25="과잉",OR(O25="우수",O25="적정")),"발주축소","판촉/할인검토")))))))</f>
        <v/>
      </c>
      <c r="Q25" s="560">
        <f>_xlfn.XLOOKUP(재고분석!$C25,재고!C:C,재고!H:H)</f>
        <v/>
      </c>
      <c r="R25" s="561">
        <f>Q25*H25</f>
        <v/>
      </c>
    </row>
    <row r="26">
      <c r="B26" s="397">
        <f>_xlfn.XLOOKUP(C26,'ABC-XYZ분석 (2)'!C:C,'ABC-XYZ분석 (2)'!B:B)</f>
        <v/>
      </c>
      <c r="C26" s="431" t="inlineStr">
        <is>
          <t>ABC25</t>
        </is>
      </c>
      <c r="D26" s="380" t="n"/>
      <c r="E26" s="380" t="n"/>
      <c r="F26" s="381">
        <f>_xlfn.XLOOKUP(표3[[#This Row],[SKU코드]],'ABC-XYZ분석 (2)'!C:C,'ABC-XYZ분석 (2)'!AC:AC)</f>
        <v/>
      </c>
      <c r="G26" s="382">
        <f>_xlfn.XLOOKUP(C26,'ABC-XYZ분석 (2)'!C:C,'ABC-XYZ분석 (2)'!AG:AG)</f>
        <v/>
      </c>
      <c r="H26" s="383">
        <f>SUMIF(재고!C:C,재고분석!C26,재고!I:I)</f>
        <v/>
      </c>
      <c r="I26" s="382">
        <f>SUMIF(안전재고!A:A,재고분석!$C26,안전재고!I:I)</f>
        <v/>
      </c>
      <c r="J26" s="555">
        <f>SUMIF('ABC-XYZ분석 (2)'!C:C,재고분석!$C26,'ABC-XYZ분석 (2)'!X:X)</f>
        <v/>
      </c>
      <c r="K26" s="556">
        <f>IFERROR(재고분석!$J26/재고분석!$H26,"")</f>
        <v/>
      </c>
      <c r="L26" s="556">
        <f>IFERROR(재고분석!$K26*12,"")</f>
        <v/>
      </c>
      <c r="M26" s="555">
        <f>IFERROR(H26/(J26/30),"")</f>
        <v/>
      </c>
      <c r="N26" s="382">
        <f>IF(H26=0,"재고없음",IF(H26&lt;I26,"부족",IF(H26&lt;VLOOKUP(C26,공급물량!$B:$M,12,0)*0.8,"재주문",IF(H26&lt;=VLOOKUP(C26,공급물량!$B:$M,12,0)*1.2,"적정","과잉"))))</f>
        <v/>
      </c>
      <c r="O26" s="382">
        <f>IF(H26=0,"-",IF(K26&gt;=0.5,"우수",IF(K26&gt;=0.33,"적정",IF(K26&gt;=0.17,"주의","불량"))))</f>
        <v/>
      </c>
      <c r="P26" s="386">
        <f>IF(N26="재고없음","긴급발주",IF(N26="부족","긴급발주",IF(AND(N26="재주문",OR(O26="우수",O26="적정")),"현상유지",IF(N26="재주문","발주검토",IF(AND(N26="적정",O26="불량"),"판촉검토",IF(N26="적정","현상유지",IF(AND(N26="과잉",OR(O26="우수",O26="적정")),"발주축소","판촉/할인검토")))))))</f>
        <v/>
      </c>
      <c r="Q26" s="557">
        <f>_xlfn.XLOOKUP(재고분석!$C26,재고!C:C,재고!H:H)</f>
        <v/>
      </c>
      <c r="R26" s="558">
        <f>Q26*H26</f>
        <v/>
      </c>
    </row>
    <row r="27">
      <c r="B27" s="398">
        <f>_xlfn.XLOOKUP(C27,'ABC-XYZ분석 (2)'!C:C,'ABC-XYZ분석 (2)'!B:B)</f>
        <v/>
      </c>
      <c r="C27" s="431" t="inlineStr">
        <is>
          <t>ABC26</t>
        </is>
      </c>
      <c r="D27" s="387" t="n"/>
      <c r="E27" s="387" t="n"/>
      <c r="F27" s="381">
        <f>_xlfn.XLOOKUP(표3[[#This Row],[SKU코드]],'ABC-XYZ분석 (2)'!C:C,'ABC-XYZ분석 (2)'!AC:AC)</f>
        <v/>
      </c>
      <c r="G27" s="388">
        <f>_xlfn.XLOOKUP(C27,'ABC-XYZ분석 (2)'!C:C,'ABC-XYZ분석 (2)'!AG:AG)</f>
        <v/>
      </c>
      <c r="H27" s="389">
        <f>SUMIF(재고!C:C,재고분석!C27,재고!I:I)</f>
        <v/>
      </c>
      <c r="I27" s="388">
        <f>SUMIF(안전재고!A:A,재고분석!$C27,안전재고!I:I)</f>
        <v/>
      </c>
      <c r="J27" s="559">
        <f>SUMIF('ABC-XYZ분석 (2)'!C:C,재고분석!$C27,'ABC-XYZ분석 (2)'!X:X)</f>
        <v/>
      </c>
      <c r="K27" s="556">
        <f>IFERROR(재고분석!$J27/재고분석!$H27,"")</f>
        <v/>
      </c>
      <c r="L27" s="556">
        <f>IFERROR(재고분석!$K27*12,"")</f>
        <v/>
      </c>
      <c r="M27" s="559">
        <f>IFERROR(H27/(J27/30),"")</f>
        <v/>
      </c>
      <c r="N27" s="388">
        <f>IF(H27=0,"재고없음",IF(H27&lt;I27,"부족",IF(H27&lt;VLOOKUP(C27,공급물량!$B:$M,12,0)*0.8,"재주문",IF(H27&lt;=VLOOKUP(C27,공급물량!$B:$M,12,0)*1.2,"적정","과잉"))))</f>
        <v/>
      </c>
      <c r="O27" s="388">
        <f>IF(H27=0,"-",IF(K27&gt;=0.5,"우수",IF(K27&gt;=0.33,"적정",IF(K27&gt;=0.17,"주의","불량"))))</f>
        <v/>
      </c>
      <c r="P27" s="392">
        <f>IF(N27="재고없음","긴급발주",IF(N27="부족","긴급발주",IF(AND(N27="재주문",OR(O27="우수",O27="적정")),"현상유지",IF(N27="재주문","발주검토",IF(AND(N27="적정",O27="불량"),"판촉검토",IF(N27="적정","현상유지",IF(AND(N27="과잉",OR(O27="우수",O27="적정")),"발주축소","판촉/할인검토")))))))</f>
        <v/>
      </c>
      <c r="Q27" s="560">
        <f>_xlfn.XLOOKUP(재고분석!$C27,재고!C:C,재고!H:H)</f>
        <v/>
      </c>
      <c r="R27" s="561">
        <f>Q27*H27</f>
        <v/>
      </c>
    </row>
    <row r="28">
      <c r="B28" s="397">
        <f>_xlfn.XLOOKUP(C28,'ABC-XYZ분석 (2)'!C:C,'ABC-XYZ분석 (2)'!B:B)</f>
        <v/>
      </c>
      <c r="C28" s="431" t="inlineStr">
        <is>
          <t>ABC27</t>
        </is>
      </c>
      <c r="D28" s="380" t="n"/>
      <c r="E28" s="380" t="n"/>
      <c r="F28" s="381">
        <f>_xlfn.XLOOKUP(표3[[#This Row],[SKU코드]],'ABC-XYZ분석 (2)'!C:C,'ABC-XYZ분석 (2)'!AC:AC)</f>
        <v/>
      </c>
      <c r="G28" s="382">
        <f>_xlfn.XLOOKUP(C28,'ABC-XYZ분석 (2)'!C:C,'ABC-XYZ분석 (2)'!AG:AG)</f>
        <v/>
      </c>
      <c r="H28" s="383">
        <f>SUMIF(재고!C:C,재고분석!C28,재고!I:I)</f>
        <v/>
      </c>
      <c r="I28" s="382">
        <f>SUMIF(안전재고!A:A,재고분석!$C28,안전재고!I:I)</f>
        <v/>
      </c>
      <c r="J28" s="555">
        <f>SUMIF('ABC-XYZ분석 (2)'!C:C,재고분석!$C28,'ABC-XYZ분석 (2)'!X:X)</f>
        <v/>
      </c>
      <c r="K28" s="556">
        <f>IFERROR(재고분석!$J28/재고분석!$H28,"")</f>
        <v/>
      </c>
      <c r="L28" s="556">
        <f>IFERROR(재고분석!$K28*12,"")</f>
        <v/>
      </c>
      <c r="M28" s="555">
        <f>IFERROR(H28/(J28/30),"")</f>
        <v/>
      </c>
      <c r="N28" s="382">
        <f>IF(H28=0,"재고없음",IF(H28&lt;I28,"부족",IF(H28&lt;VLOOKUP(C28,공급물량!$B:$M,12,0)*0.8,"재주문",IF(H28&lt;=VLOOKUP(C28,공급물량!$B:$M,12,0)*1.2,"적정","과잉"))))</f>
        <v/>
      </c>
      <c r="O28" s="382">
        <f>IF(H28=0,"-",IF(K28&gt;=0.5,"우수",IF(K28&gt;=0.33,"적정",IF(K28&gt;=0.17,"주의","불량"))))</f>
        <v/>
      </c>
      <c r="P28" s="386">
        <f>IF(N28="재고없음","긴급발주",IF(N28="부족","긴급발주",IF(AND(N28="재주문",OR(O28="우수",O28="적정")),"현상유지",IF(N28="재주문","발주검토",IF(AND(N28="적정",O28="불량"),"판촉검토",IF(N28="적정","현상유지",IF(AND(N28="과잉",OR(O28="우수",O28="적정")),"발주축소","판촉/할인검토")))))))</f>
        <v/>
      </c>
      <c r="Q28" s="557">
        <f>_xlfn.XLOOKUP(재고분석!$C28,재고!C:C,재고!H:H)</f>
        <v/>
      </c>
      <c r="R28" s="558">
        <f>Q28*H28</f>
        <v/>
      </c>
    </row>
    <row r="29">
      <c r="B29" s="398">
        <f>_xlfn.XLOOKUP(C29,'ABC-XYZ분석 (2)'!C:C,'ABC-XYZ분석 (2)'!B:B)</f>
        <v/>
      </c>
      <c r="C29" s="431" t="inlineStr">
        <is>
          <t>ABC28</t>
        </is>
      </c>
      <c r="D29" s="387" t="n"/>
      <c r="E29" s="387" t="n"/>
      <c r="F29" s="381">
        <f>_xlfn.XLOOKUP(표3[[#This Row],[SKU코드]],'ABC-XYZ분석 (2)'!C:C,'ABC-XYZ분석 (2)'!AC:AC)</f>
        <v/>
      </c>
      <c r="G29" s="388">
        <f>_xlfn.XLOOKUP(C29,'ABC-XYZ분석 (2)'!C:C,'ABC-XYZ분석 (2)'!AG:AG)</f>
        <v/>
      </c>
      <c r="H29" s="389">
        <f>SUMIF(재고!C:C,재고분석!C29,재고!I:I)</f>
        <v/>
      </c>
      <c r="I29" s="388">
        <f>SUMIF(안전재고!A:A,재고분석!$C29,안전재고!I:I)</f>
        <v/>
      </c>
      <c r="J29" s="559">
        <f>SUMIF('ABC-XYZ분석 (2)'!C:C,재고분석!$C29,'ABC-XYZ분석 (2)'!X:X)</f>
        <v/>
      </c>
      <c r="K29" s="556">
        <f>IFERROR(재고분석!$J29/재고분석!$H29,"")</f>
        <v/>
      </c>
      <c r="L29" s="556">
        <f>IFERROR(재고분석!$K29*12,"")</f>
        <v/>
      </c>
      <c r="M29" s="559">
        <f>IFERROR(H29/(J29/30),"")</f>
        <v/>
      </c>
      <c r="N29" s="388">
        <f>IF(H29=0,"재고없음",IF(H29&lt;I29,"부족",IF(H29&lt;VLOOKUP(C29,공급물량!$B:$M,12,0)*0.8,"재주문",IF(H29&lt;=VLOOKUP(C29,공급물량!$B:$M,12,0)*1.2,"적정","과잉"))))</f>
        <v/>
      </c>
      <c r="O29" s="388">
        <f>IF(H29=0,"-",IF(K29&gt;=0.5,"우수",IF(K29&gt;=0.33,"적정",IF(K29&gt;=0.17,"주의","불량"))))</f>
        <v/>
      </c>
      <c r="P29" s="392">
        <f>IF(N29="재고없음","긴급발주",IF(N29="부족","긴급발주",IF(AND(N29="재주문",OR(O29="우수",O29="적정")),"현상유지",IF(N29="재주문","발주검토",IF(AND(N29="적정",O29="불량"),"판촉검토",IF(N29="적정","현상유지",IF(AND(N29="과잉",OR(O29="우수",O29="적정")),"발주축소","판촉/할인검토")))))))</f>
        <v/>
      </c>
      <c r="Q29" s="560">
        <f>_xlfn.XLOOKUP(재고분석!$C29,재고!C:C,재고!H:H)</f>
        <v/>
      </c>
      <c r="R29" s="561">
        <f>Q29*H29</f>
        <v/>
      </c>
    </row>
    <row r="30">
      <c r="B30" s="397">
        <f>_xlfn.XLOOKUP(C30,'ABC-XYZ분석 (2)'!C:C,'ABC-XYZ분석 (2)'!B:B)</f>
        <v/>
      </c>
      <c r="C30" s="431" t="inlineStr">
        <is>
          <t>ABC29</t>
        </is>
      </c>
      <c r="D30" s="380" t="n"/>
      <c r="E30" s="380" t="n"/>
      <c r="F30" s="381">
        <f>_xlfn.XLOOKUP(표3[[#This Row],[SKU코드]],'ABC-XYZ분석 (2)'!C:C,'ABC-XYZ분석 (2)'!AC:AC)</f>
        <v/>
      </c>
      <c r="G30" s="382">
        <f>_xlfn.XLOOKUP(C30,'ABC-XYZ분석 (2)'!C:C,'ABC-XYZ분석 (2)'!AG:AG)</f>
        <v/>
      </c>
      <c r="H30" s="383">
        <f>SUMIF(재고!C:C,재고분석!C30,재고!I:I)</f>
        <v/>
      </c>
      <c r="I30" s="382">
        <f>SUMIF(안전재고!A:A,재고분석!$C30,안전재고!I:I)</f>
        <v/>
      </c>
      <c r="J30" s="555">
        <f>SUMIF('ABC-XYZ분석 (2)'!C:C,재고분석!$C30,'ABC-XYZ분석 (2)'!X:X)</f>
        <v/>
      </c>
      <c r="K30" s="556">
        <f>IFERROR(재고분석!$J30/재고분석!$H30,"")</f>
        <v/>
      </c>
      <c r="L30" s="556">
        <f>IFERROR(재고분석!$K30*12,"")</f>
        <v/>
      </c>
      <c r="M30" s="555">
        <f>IFERROR(H30/(J30/30),"")</f>
        <v/>
      </c>
      <c r="N30" s="382">
        <f>IF(H30=0,"재고없음",IF(H30&lt;I30,"부족",IF(H30&lt;VLOOKUP(C30,공급물량!$B:$M,12,0)*0.8,"재주문",IF(H30&lt;=VLOOKUP(C30,공급물량!$B:$M,12,0)*1.2,"적정","과잉"))))</f>
        <v/>
      </c>
      <c r="O30" s="382">
        <f>IF(H30=0,"-",IF(K30&gt;=0.5,"우수",IF(K30&gt;=0.33,"적정",IF(K30&gt;=0.17,"주의","불량"))))</f>
        <v/>
      </c>
      <c r="P30" s="386">
        <f>IF(N30="재고없음","긴급발주",IF(N30="부족","긴급발주",IF(AND(N30="재주문",OR(O30="우수",O30="적정")),"현상유지",IF(N30="재주문","발주검토",IF(AND(N30="적정",O30="불량"),"판촉검토",IF(N30="적정","현상유지",IF(AND(N30="과잉",OR(O30="우수",O30="적정")),"발주축소","판촉/할인검토")))))))</f>
        <v/>
      </c>
      <c r="Q30" s="557">
        <f>_xlfn.XLOOKUP(재고분석!$C30,재고!C:C,재고!H:H)</f>
        <v/>
      </c>
      <c r="R30" s="558">
        <f>Q30*H30</f>
        <v/>
      </c>
    </row>
    <row r="31">
      <c r="B31" s="398">
        <f>_xlfn.XLOOKUP(C31,'ABC-XYZ분석 (2)'!C:C,'ABC-XYZ분석 (2)'!B:B)</f>
        <v/>
      </c>
      <c r="C31" s="431" t="inlineStr">
        <is>
          <t>ABC30</t>
        </is>
      </c>
      <c r="D31" s="387" t="n"/>
      <c r="E31" s="387" t="n"/>
      <c r="F31" s="381">
        <f>_xlfn.XLOOKUP(표3[[#This Row],[SKU코드]],'ABC-XYZ분석 (2)'!C:C,'ABC-XYZ분석 (2)'!AC:AC)</f>
        <v/>
      </c>
      <c r="G31" s="388">
        <f>_xlfn.XLOOKUP(C31,'ABC-XYZ분석 (2)'!C:C,'ABC-XYZ분석 (2)'!AG:AG)</f>
        <v/>
      </c>
      <c r="H31" s="389">
        <f>SUMIF(재고!C:C,재고분석!C31,재고!I:I)</f>
        <v/>
      </c>
      <c r="I31" s="388">
        <f>SUMIF(안전재고!A:A,재고분석!$C31,안전재고!I:I)</f>
        <v/>
      </c>
      <c r="J31" s="559">
        <f>SUMIF('ABC-XYZ분석 (2)'!C:C,재고분석!$C31,'ABC-XYZ분석 (2)'!X:X)</f>
        <v/>
      </c>
      <c r="K31" s="556">
        <f>IFERROR(재고분석!$J31/재고분석!$H31,"")</f>
        <v/>
      </c>
      <c r="L31" s="556">
        <f>IFERROR(재고분석!$K31*12,"")</f>
        <v/>
      </c>
      <c r="M31" s="559">
        <f>IFERROR(H31/(J31/30),"")</f>
        <v/>
      </c>
      <c r="N31" s="388">
        <f>IF(H31=0,"재고없음",IF(H31&lt;I31,"부족",IF(H31&lt;VLOOKUP(C31,공급물량!$B:$M,12,0)*0.8,"재주문",IF(H31&lt;=VLOOKUP(C31,공급물량!$B:$M,12,0)*1.2,"적정","과잉"))))</f>
        <v/>
      </c>
      <c r="O31" s="388">
        <f>IF(H31=0,"-",IF(K31&gt;=0.5,"우수",IF(K31&gt;=0.33,"적정",IF(K31&gt;=0.17,"주의","불량"))))</f>
        <v/>
      </c>
      <c r="P31" s="392">
        <f>IF(N31="재고없음","긴급발주",IF(N31="부족","긴급발주",IF(AND(N31="재주문",OR(O31="우수",O31="적정")),"현상유지",IF(N31="재주문","발주검토",IF(AND(N31="적정",O31="불량"),"판촉검토",IF(N31="적정","현상유지",IF(AND(N31="과잉",OR(O31="우수",O31="적정")),"발주축소","판촉/할인검토")))))))</f>
        <v/>
      </c>
      <c r="Q31" s="560">
        <f>_xlfn.XLOOKUP(재고분석!$C31,재고!C:C,재고!H:H)</f>
        <v/>
      </c>
      <c r="R31" s="561">
        <f>Q31*H31</f>
        <v/>
      </c>
    </row>
    <row r="32">
      <c r="B32" s="397">
        <f>_xlfn.XLOOKUP(C32,'ABC-XYZ분석 (2)'!C:C,'ABC-XYZ분석 (2)'!B:B)</f>
        <v/>
      </c>
      <c r="C32" s="431" t="inlineStr">
        <is>
          <t>ABC31</t>
        </is>
      </c>
      <c r="D32" s="380" t="n"/>
      <c r="E32" s="380" t="n"/>
      <c r="F32" s="381">
        <f>_xlfn.XLOOKUP(표3[[#This Row],[SKU코드]],'ABC-XYZ분석 (2)'!C:C,'ABC-XYZ분석 (2)'!AC:AC)</f>
        <v/>
      </c>
      <c r="G32" s="382">
        <f>_xlfn.XLOOKUP(C32,'ABC-XYZ분석 (2)'!C:C,'ABC-XYZ분석 (2)'!AG:AG)</f>
        <v/>
      </c>
      <c r="H32" s="383">
        <f>SUMIF(재고!C:C,재고분석!C32,재고!I:I)</f>
        <v/>
      </c>
      <c r="I32" s="382">
        <f>SUMIF(안전재고!A:A,재고분석!$C32,안전재고!I:I)</f>
        <v/>
      </c>
      <c r="J32" s="555">
        <f>SUMIF('ABC-XYZ분석 (2)'!C:C,재고분석!$C32,'ABC-XYZ분석 (2)'!X:X)</f>
        <v/>
      </c>
      <c r="K32" s="556">
        <f>IFERROR(재고분석!$J32/재고분석!$H32,"")</f>
        <v/>
      </c>
      <c r="L32" s="556">
        <f>IFERROR(재고분석!$K32*12,"")</f>
        <v/>
      </c>
      <c r="M32" s="555">
        <f>IFERROR(H32/(J32/30),"")</f>
        <v/>
      </c>
      <c r="N32" s="382">
        <f>IF(H32=0,"재고없음",IF(H32&lt;I32,"부족",IF(H32&lt;VLOOKUP(C32,공급물량!$B:$M,12,0)*0.8,"재주문",IF(H32&lt;=VLOOKUP(C32,공급물량!$B:$M,12,0)*1.2,"적정","과잉"))))</f>
        <v/>
      </c>
      <c r="O32" s="382">
        <f>IF(H32=0,"-",IF(K32&gt;=0.5,"우수",IF(K32&gt;=0.33,"적정",IF(K32&gt;=0.17,"주의","불량"))))</f>
        <v/>
      </c>
      <c r="P32" s="386">
        <f>IF(N32="재고없음","긴급발주",IF(N32="부족","긴급발주",IF(AND(N32="재주문",OR(O32="우수",O32="적정")),"현상유지",IF(N32="재주문","발주검토",IF(AND(N32="적정",O32="불량"),"판촉검토",IF(N32="적정","현상유지",IF(AND(N32="과잉",OR(O32="우수",O32="적정")),"발주축소","판촉/할인검토")))))))</f>
        <v/>
      </c>
      <c r="Q32" s="557">
        <f>_xlfn.XLOOKUP(재고분석!$C32,재고!C:C,재고!H:H)</f>
        <v/>
      </c>
      <c r="R32" s="558">
        <f>Q32*H32</f>
        <v/>
      </c>
    </row>
    <row r="33">
      <c r="B33" s="398">
        <f>_xlfn.XLOOKUP(C33,'ABC-XYZ분석 (2)'!C:C,'ABC-XYZ분석 (2)'!B:B)</f>
        <v/>
      </c>
      <c r="C33" s="431" t="inlineStr">
        <is>
          <t>ABC32</t>
        </is>
      </c>
      <c r="D33" s="387" t="n"/>
      <c r="E33" s="387" t="n"/>
      <c r="F33" s="381">
        <f>_xlfn.XLOOKUP(표3[[#This Row],[SKU코드]],'ABC-XYZ분석 (2)'!C:C,'ABC-XYZ분석 (2)'!AC:AC)</f>
        <v/>
      </c>
      <c r="G33" s="388">
        <f>_xlfn.XLOOKUP(C33,'ABC-XYZ분석 (2)'!C:C,'ABC-XYZ분석 (2)'!AG:AG)</f>
        <v/>
      </c>
      <c r="H33" s="389">
        <f>SUMIF(재고!C:C,재고분석!C33,재고!I:I)</f>
        <v/>
      </c>
      <c r="I33" s="388">
        <f>SUMIF(안전재고!A:A,재고분석!$C33,안전재고!I:I)</f>
        <v/>
      </c>
      <c r="J33" s="559">
        <f>SUMIF('ABC-XYZ분석 (2)'!C:C,재고분석!$C33,'ABC-XYZ분석 (2)'!X:X)</f>
        <v/>
      </c>
      <c r="K33" s="556">
        <f>IFERROR(재고분석!$J33/재고분석!$H33,"")</f>
        <v/>
      </c>
      <c r="L33" s="556">
        <f>IFERROR(재고분석!$K33*12,"")</f>
        <v/>
      </c>
      <c r="M33" s="559">
        <f>IFERROR(H33/(J33/30),"")</f>
        <v/>
      </c>
      <c r="N33" s="388">
        <f>IF(H33=0,"재고없음",IF(H33&lt;I33,"부족",IF(H33&lt;VLOOKUP(C33,공급물량!$B:$M,12,0)*0.8,"재주문",IF(H33&lt;=VLOOKUP(C33,공급물량!$B:$M,12,0)*1.2,"적정","과잉"))))</f>
        <v/>
      </c>
      <c r="O33" s="388">
        <f>IF(H33=0,"-",IF(K33&gt;=0.5,"우수",IF(K33&gt;=0.33,"적정",IF(K33&gt;=0.17,"주의","불량"))))</f>
        <v/>
      </c>
      <c r="P33" s="392">
        <f>IF(N33="재고없음","긴급발주",IF(N33="부족","긴급발주",IF(AND(N33="재주문",OR(O33="우수",O33="적정")),"현상유지",IF(N33="재주문","발주검토",IF(AND(N33="적정",O33="불량"),"판촉검토",IF(N33="적정","현상유지",IF(AND(N33="과잉",OR(O33="우수",O33="적정")),"발주축소","판촉/할인검토")))))))</f>
        <v/>
      </c>
      <c r="Q33" s="560">
        <f>_xlfn.XLOOKUP(재고분석!$C33,재고!C:C,재고!H:H)</f>
        <v/>
      </c>
      <c r="R33" s="561">
        <f>Q33*H33</f>
        <v/>
      </c>
    </row>
    <row r="34">
      <c r="B34" s="397">
        <f>_xlfn.XLOOKUP(C34,'ABC-XYZ분석 (2)'!C:C,'ABC-XYZ분석 (2)'!B:B)</f>
        <v/>
      </c>
      <c r="C34" s="431" t="inlineStr">
        <is>
          <t>ABC33</t>
        </is>
      </c>
      <c r="D34" s="380" t="n"/>
      <c r="E34" s="380" t="n"/>
      <c r="F34" s="381">
        <f>_xlfn.XLOOKUP(표3[[#This Row],[SKU코드]],'ABC-XYZ분석 (2)'!C:C,'ABC-XYZ분석 (2)'!AC:AC)</f>
        <v/>
      </c>
      <c r="G34" s="382">
        <f>_xlfn.XLOOKUP(C34,'ABC-XYZ분석 (2)'!C:C,'ABC-XYZ분석 (2)'!AG:AG)</f>
        <v/>
      </c>
      <c r="H34" s="383">
        <f>SUMIF(재고!C:C,재고분석!C34,재고!I:I)</f>
        <v/>
      </c>
      <c r="I34" s="382">
        <f>SUMIF(안전재고!A:A,재고분석!$C34,안전재고!I:I)</f>
        <v/>
      </c>
      <c r="J34" s="555">
        <f>SUMIF('ABC-XYZ분석 (2)'!C:C,재고분석!$C34,'ABC-XYZ분석 (2)'!X:X)</f>
        <v/>
      </c>
      <c r="K34" s="556">
        <f>IFERROR(재고분석!$J34/재고분석!$H34,"")</f>
        <v/>
      </c>
      <c r="L34" s="556">
        <f>IFERROR(재고분석!$K34*12,"")</f>
        <v/>
      </c>
      <c r="M34" s="555">
        <f>IFERROR(H34/(J34/30),"")</f>
        <v/>
      </c>
      <c r="N34" s="382">
        <f>IF(H34=0,"재고없음",IF(H34&lt;I34,"부족",IF(H34&lt;VLOOKUP(C34,공급물량!$B:$M,12,0)*0.8,"재주문",IF(H34&lt;=VLOOKUP(C34,공급물량!$B:$M,12,0)*1.2,"적정","과잉"))))</f>
        <v/>
      </c>
      <c r="O34" s="382">
        <f>IF(H34=0,"-",IF(K34&gt;=0.5,"우수",IF(K34&gt;=0.33,"적정",IF(K34&gt;=0.17,"주의","불량"))))</f>
        <v/>
      </c>
      <c r="P34" s="386">
        <f>IF(N34="재고없음","긴급발주",IF(N34="부족","긴급발주",IF(AND(N34="재주문",OR(O34="우수",O34="적정")),"현상유지",IF(N34="재주문","발주검토",IF(AND(N34="적정",O34="불량"),"판촉검토",IF(N34="적정","현상유지",IF(AND(N34="과잉",OR(O34="우수",O34="적정")),"발주축소","판촉/할인검토")))))))</f>
        <v/>
      </c>
      <c r="Q34" s="557">
        <f>_xlfn.XLOOKUP(재고분석!$C34,재고!C:C,재고!H:H)</f>
        <v/>
      </c>
      <c r="R34" s="558">
        <f>Q34*H34</f>
        <v/>
      </c>
    </row>
    <row r="35">
      <c r="B35" s="398">
        <f>_xlfn.XLOOKUP(C35,'ABC-XYZ분석 (2)'!C:C,'ABC-XYZ분석 (2)'!B:B)</f>
        <v/>
      </c>
      <c r="C35" s="431" t="inlineStr">
        <is>
          <t>ABC34</t>
        </is>
      </c>
      <c r="D35" s="387" t="n"/>
      <c r="E35" s="387" t="n"/>
      <c r="F35" s="381">
        <f>_xlfn.XLOOKUP(표3[[#This Row],[SKU코드]],'ABC-XYZ분석 (2)'!C:C,'ABC-XYZ분석 (2)'!AC:AC)</f>
        <v/>
      </c>
      <c r="G35" s="388">
        <f>_xlfn.XLOOKUP(C35,'ABC-XYZ분석 (2)'!C:C,'ABC-XYZ분석 (2)'!AG:AG)</f>
        <v/>
      </c>
      <c r="H35" s="389">
        <f>SUMIF(재고!C:C,재고분석!C35,재고!I:I)</f>
        <v/>
      </c>
      <c r="I35" s="388">
        <f>SUMIF(안전재고!A:A,재고분석!$C35,안전재고!I:I)</f>
        <v/>
      </c>
      <c r="J35" s="559">
        <f>SUMIF('ABC-XYZ분석 (2)'!C:C,재고분석!$C35,'ABC-XYZ분석 (2)'!X:X)</f>
        <v/>
      </c>
      <c r="K35" s="556">
        <f>IFERROR(재고분석!$J35/재고분석!$H35,"")</f>
        <v/>
      </c>
      <c r="L35" s="556">
        <f>IFERROR(재고분석!$K35*12,"")</f>
        <v/>
      </c>
      <c r="M35" s="559">
        <f>IFERROR(H35/(J35/30),"")</f>
        <v/>
      </c>
      <c r="N35" s="388">
        <f>IF(H35=0,"재고없음",IF(H35&lt;I35,"부족",IF(H35&lt;VLOOKUP(C35,공급물량!$B:$M,12,0)*0.8,"재주문",IF(H35&lt;=VLOOKUP(C35,공급물량!$B:$M,12,0)*1.2,"적정","과잉"))))</f>
        <v/>
      </c>
      <c r="O35" s="388">
        <f>IF(H35=0,"-",IF(K35&gt;=0.5,"우수",IF(K35&gt;=0.33,"적정",IF(K35&gt;=0.17,"주의","불량"))))</f>
        <v/>
      </c>
      <c r="P35" s="392">
        <f>IF(N35="재고없음","긴급발주",IF(N35="부족","긴급발주",IF(AND(N35="재주문",OR(O35="우수",O35="적정")),"현상유지",IF(N35="재주문","발주검토",IF(AND(N35="적정",O35="불량"),"판촉검토",IF(N35="적정","현상유지",IF(AND(N35="과잉",OR(O35="우수",O35="적정")),"발주축소","판촉/할인검토")))))))</f>
        <v/>
      </c>
      <c r="Q35" s="560">
        <f>_xlfn.XLOOKUP(재고분석!$C35,재고!C:C,재고!H:H)</f>
        <v/>
      </c>
      <c r="R35" s="561">
        <f>Q35*H35</f>
        <v/>
      </c>
    </row>
    <row r="36">
      <c r="B36" s="397">
        <f>_xlfn.XLOOKUP(C36,'ABC-XYZ분석 (2)'!C:C,'ABC-XYZ분석 (2)'!B:B)</f>
        <v/>
      </c>
      <c r="C36" s="431" t="inlineStr">
        <is>
          <t>ABC35</t>
        </is>
      </c>
      <c r="D36" s="380" t="n"/>
      <c r="E36" s="380" t="n"/>
      <c r="F36" s="381">
        <f>_xlfn.XLOOKUP(표3[[#This Row],[SKU코드]],'ABC-XYZ분석 (2)'!C:C,'ABC-XYZ분석 (2)'!AC:AC)</f>
        <v/>
      </c>
      <c r="G36" s="382">
        <f>_xlfn.XLOOKUP(C36,'ABC-XYZ분석 (2)'!C:C,'ABC-XYZ분석 (2)'!AG:AG)</f>
        <v/>
      </c>
      <c r="H36" s="383">
        <f>SUMIF(재고!C:C,재고분석!C36,재고!I:I)</f>
        <v/>
      </c>
      <c r="I36" s="382">
        <f>SUMIF(안전재고!A:A,재고분석!$C36,안전재고!I:I)</f>
        <v/>
      </c>
      <c r="J36" s="555">
        <f>SUMIF('ABC-XYZ분석 (2)'!C:C,재고분석!$C36,'ABC-XYZ분석 (2)'!X:X)</f>
        <v/>
      </c>
      <c r="K36" s="556">
        <f>IFERROR(재고분석!$J36/재고분석!$H36,"")</f>
        <v/>
      </c>
      <c r="L36" s="556">
        <f>IFERROR(재고분석!$K36*12,"")</f>
        <v/>
      </c>
      <c r="M36" s="555">
        <f>IFERROR(H36/(J36/30),"")</f>
        <v/>
      </c>
      <c r="N36" s="382">
        <f>IF(H36=0,"재고없음",IF(H36&lt;I36,"부족",IF(H36&lt;VLOOKUP(C36,공급물량!$B:$M,12,0)*0.8,"재주문",IF(H36&lt;=VLOOKUP(C36,공급물량!$B:$M,12,0)*1.2,"적정","과잉"))))</f>
        <v/>
      </c>
      <c r="O36" s="382">
        <f>IF(H36=0,"-",IF(K36&gt;=0.5,"우수",IF(K36&gt;=0.33,"적정",IF(K36&gt;=0.17,"주의","불량"))))</f>
        <v/>
      </c>
      <c r="P36" s="386">
        <f>IF(N36="재고없음","긴급발주",IF(N36="부족","긴급발주",IF(AND(N36="재주문",OR(O36="우수",O36="적정")),"현상유지",IF(N36="재주문","발주검토",IF(AND(N36="적정",O36="불량"),"판촉검토",IF(N36="적정","현상유지",IF(AND(N36="과잉",OR(O36="우수",O36="적정")),"발주축소","판촉/할인검토")))))))</f>
        <v/>
      </c>
      <c r="Q36" s="557">
        <f>_xlfn.XLOOKUP(재고분석!$C36,재고!C:C,재고!H:H)</f>
        <v/>
      </c>
      <c r="R36" s="558">
        <f>Q36*H36</f>
        <v/>
      </c>
    </row>
    <row r="37">
      <c r="B37" s="398">
        <f>_xlfn.XLOOKUP(C37,'ABC-XYZ분석 (2)'!C:C,'ABC-XYZ분석 (2)'!B:B)</f>
        <v/>
      </c>
      <c r="C37" s="431" t="inlineStr">
        <is>
          <t>ABC36</t>
        </is>
      </c>
      <c r="D37" s="387" t="n"/>
      <c r="E37" s="387" t="n"/>
      <c r="F37" s="381">
        <f>_xlfn.XLOOKUP(표3[[#This Row],[SKU코드]],'ABC-XYZ분석 (2)'!C:C,'ABC-XYZ분석 (2)'!AC:AC)</f>
        <v/>
      </c>
      <c r="G37" s="388">
        <f>_xlfn.XLOOKUP(C37,'ABC-XYZ분석 (2)'!C:C,'ABC-XYZ분석 (2)'!AG:AG)</f>
        <v/>
      </c>
      <c r="H37" s="389">
        <f>SUMIF(재고!C:C,재고분석!C37,재고!I:I)</f>
        <v/>
      </c>
      <c r="I37" s="388">
        <f>SUMIF(안전재고!A:A,재고분석!$C37,안전재고!I:I)</f>
        <v/>
      </c>
      <c r="J37" s="559">
        <f>SUMIF('ABC-XYZ분석 (2)'!C:C,재고분석!$C37,'ABC-XYZ분석 (2)'!X:X)</f>
        <v/>
      </c>
      <c r="K37" s="556">
        <f>IFERROR(재고분석!$J37/재고분석!$H37,"")</f>
        <v/>
      </c>
      <c r="L37" s="556">
        <f>IFERROR(재고분석!$K37*12,"")</f>
        <v/>
      </c>
      <c r="M37" s="559">
        <f>IFERROR(H37/(J37/30),"")</f>
        <v/>
      </c>
      <c r="N37" s="388">
        <f>IF(H37=0,"재고없음",IF(H37&lt;I37,"부족",IF(H37&lt;VLOOKUP(C37,공급물량!$B:$M,12,0)*0.8,"재주문",IF(H37&lt;=VLOOKUP(C37,공급물량!$B:$M,12,0)*1.2,"적정","과잉"))))</f>
        <v/>
      </c>
      <c r="O37" s="388">
        <f>IF(H37=0,"-",IF(K37&gt;=0.5,"우수",IF(K37&gt;=0.33,"적정",IF(K37&gt;=0.17,"주의","불량"))))</f>
        <v/>
      </c>
      <c r="P37" s="392">
        <f>IF(N37="재고없음","긴급발주",IF(N37="부족","긴급발주",IF(AND(N37="재주문",OR(O37="우수",O37="적정")),"현상유지",IF(N37="재주문","발주검토",IF(AND(N37="적정",O37="불량"),"판촉검토",IF(N37="적정","현상유지",IF(AND(N37="과잉",OR(O37="우수",O37="적정")),"발주축소","판촉/할인검토")))))))</f>
        <v/>
      </c>
      <c r="Q37" s="560">
        <f>_xlfn.XLOOKUP(재고분석!$C37,재고!C:C,재고!H:H)</f>
        <v/>
      </c>
      <c r="R37" s="561">
        <f>Q37*H37</f>
        <v/>
      </c>
    </row>
    <row r="38">
      <c r="B38" s="397">
        <f>_xlfn.XLOOKUP(C38,'ABC-XYZ분석 (2)'!C:C,'ABC-XYZ분석 (2)'!B:B)</f>
        <v/>
      </c>
      <c r="C38" s="431" t="inlineStr">
        <is>
          <t>ABC37</t>
        </is>
      </c>
      <c r="D38" s="380" t="n"/>
      <c r="E38" s="380" t="n"/>
      <c r="F38" s="381">
        <f>_xlfn.XLOOKUP(표3[[#This Row],[SKU코드]],'ABC-XYZ분석 (2)'!C:C,'ABC-XYZ분석 (2)'!AC:AC)</f>
        <v/>
      </c>
      <c r="G38" s="382">
        <f>_xlfn.XLOOKUP(C38,'ABC-XYZ분석 (2)'!C:C,'ABC-XYZ분석 (2)'!AG:AG)</f>
        <v/>
      </c>
      <c r="H38" s="383">
        <f>SUMIF(재고!C:C,재고분석!C38,재고!I:I)</f>
        <v/>
      </c>
      <c r="I38" s="382">
        <f>SUMIF(안전재고!A:A,재고분석!$C38,안전재고!I:I)</f>
        <v/>
      </c>
      <c r="J38" s="555">
        <f>SUMIF('ABC-XYZ분석 (2)'!C:C,재고분석!$C38,'ABC-XYZ분석 (2)'!X:X)</f>
        <v/>
      </c>
      <c r="K38" s="556">
        <f>IFERROR(재고분석!$J38/재고분석!$H38,"")</f>
        <v/>
      </c>
      <c r="L38" s="556">
        <f>IFERROR(재고분석!$K38*12,"")</f>
        <v/>
      </c>
      <c r="M38" s="555">
        <f>IFERROR(H38/(J38/30),"")</f>
        <v/>
      </c>
      <c r="N38" s="382">
        <f>IF(H38=0,"재고없음",IF(H38&lt;I38,"부족",IF(H38&lt;VLOOKUP(C38,공급물량!$B:$M,12,0)*0.8,"재주문",IF(H38&lt;=VLOOKUP(C38,공급물량!$B:$M,12,0)*1.2,"적정","과잉"))))</f>
        <v/>
      </c>
      <c r="O38" s="382">
        <f>IF(H38=0,"-",IF(K38&gt;=0.5,"우수",IF(K38&gt;=0.33,"적정",IF(K38&gt;=0.17,"주의","불량"))))</f>
        <v/>
      </c>
      <c r="P38" s="386">
        <f>IF(N38="재고없음","긴급발주",IF(N38="부족","긴급발주",IF(AND(N38="재주문",OR(O38="우수",O38="적정")),"현상유지",IF(N38="재주문","발주검토",IF(AND(N38="적정",O38="불량"),"판촉검토",IF(N38="적정","현상유지",IF(AND(N38="과잉",OR(O38="우수",O38="적정")),"발주축소","판촉/할인검토")))))))</f>
        <v/>
      </c>
      <c r="Q38" s="557">
        <f>_xlfn.XLOOKUP(재고분석!$C38,재고!C:C,재고!H:H)</f>
        <v/>
      </c>
      <c r="R38" s="558">
        <f>Q38*H38</f>
        <v/>
      </c>
    </row>
    <row r="39">
      <c r="B39" s="398">
        <f>_xlfn.XLOOKUP(C39,'ABC-XYZ분석 (2)'!C:C,'ABC-XYZ분석 (2)'!B:B)</f>
        <v/>
      </c>
      <c r="C39" s="431" t="inlineStr">
        <is>
          <t>ABC38</t>
        </is>
      </c>
      <c r="D39" s="387" t="n"/>
      <c r="E39" s="387" t="n"/>
      <c r="F39" s="381">
        <f>_xlfn.XLOOKUP(표3[[#This Row],[SKU코드]],'ABC-XYZ분석 (2)'!C:C,'ABC-XYZ분석 (2)'!AC:AC)</f>
        <v/>
      </c>
      <c r="G39" s="388">
        <f>_xlfn.XLOOKUP(C39,'ABC-XYZ분석 (2)'!C:C,'ABC-XYZ분석 (2)'!AG:AG)</f>
        <v/>
      </c>
      <c r="H39" s="389">
        <f>SUMIF(재고!C:C,재고분석!C39,재고!I:I)</f>
        <v/>
      </c>
      <c r="I39" s="388">
        <f>SUMIF(안전재고!A:A,재고분석!$C39,안전재고!I:I)</f>
        <v/>
      </c>
      <c r="J39" s="559">
        <f>SUMIF('ABC-XYZ분석 (2)'!C:C,재고분석!$C39,'ABC-XYZ분석 (2)'!X:X)</f>
        <v/>
      </c>
      <c r="K39" s="556">
        <f>IFERROR(재고분석!$J39/재고분석!$H39,"")</f>
        <v/>
      </c>
      <c r="L39" s="556">
        <f>IFERROR(재고분석!$K39*12,"")</f>
        <v/>
      </c>
      <c r="M39" s="559">
        <f>IFERROR(H39/(J39/30),"")</f>
        <v/>
      </c>
      <c r="N39" s="388">
        <f>IF(H39=0,"재고없음",IF(H39&lt;I39,"부족",IF(H39&lt;VLOOKUP(C39,공급물량!$B:$M,12,0)*0.8,"재주문",IF(H39&lt;=VLOOKUP(C39,공급물량!$B:$M,12,0)*1.2,"적정","과잉"))))</f>
        <v/>
      </c>
      <c r="O39" s="388">
        <f>IF(H39=0,"-",IF(K39&gt;=0.5,"우수",IF(K39&gt;=0.33,"적정",IF(K39&gt;=0.17,"주의","불량"))))</f>
        <v/>
      </c>
      <c r="P39" s="392">
        <f>IF(N39="재고없음","긴급발주",IF(N39="부족","긴급발주",IF(AND(N39="재주문",OR(O39="우수",O39="적정")),"현상유지",IF(N39="재주문","발주검토",IF(AND(N39="적정",O39="불량"),"판촉검토",IF(N39="적정","현상유지",IF(AND(N39="과잉",OR(O39="우수",O39="적정")),"발주축소","판촉/할인검토")))))))</f>
        <v/>
      </c>
      <c r="Q39" s="560">
        <f>_xlfn.XLOOKUP(재고분석!$C39,재고!C:C,재고!H:H)</f>
        <v/>
      </c>
      <c r="R39" s="561">
        <f>Q39*H39</f>
        <v/>
      </c>
    </row>
    <row r="40">
      <c r="B40" s="397">
        <f>_xlfn.XLOOKUP(C40,'ABC-XYZ분석 (2)'!C:C,'ABC-XYZ분석 (2)'!B:B)</f>
        <v/>
      </c>
      <c r="C40" s="431" t="inlineStr">
        <is>
          <t>ABC39</t>
        </is>
      </c>
      <c r="D40" s="380" t="n"/>
      <c r="E40" s="380" t="n"/>
      <c r="F40" s="381">
        <f>_xlfn.XLOOKUP(표3[[#This Row],[SKU코드]],'ABC-XYZ분석 (2)'!C:C,'ABC-XYZ분석 (2)'!AC:AC)</f>
        <v/>
      </c>
      <c r="G40" s="382">
        <f>_xlfn.XLOOKUP(C40,'ABC-XYZ분석 (2)'!C:C,'ABC-XYZ분석 (2)'!AG:AG)</f>
        <v/>
      </c>
      <c r="H40" s="383">
        <f>SUMIF(재고!C:C,재고분석!C40,재고!I:I)</f>
        <v/>
      </c>
      <c r="I40" s="382">
        <f>SUMIF(안전재고!A:A,재고분석!$C40,안전재고!I:I)</f>
        <v/>
      </c>
      <c r="J40" s="555">
        <f>SUMIF('ABC-XYZ분석 (2)'!C:C,재고분석!$C40,'ABC-XYZ분석 (2)'!X:X)</f>
        <v/>
      </c>
      <c r="K40" s="556">
        <f>IFERROR(재고분석!$J40/재고분석!$H40,"")</f>
        <v/>
      </c>
      <c r="L40" s="556">
        <f>IFERROR(재고분석!$K40*12,"")</f>
        <v/>
      </c>
      <c r="M40" s="555">
        <f>IFERROR(H40/(J40/30),"")</f>
        <v/>
      </c>
      <c r="N40" s="382">
        <f>IF(H40=0,"재고없음",IF(H40&lt;I40,"부족",IF(H40&lt;VLOOKUP(C40,공급물량!$B:$M,12,0)*0.8,"재주문",IF(H40&lt;=VLOOKUP(C40,공급물량!$B:$M,12,0)*1.2,"적정","과잉"))))</f>
        <v/>
      </c>
      <c r="O40" s="382">
        <f>IF(H40=0,"-",IF(K40&gt;=0.5,"우수",IF(K40&gt;=0.33,"적정",IF(K40&gt;=0.17,"주의","불량"))))</f>
        <v/>
      </c>
      <c r="P40" s="386">
        <f>IF(N40="재고없음","긴급발주",IF(N40="부족","긴급발주",IF(AND(N40="재주문",OR(O40="우수",O40="적정")),"현상유지",IF(N40="재주문","발주검토",IF(AND(N40="적정",O40="불량"),"판촉검토",IF(N40="적정","현상유지",IF(AND(N40="과잉",OR(O40="우수",O40="적정")),"발주축소","판촉/할인검토")))))))</f>
        <v/>
      </c>
      <c r="Q40" s="557">
        <f>_xlfn.XLOOKUP(재고분석!$C40,재고!C:C,재고!H:H)</f>
        <v/>
      </c>
      <c r="R40" s="558">
        <f>Q40*H40</f>
        <v/>
      </c>
    </row>
    <row r="41">
      <c r="B41" s="398">
        <f>_xlfn.XLOOKUP(C41,'ABC-XYZ분석 (2)'!C:C,'ABC-XYZ분석 (2)'!B:B)</f>
        <v/>
      </c>
      <c r="C41" s="431" t="inlineStr">
        <is>
          <t>ABC40</t>
        </is>
      </c>
      <c r="D41" s="387" t="n"/>
      <c r="E41" s="387" t="n"/>
      <c r="F41" s="381">
        <f>_xlfn.XLOOKUP(표3[[#This Row],[SKU코드]],'ABC-XYZ분석 (2)'!C:C,'ABC-XYZ분석 (2)'!AC:AC)</f>
        <v/>
      </c>
      <c r="G41" s="388">
        <f>_xlfn.XLOOKUP(C41,'ABC-XYZ분석 (2)'!C:C,'ABC-XYZ분석 (2)'!AG:AG)</f>
        <v/>
      </c>
      <c r="H41" s="389">
        <f>SUMIF(재고!C:C,재고분석!C41,재고!I:I)</f>
        <v/>
      </c>
      <c r="I41" s="388">
        <f>SUMIF(안전재고!A:A,재고분석!$C41,안전재고!I:I)</f>
        <v/>
      </c>
      <c r="J41" s="559">
        <f>SUMIF('ABC-XYZ분석 (2)'!C:C,재고분석!$C41,'ABC-XYZ분석 (2)'!X:X)</f>
        <v/>
      </c>
      <c r="K41" s="556">
        <f>IFERROR(재고분석!$J41/재고분석!$H41,"")</f>
        <v/>
      </c>
      <c r="L41" s="556">
        <f>IFERROR(재고분석!$K41*12,"")</f>
        <v/>
      </c>
      <c r="M41" s="559">
        <f>IFERROR(H41/(J41/30),"")</f>
        <v/>
      </c>
      <c r="N41" s="388">
        <f>IF(H41=0,"재고없음",IF(H41&lt;I41,"부족",IF(H41&lt;VLOOKUP(C41,공급물량!$B:$M,12,0)*0.8,"재주문",IF(H41&lt;=VLOOKUP(C41,공급물량!$B:$M,12,0)*1.2,"적정","과잉"))))</f>
        <v/>
      </c>
      <c r="O41" s="388">
        <f>IF(H41=0,"-",IF(K41&gt;=0.5,"우수",IF(K41&gt;=0.33,"적정",IF(K41&gt;=0.17,"주의","불량"))))</f>
        <v/>
      </c>
      <c r="P41" s="392">
        <f>IF(N41="재고없음","긴급발주",IF(N41="부족","긴급발주",IF(AND(N41="재주문",OR(O41="우수",O41="적정")),"현상유지",IF(N41="재주문","발주검토",IF(AND(N41="적정",O41="불량"),"판촉검토",IF(N41="적정","현상유지",IF(AND(N41="과잉",OR(O41="우수",O41="적정")),"발주축소","판촉/할인검토")))))))</f>
        <v/>
      </c>
      <c r="Q41" s="560">
        <f>_xlfn.XLOOKUP(재고분석!$C41,재고!C:C,재고!H:H)</f>
        <v/>
      </c>
      <c r="R41" s="561">
        <f>Q41*H41</f>
        <v/>
      </c>
    </row>
    <row r="42">
      <c r="B42" s="397">
        <f>_xlfn.XLOOKUP(C42,'ABC-XYZ분석 (2)'!C:C,'ABC-XYZ분석 (2)'!B:B)</f>
        <v/>
      </c>
      <c r="C42" s="431" t="inlineStr">
        <is>
          <t>ABC41</t>
        </is>
      </c>
      <c r="D42" s="380" t="n"/>
      <c r="E42" s="380" t="n"/>
      <c r="F42" s="381">
        <f>_xlfn.XLOOKUP(표3[[#This Row],[SKU코드]],'ABC-XYZ분석 (2)'!C:C,'ABC-XYZ분석 (2)'!AC:AC)</f>
        <v/>
      </c>
      <c r="G42" s="382">
        <f>_xlfn.XLOOKUP(C42,'ABC-XYZ분석 (2)'!C:C,'ABC-XYZ분석 (2)'!AG:AG)</f>
        <v/>
      </c>
      <c r="H42" s="383">
        <f>SUMIF(재고!C:C,재고분석!C42,재고!I:I)</f>
        <v/>
      </c>
      <c r="I42" s="382">
        <f>SUMIF(안전재고!A:A,재고분석!$C42,안전재고!I:I)</f>
        <v/>
      </c>
      <c r="J42" s="555">
        <f>SUMIF('ABC-XYZ분석 (2)'!C:C,재고분석!$C42,'ABC-XYZ분석 (2)'!X:X)</f>
        <v/>
      </c>
      <c r="K42" s="556">
        <f>IFERROR(재고분석!$J42/재고분석!$H42,"")</f>
        <v/>
      </c>
      <c r="L42" s="556">
        <f>IFERROR(재고분석!$K42*12,"")</f>
        <v/>
      </c>
      <c r="M42" s="555">
        <f>IFERROR(H42/(J42/30),"")</f>
        <v/>
      </c>
      <c r="N42" s="382">
        <f>IF(H42=0,"재고없음",IF(H42&lt;I42,"부족",IF(H42&lt;VLOOKUP(C42,공급물량!$B:$M,12,0)*0.8,"재주문",IF(H42&lt;=VLOOKUP(C42,공급물량!$B:$M,12,0)*1.2,"적정","과잉"))))</f>
        <v/>
      </c>
      <c r="O42" s="382">
        <f>IF(H42=0,"-",IF(K42&gt;=0.5,"우수",IF(K42&gt;=0.33,"적정",IF(K42&gt;=0.17,"주의","불량"))))</f>
        <v/>
      </c>
      <c r="P42" s="386">
        <f>IF(N42="재고없음","긴급발주",IF(N42="부족","긴급발주",IF(AND(N42="재주문",OR(O42="우수",O42="적정")),"현상유지",IF(N42="재주문","발주검토",IF(AND(N42="적정",O42="불량"),"판촉검토",IF(N42="적정","현상유지",IF(AND(N42="과잉",OR(O42="우수",O42="적정")),"발주축소","판촉/할인검토")))))))</f>
        <v/>
      </c>
      <c r="Q42" s="557">
        <f>_xlfn.XLOOKUP(재고분석!$C42,재고!C:C,재고!H:H)</f>
        <v/>
      </c>
      <c r="R42" s="558">
        <f>Q42*H42</f>
        <v/>
      </c>
    </row>
    <row r="43">
      <c r="B43" s="398">
        <f>_xlfn.XLOOKUP(C43,'ABC-XYZ분석 (2)'!C:C,'ABC-XYZ분석 (2)'!B:B)</f>
        <v/>
      </c>
      <c r="C43" s="431" t="inlineStr">
        <is>
          <t>ABC42</t>
        </is>
      </c>
      <c r="D43" s="387" t="n"/>
      <c r="E43" s="387" t="n"/>
      <c r="F43" s="381">
        <f>_xlfn.XLOOKUP(표3[[#This Row],[SKU코드]],'ABC-XYZ분석 (2)'!C:C,'ABC-XYZ분석 (2)'!AC:AC)</f>
        <v/>
      </c>
      <c r="G43" s="388">
        <f>_xlfn.XLOOKUP(C43,'ABC-XYZ분석 (2)'!C:C,'ABC-XYZ분석 (2)'!AG:AG)</f>
        <v/>
      </c>
      <c r="H43" s="389">
        <f>SUMIF(재고!C:C,재고분석!C43,재고!I:I)</f>
        <v/>
      </c>
      <c r="I43" s="388">
        <f>SUMIF(안전재고!A:A,재고분석!$C43,안전재고!I:I)</f>
        <v/>
      </c>
      <c r="J43" s="559">
        <f>SUMIF('ABC-XYZ분석 (2)'!C:C,재고분석!$C43,'ABC-XYZ분석 (2)'!X:X)</f>
        <v/>
      </c>
      <c r="K43" s="556">
        <f>IFERROR(재고분석!$J43/재고분석!$H43,"")</f>
        <v/>
      </c>
      <c r="L43" s="556">
        <f>IFERROR(재고분석!$K43*12,"")</f>
        <v/>
      </c>
      <c r="M43" s="559">
        <f>IFERROR(H43/(J43/30),"")</f>
        <v/>
      </c>
      <c r="N43" s="388">
        <f>IF(H43=0,"재고없음",IF(H43&lt;I43,"부족",IF(H43&lt;VLOOKUP(C43,공급물량!$B:$M,12,0)*0.8,"재주문",IF(H43&lt;=VLOOKUP(C43,공급물량!$B:$M,12,0)*1.2,"적정","과잉"))))</f>
        <v/>
      </c>
      <c r="O43" s="388">
        <f>IF(H43=0,"-",IF(K43&gt;=0.5,"우수",IF(K43&gt;=0.33,"적정",IF(K43&gt;=0.17,"주의","불량"))))</f>
        <v/>
      </c>
      <c r="P43" s="392">
        <f>IF(N43="재고없음","긴급발주",IF(N43="부족","긴급발주",IF(AND(N43="재주문",OR(O43="우수",O43="적정")),"현상유지",IF(N43="재주문","발주검토",IF(AND(N43="적정",O43="불량"),"판촉검토",IF(N43="적정","현상유지",IF(AND(N43="과잉",OR(O43="우수",O43="적정")),"발주축소","판촉/할인검토")))))))</f>
        <v/>
      </c>
      <c r="Q43" s="560">
        <f>_xlfn.XLOOKUP(재고분석!$C43,재고!C:C,재고!H:H)</f>
        <v/>
      </c>
      <c r="R43" s="561">
        <f>Q43*H43</f>
        <v/>
      </c>
    </row>
    <row r="44">
      <c r="B44" s="397">
        <f>_xlfn.XLOOKUP(C44,'ABC-XYZ분석 (2)'!C:C,'ABC-XYZ분석 (2)'!B:B)</f>
        <v/>
      </c>
      <c r="C44" s="431" t="inlineStr">
        <is>
          <t>ABC43</t>
        </is>
      </c>
      <c r="D44" s="380" t="n"/>
      <c r="E44" s="380" t="n"/>
      <c r="F44" s="381">
        <f>_xlfn.XLOOKUP(표3[[#This Row],[SKU코드]],'ABC-XYZ분석 (2)'!C:C,'ABC-XYZ분석 (2)'!AC:AC)</f>
        <v/>
      </c>
      <c r="G44" s="382">
        <f>_xlfn.XLOOKUP(C44,'ABC-XYZ분석 (2)'!C:C,'ABC-XYZ분석 (2)'!AG:AG)</f>
        <v/>
      </c>
      <c r="H44" s="383">
        <f>SUMIF(재고!C:C,재고분석!C44,재고!I:I)</f>
        <v/>
      </c>
      <c r="I44" s="382">
        <f>SUMIF(안전재고!A:A,재고분석!$C44,안전재고!I:I)</f>
        <v/>
      </c>
      <c r="J44" s="555">
        <f>SUMIF('ABC-XYZ분석 (2)'!C:C,재고분석!$C44,'ABC-XYZ분석 (2)'!X:X)</f>
        <v/>
      </c>
      <c r="K44" s="556">
        <f>IFERROR(재고분석!$J44/재고분석!$H44,"")</f>
        <v/>
      </c>
      <c r="L44" s="556">
        <f>IFERROR(재고분석!$K44*12,"")</f>
        <v/>
      </c>
      <c r="M44" s="555">
        <f>IFERROR(H44/(J44/30),"")</f>
        <v/>
      </c>
      <c r="N44" s="382">
        <f>IF(H44=0,"재고없음",IF(H44&lt;I44,"부족",IF(H44&lt;VLOOKUP(C44,공급물량!$B:$M,12,0)*0.8,"재주문",IF(H44&lt;=VLOOKUP(C44,공급물량!$B:$M,12,0)*1.2,"적정","과잉"))))</f>
        <v/>
      </c>
      <c r="O44" s="382">
        <f>IF(H44=0,"-",IF(K44&gt;=0.5,"우수",IF(K44&gt;=0.33,"적정",IF(K44&gt;=0.17,"주의","불량"))))</f>
        <v/>
      </c>
      <c r="P44" s="386">
        <f>IF(N44="재고없음","긴급발주",IF(N44="부족","긴급발주",IF(AND(N44="재주문",OR(O44="우수",O44="적정")),"현상유지",IF(N44="재주문","발주검토",IF(AND(N44="적정",O44="불량"),"판촉검토",IF(N44="적정","현상유지",IF(AND(N44="과잉",OR(O44="우수",O44="적정")),"발주축소","판촉/할인검토")))))))</f>
        <v/>
      </c>
      <c r="Q44" s="557">
        <f>_xlfn.XLOOKUP(재고분석!$C44,재고!C:C,재고!H:H)</f>
        <v/>
      </c>
      <c r="R44" s="558">
        <f>Q44*H44</f>
        <v/>
      </c>
    </row>
    <row r="45">
      <c r="B45" s="398">
        <f>_xlfn.XLOOKUP(C45,'ABC-XYZ분석 (2)'!C:C,'ABC-XYZ분석 (2)'!B:B)</f>
        <v/>
      </c>
      <c r="C45" s="431" t="inlineStr">
        <is>
          <t>ABC44</t>
        </is>
      </c>
      <c r="D45" s="387" t="n"/>
      <c r="E45" s="387" t="n"/>
      <c r="F45" s="381">
        <f>_xlfn.XLOOKUP(표3[[#This Row],[SKU코드]],'ABC-XYZ분석 (2)'!C:C,'ABC-XYZ분석 (2)'!AC:AC)</f>
        <v/>
      </c>
      <c r="G45" s="388">
        <f>_xlfn.XLOOKUP(C45,'ABC-XYZ분석 (2)'!C:C,'ABC-XYZ분석 (2)'!AG:AG)</f>
        <v/>
      </c>
      <c r="H45" s="389">
        <f>SUMIF(재고!C:C,재고분석!C45,재고!I:I)</f>
        <v/>
      </c>
      <c r="I45" s="388">
        <f>SUMIF(안전재고!A:A,재고분석!$C45,안전재고!I:I)</f>
        <v/>
      </c>
      <c r="J45" s="559">
        <f>SUMIF('ABC-XYZ분석 (2)'!C:C,재고분석!$C45,'ABC-XYZ분석 (2)'!X:X)</f>
        <v/>
      </c>
      <c r="K45" s="556">
        <f>IFERROR(재고분석!$J45/재고분석!$H45,"")</f>
        <v/>
      </c>
      <c r="L45" s="556">
        <f>IFERROR(재고분석!$K45*12,"")</f>
        <v/>
      </c>
      <c r="M45" s="559">
        <f>IFERROR(H45/(J45/30),"")</f>
        <v/>
      </c>
      <c r="N45" s="388">
        <f>IF(H45=0,"재고없음",IF(H45&lt;I45,"부족",IF(H45&lt;VLOOKUP(C45,공급물량!$B:$M,12,0)*0.8,"재주문",IF(H45&lt;=VLOOKUP(C45,공급물량!$B:$M,12,0)*1.2,"적정","과잉"))))</f>
        <v/>
      </c>
      <c r="O45" s="388">
        <f>IF(H45=0,"-",IF(K45&gt;=0.5,"우수",IF(K45&gt;=0.33,"적정",IF(K45&gt;=0.17,"주의","불량"))))</f>
        <v/>
      </c>
      <c r="P45" s="392">
        <f>IF(N45="재고없음","긴급발주",IF(N45="부족","긴급발주",IF(AND(N45="재주문",OR(O45="우수",O45="적정")),"현상유지",IF(N45="재주문","발주검토",IF(AND(N45="적정",O45="불량"),"판촉검토",IF(N45="적정","현상유지",IF(AND(N45="과잉",OR(O45="우수",O45="적정")),"발주축소","판촉/할인검토")))))))</f>
        <v/>
      </c>
      <c r="Q45" s="560">
        <f>_xlfn.XLOOKUP(재고분석!$C45,재고!C:C,재고!H:H)</f>
        <v/>
      </c>
      <c r="R45" s="561">
        <f>Q45*H45</f>
        <v/>
      </c>
    </row>
    <row r="46">
      <c r="B46" s="397">
        <f>_xlfn.XLOOKUP(C46,'ABC-XYZ분석 (2)'!C:C,'ABC-XYZ분석 (2)'!B:B)</f>
        <v/>
      </c>
      <c r="C46" s="431" t="inlineStr">
        <is>
          <t>ABC45</t>
        </is>
      </c>
      <c r="D46" s="380" t="n"/>
      <c r="E46" s="380" t="n"/>
      <c r="F46" s="381">
        <f>_xlfn.XLOOKUP(표3[[#This Row],[SKU코드]],'ABC-XYZ분석 (2)'!C:C,'ABC-XYZ분석 (2)'!AC:AC)</f>
        <v/>
      </c>
      <c r="G46" s="382">
        <f>_xlfn.XLOOKUP(C46,'ABC-XYZ분석 (2)'!C:C,'ABC-XYZ분석 (2)'!AG:AG)</f>
        <v/>
      </c>
      <c r="H46" s="383">
        <f>SUMIF(재고!C:C,재고분석!C46,재고!I:I)</f>
        <v/>
      </c>
      <c r="I46" s="382">
        <f>SUMIF(안전재고!A:A,재고분석!$C46,안전재고!I:I)</f>
        <v/>
      </c>
      <c r="J46" s="555">
        <f>SUMIF('ABC-XYZ분석 (2)'!C:C,재고분석!$C46,'ABC-XYZ분석 (2)'!X:X)</f>
        <v/>
      </c>
      <c r="K46" s="556">
        <f>IFERROR(재고분석!$J46/재고분석!$H46,"")</f>
        <v/>
      </c>
      <c r="L46" s="556">
        <f>IFERROR(재고분석!$K46*12,"")</f>
        <v/>
      </c>
      <c r="M46" s="555">
        <f>IFERROR(H46/(J46/30),"")</f>
        <v/>
      </c>
      <c r="N46" s="382">
        <f>IF(H46=0,"재고없음",IF(H46&lt;I46,"부족",IF(H46&lt;VLOOKUP(C46,공급물량!$B:$M,12,0)*0.8,"재주문",IF(H46&lt;=VLOOKUP(C46,공급물량!$B:$M,12,0)*1.2,"적정","과잉"))))</f>
        <v/>
      </c>
      <c r="O46" s="382">
        <f>IF(H46=0,"-",IF(K46&gt;=0.5,"우수",IF(K46&gt;=0.33,"적정",IF(K46&gt;=0.17,"주의","불량"))))</f>
        <v/>
      </c>
      <c r="P46" s="386">
        <f>IF(N46="재고없음","긴급발주",IF(N46="부족","긴급발주",IF(AND(N46="재주문",OR(O46="우수",O46="적정")),"현상유지",IF(N46="재주문","발주검토",IF(AND(N46="적정",O46="불량"),"판촉검토",IF(N46="적정","현상유지",IF(AND(N46="과잉",OR(O46="우수",O46="적정")),"발주축소","판촉/할인검토")))))))</f>
        <v/>
      </c>
      <c r="Q46" s="557">
        <f>_xlfn.XLOOKUP(재고분석!$C46,재고!C:C,재고!H:H)</f>
        <v/>
      </c>
      <c r="R46" s="558">
        <f>Q46*H46</f>
        <v/>
      </c>
    </row>
    <row r="47">
      <c r="B47" s="398">
        <f>_xlfn.XLOOKUP(C47,'ABC-XYZ분석 (2)'!C:C,'ABC-XYZ분석 (2)'!B:B)</f>
        <v/>
      </c>
      <c r="C47" s="431" t="inlineStr">
        <is>
          <t>ABC46</t>
        </is>
      </c>
      <c r="D47" s="387" t="n"/>
      <c r="E47" s="387" t="n"/>
      <c r="F47" s="381">
        <f>_xlfn.XLOOKUP(표3[[#This Row],[SKU코드]],'ABC-XYZ분석 (2)'!C:C,'ABC-XYZ분석 (2)'!AC:AC)</f>
        <v/>
      </c>
      <c r="G47" s="388">
        <f>_xlfn.XLOOKUP(C47,'ABC-XYZ분석 (2)'!C:C,'ABC-XYZ분석 (2)'!AG:AG)</f>
        <v/>
      </c>
      <c r="H47" s="389">
        <f>SUMIF(재고!C:C,재고분석!C47,재고!I:I)</f>
        <v/>
      </c>
      <c r="I47" s="388">
        <f>SUMIF(안전재고!A:A,재고분석!$C47,안전재고!I:I)</f>
        <v/>
      </c>
      <c r="J47" s="559">
        <f>SUMIF('ABC-XYZ분석 (2)'!C:C,재고분석!$C47,'ABC-XYZ분석 (2)'!X:X)</f>
        <v/>
      </c>
      <c r="K47" s="556">
        <f>IFERROR(재고분석!$J47/재고분석!$H47,"")</f>
        <v/>
      </c>
      <c r="L47" s="556">
        <f>IFERROR(재고분석!$K47*12,"")</f>
        <v/>
      </c>
      <c r="M47" s="559">
        <f>IFERROR(H47/(J47/30),"")</f>
        <v/>
      </c>
      <c r="N47" s="388">
        <f>IF(H47=0,"재고없음",IF(H47&lt;I47,"부족",IF(H47&lt;VLOOKUP(C47,공급물량!$B:$M,12,0)*0.8,"재주문",IF(H47&lt;=VLOOKUP(C47,공급물량!$B:$M,12,0)*1.2,"적정","과잉"))))</f>
        <v/>
      </c>
      <c r="O47" s="388">
        <f>IF(H47=0,"-",IF(K47&gt;=0.5,"우수",IF(K47&gt;=0.33,"적정",IF(K47&gt;=0.17,"주의","불량"))))</f>
        <v/>
      </c>
      <c r="P47" s="392">
        <f>IF(N47="재고없음","긴급발주",IF(N47="부족","긴급발주",IF(AND(N47="재주문",OR(O47="우수",O47="적정")),"현상유지",IF(N47="재주문","발주검토",IF(AND(N47="적정",O47="불량"),"판촉검토",IF(N47="적정","현상유지",IF(AND(N47="과잉",OR(O47="우수",O47="적정")),"발주축소","판촉/할인검토")))))))</f>
        <v/>
      </c>
      <c r="Q47" s="560">
        <f>_xlfn.XLOOKUP(재고분석!$C47,재고!C:C,재고!H:H)</f>
        <v/>
      </c>
      <c r="R47" s="561">
        <f>Q47*H47</f>
        <v/>
      </c>
    </row>
    <row r="48" ht="22.5" customHeight="1" s="480">
      <c r="B48" s="397">
        <f>_xlfn.XLOOKUP(C48,'ABC-XYZ분석 (2)'!C:C,'ABC-XYZ분석 (2)'!B:B)</f>
        <v/>
      </c>
      <c r="C48" s="431" t="inlineStr">
        <is>
          <t>ABC47</t>
        </is>
      </c>
      <c r="D48" s="380" t="n"/>
      <c r="E48" s="380" t="n"/>
      <c r="F48" s="381">
        <f>_xlfn.XLOOKUP(표3[[#This Row],[SKU코드]],'ABC-XYZ분석 (2)'!C:C,'ABC-XYZ분석 (2)'!AC:AC)</f>
        <v/>
      </c>
      <c r="G48" s="382">
        <f>_xlfn.XLOOKUP(C48,'ABC-XYZ분석 (2)'!C:C,'ABC-XYZ분석 (2)'!AG:AG)</f>
        <v/>
      </c>
      <c r="H48" s="383">
        <f>SUMIF(재고!C:C,재고분석!C48,재고!I:I)</f>
        <v/>
      </c>
      <c r="I48" s="382">
        <f>SUMIF(안전재고!A:A,재고분석!$C48,안전재고!I:I)</f>
        <v/>
      </c>
      <c r="J48" s="555">
        <f>SUMIF('ABC-XYZ분석 (2)'!C:C,재고분석!$C48,'ABC-XYZ분석 (2)'!X:X)</f>
        <v/>
      </c>
      <c r="K48" s="556">
        <f>IFERROR(재고분석!$J48/재고분석!$H48,"")</f>
        <v/>
      </c>
      <c r="L48" s="556">
        <f>IFERROR(재고분석!$K48*12,"")</f>
        <v/>
      </c>
      <c r="M48" s="555">
        <f>IFERROR(H48/(J48/30),"")</f>
        <v/>
      </c>
      <c r="N48" s="382">
        <f>IF(H48=0,"재고없음",IF(H48&lt;I48,"부족",IF(H48&lt;VLOOKUP(C48,공급물량!$B:$M,12,0)*0.8,"재주문",IF(H48&lt;=VLOOKUP(C48,공급물량!$B:$M,12,0)*1.2,"적정","과잉"))))</f>
        <v/>
      </c>
      <c r="O48" s="382">
        <f>IF(H48=0,"-",IF(K48&gt;=0.5,"우수",IF(K48&gt;=0.33,"적정",IF(K48&gt;=0.17,"주의","불량"))))</f>
        <v/>
      </c>
      <c r="P48" s="386">
        <f>IF(N48="재고없음","긴급발주",IF(N48="부족","긴급발주",IF(AND(N48="재주문",OR(O48="우수",O48="적정")),"현상유지",IF(N48="재주문","발주검토",IF(AND(N48="적정",O48="불량"),"판촉검토",IF(N48="적정","현상유지",IF(AND(N48="과잉",OR(O48="우수",O48="적정")),"발주축소","판촉/할인검토")))))))</f>
        <v/>
      </c>
      <c r="Q48" s="557">
        <f>_xlfn.XLOOKUP(재고분석!$C48,재고!C:C,재고!H:H)</f>
        <v/>
      </c>
      <c r="R48" s="558">
        <f>Q48*H48</f>
        <v/>
      </c>
    </row>
    <row r="49">
      <c r="B49" s="398">
        <f>_xlfn.XLOOKUP(C49,'ABC-XYZ분석 (2)'!C:C,'ABC-XYZ분석 (2)'!B:B)</f>
        <v/>
      </c>
      <c r="C49" s="431" t="inlineStr">
        <is>
          <t>ABC48</t>
        </is>
      </c>
      <c r="D49" s="387" t="n"/>
      <c r="E49" s="387" t="n"/>
      <c r="F49" s="381">
        <f>_xlfn.XLOOKUP(표3[[#This Row],[SKU코드]],'ABC-XYZ분석 (2)'!C:C,'ABC-XYZ분석 (2)'!AC:AC)</f>
        <v/>
      </c>
      <c r="G49" s="388">
        <f>_xlfn.XLOOKUP(C49,'ABC-XYZ분석 (2)'!C:C,'ABC-XYZ분석 (2)'!AG:AG)</f>
        <v/>
      </c>
      <c r="H49" s="389">
        <f>SUMIF(재고!C:C,재고분석!C49,재고!I:I)</f>
        <v/>
      </c>
      <c r="I49" s="388">
        <f>SUMIF(안전재고!A:A,재고분석!$C49,안전재고!I:I)</f>
        <v/>
      </c>
      <c r="J49" s="559">
        <f>SUMIF('ABC-XYZ분석 (2)'!C:C,재고분석!$C49,'ABC-XYZ분석 (2)'!X:X)</f>
        <v/>
      </c>
      <c r="K49" s="556">
        <f>IFERROR(재고분석!$J49/재고분석!$H49,"")</f>
        <v/>
      </c>
      <c r="L49" s="556">
        <f>IFERROR(재고분석!$K49*12,"")</f>
        <v/>
      </c>
      <c r="M49" s="559">
        <f>IFERROR(H49/(J49/30),"")</f>
        <v/>
      </c>
      <c r="N49" s="388">
        <f>IF(H49=0,"재고없음",IF(H49&lt;I49,"부족",IF(H49&lt;VLOOKUP(C49,공급물량!$B:$M,12,0)*0.8,"재주문",IF(H49&lt;=VLOOKUP(C49,공급물량!$B:$M,12,0)*1.2,"적정","과잉"))))</f>
        <v/>
      </c>
      <c r="O49" s="388">
        <f>IF(H49=0,"-",IF(K49&gt;=0.5,"우수",IF(K49&gt;=0.33,"적정",IF(K49&gt;=0.17,"주의","불량"))))</f>
        <v/>
      </c>
      <c r="P49" s="392">
        <f>IF(N49="재고없음","긴급발주",IF(N49="부족","긴급발주",IF(AND(N49="재주문",OR(O49="우수",O49="적정")),"현상유지",IF(N49="재주문","발주검토",IF(AND(N49="적정",O49="불량"),"판촉검토",IF(N49="적정","현상유지",IF(AND(N49="과잉",OR(O49="우수",O49="적정")),"발주축소","판촉/할인검토")))))))</f>
        <v/>
      </c>
      <c r="Q49" s="560">
        <f>_xlfn.XLOOKUP(재고분석!$C49,재고!C:C,재고!H:H)</f>
        <v/>
      </c>
      <c r="R49" s="561">
        <f>Q49*H49</f>
        <v/>
      </c>
    </row>
    <row r="50">
      <c r="B50" s="397">
        <f>_xlfn.XLOOKUP(C50,'ABC-XYZ분석 (2)'!C:C,'ABC-XYZ분석 (2)'!B:B)</f>
        <v/>
      </c>
      <c r="C50" s="431" t="inlineStr">
        <is>
          <t>ABC49</t>
        </is>
      </c>
      <c r="D50" s="380" t="n"/>
      <c r="E50" s="380" t="n"/>
      <c r="F50" s="381">
        <f>_xlfn.XLOOKUP(표3[[#This Row],[SKU코드]],'ABC-XYZ분석 (2)'!C:C,'ABC-XYZ분석 (2)'!AC:AC)</f>
        <v/>
      </c>
      <c r="G50" s="382">
        <f>_xlfn.XLOOKUP(C50,'ABC-XYZ분석 (2)'!C:C,'ABC-XYZ분석 (2)'!AG:AG)</f>
        <v/>
      </c>
      <c r="H50" s="383">
        <f>SUMIF(재고!C:C,재고분석!C50,재고!I:I)</f>
        <v/>
      </c>
      <c r="I50" s="382">
        <f>SUMIF(안전재고!A:A,재고분석!$C50,안전재고!I:I)</f>
        <v/>
      </c>
      <c r="J50" s="555">
        <f>SUMIF('ABC-XYZ분석 (2)'!C:C,재고분석!$C50,'ABC-XYZ분석 (2)'!X:X)</f>
        <v/>
      </c>
      <c r="K50" s="556">
        <f>IFERROR(재고분석!$J50/재고분석!$H50,"")</f>
        <v/>
      </c>
      <c r="L50" s="556">
        <f>IFERROR(재고분석!$K50*12,"")</f>
        <v/>
      </c>
      <c r="M50" s="555">
        <f>IFERROR(H50/(J50/30),"")</f>
        <v/>
      </c>
      <c r="N50" s="382">
        <f>IF(H50=0,"재고없음",IF(H50&lt;I50,"부족",IF(H50&lt;VLOOKUP(C50,공급물량!$B:$M,12,0)*0.8,"재주문",IF(H50&lt;=VLOOKUP(C50,공급물량!$B:$M,12,0)*1.2,"적정","과잉"))))</f>
        <v/>
      </c>
      <c r="O50" s="382">
        <f>IF(H50=0,"-",IF(K50&gt;=0.5,"우수",IF(K50&gt;=0.33,"적정",IF(K50&gt;=0.17,"주의","불량"))))</f>
        <v/>
      </c>
      <c r="P50" s="386">
        <f>IF(N50="재고없음","긴급발주",IF(N50="부족","긴급발주",IF(AND(N50="재주문",OR(O50="우수",O50="적정")),"현상유지",IF(N50="재주문","발주검토",IF(AND(N50="적정",O50="불량"),"판촉검토",IF(N50="적정","현상유지",IF(AND(N50="과잉",OR(O50="우수",O50="적정")),"발주축소","판촉/할인검토")))))))</f>
        <v/>
      </c>
      <c r="Q50" s="557">
        <f>_xlfn.XLOOKUP(재고분석!$C50,재고!C:C,재고!H:H)</f>
        <v/>
      </c>
      <c r="R50" s="558">
        <f>Q50*H50</f>
        <v/>
      </c>
    </row>
    <row r="51">
      <c r="B51" s="398">
        <f>_xlfn.XLOOKUP(C51,'ABC-XYZ분석 (2)'!C:C,'ABC-XYZ분석 (2)'!B:B)</f>
        <v/>
      </c>
      <c r="C51" s="431" t="inlineStr">
        <is>
          <t>ABC50</t>
        </is>
      </c>
      <c r="D51" s="387" t="n"/>
      <c r="E51" s="387" t="n"/>
      <c r="F51" s="381">
        <f>_xlfn.XLOOKUP(표3[[#This Row],[SKU코드]],'ABC-XYZ분석 (2)'!C:C,'ABC-XYZ분석 (2)'!AC:AC)</f>
        <v/>
      </c>
      <c r="G51" s="388">
        <f>_xlfn.XLOOKUP(C51,'ABC-XYZ분석 (2)'!C:C,'ABC-XYZ분석 (2)'!AG:AG)</f>
        <v/>
      </c>
      <c r="H51" s="389">
        <f>SUMIF(재고!C:C,재고분석!C51,재고!I:I)</f>
        <v/>
      </c>
      <c r="I51" s="388">
        <f>SUMIF(안전재고!A:A,재고분석!$C51,안전재고!I:I)</f>
        <v/>
      </c>
      <c r="J51" s="559">
        <f>SUMIF('ABC-XYZ분석 (2)'!C:C,재고분석!$C51,'ABC-XYZ분석 (2)'!X:X)</f>
        <v/>
      </c>
      <c r="K51" s="556">
        <f>IFERROR(재고분석!$J51/재고분석!$H51,"")</f>
        <v/>
      </c>
      <c r="L51" s="556">
        <f>IFERROR(재고분석!$K51*12,"")</f>
        <v/>
      </c>
      <c r="M51" s="559">
        <f>IFERROR(H51/(J51/30),"")</f>
        <v/>
      </c>
      <c r="N51" s="388">
        <f>IF(H51=0,"재고없음",IF(H51&lt;I51,"부족",IF(H51&lt;VLOOKUP(C51,공급물량!$B:$M,12,0)*0.8,"재주문",IF(H51&lt;=VLOOKUP(C51,공급물량!$B:$M,12,0)*1.2,"적정","과잉"))))</f>
        <v/>
      </c>
      <c r="O51" s="388">
        <f>IF(H51=0,"-",IF(K51&gt;=0.5,"우수",IF(K51&gt;=0.33,"적정",IF(K51&gt;=0.17,"주의","불량"))))</f>
        <v/>
      </c>
      <c r="P51" s="392">
        <f>IF(N51="재고없음","긴급발주",IF(N51="부족","긴급발주",IF(AND(N51="재주문",OR(O51="우수",O51="적정")),"현상유지",IF(N51="재주문","발주검토",IF(AND(N51="적정",O51="불량"),"판촉검토",IF(N51="적정","현상유지",IF(AND(N51="과잉",OR(O51="우수",O51="적정")),"발주축소","판촉/할인검토")))))))</f>
        <v/>
      </c>
      <c r="Q51" s="560">
        <f>_xlfn.XLOOKUP(재고분석!$C51,재고!C:C,재고!H:H)</f>
        <v/>
      </c>
      <c r="R51" s="561">
        <f>Q51*H51</f>
        <v/>
      </c>
    </row>
    <row r="52">
      <c r="B52" s="397">
        <f>_xlfn.XLOOKUP(C52,'ABC-XYZ분석 (2)'!C:C,'ABC-XYZ분석 (2)'!B:B)</f>
        <v/>
      </c>
      <c r="C52" s="431" t="inlineStr">
        <is>
          <t>ABC51</t>
        </is>
      </c>
      <c r="D52" s="380" t="n"/>
      <c r="E52" s="380" t="n"/>
      <c r="F52" s="381">
        <f>_xlfn.XLOOKUP(표3[[#This Row],[SKU코드]],'ABC-XYZ분석 (2)'!C:C,'ABC-XYZ분석 (2)'!AC:AC)</f>
        <v/>
      </c>
      <c r="G52" s="382">
        <f>_xlfn.XLOOKUP(C52,'ABC-XYZ분석 (2)'!C:C,'ABC-XYZ분석 (2)'!AG:AG)</f>
        <v/>
      </c>
      <c r="H52" s="383">
        <f>SUMIF(재고!C:C,재고분석!C52,재고!I:I)</f>
        <v/>
      </c>
      <c r="I52" s="382">
        <f>SUMIF(안전재고!A:A,재고분석!$C52,안전재고!I:I)</f>
        <v/>
      </c>
      <c r="J52" s="555">
        <f>SUMIF('ABC-XYZ분석 (2)'!C:C,재고분석!$C52,'ABC-XYZ분석 (2)'!X:X)</f>
        <v/>
      </c>
      <c r="K52" s="556">
        <f>IFERROR(재고분석!$J52/재고분석!$H52,"")</f>
        <v/>
      </c>
      <c r="L52" s="556">
        <f>IFERROR(재고분석!$K52*12,"")</f>
        <v/>
      </c>
      <c r="M52" s="555">
        <f>IFERROR(H52/(J52/30),"")</f>
        <v/>
      </c>
      <c r="N52" s="382">
        <f>IF(H52=0,"재고없음",IF(H52&lt;I52,"부족",IF(H52&lt;VLOOKUP(C52,공급물량!$B:$M,12,0)*0.8,"재주문",IF(H52&lt;=VLOOKUP(C52,공급물량!$B:$M,12,0)*1.2,"적정","과잉"))))</f>
        <v/>
      </c>
      <c r="O52" s="382">
        <f>IF(H52=0,"-",IF(K52&gt;=0.5,"우수",IF(K52&gt;=0.33,"적정",IF(K52&gt;=0.17,"주의","불량"))))</f>
        <v/>
      </c>
      <c r="P52" s="386">
        <f>IF(N52="재고없음","긴급발주",IF(N52="부족","긴급발주",IF(AND(N52="재주문",OR(O52="우수",O52="적정")),"현상유지",IF(N52="재주문","발주검토",IF(AND(N52="적정",O52="불량"),"판촉검토",IF(N52="적정","현상유지",IF(AND(N52="과잉",OR(O52="우수",O52="적정")),"발주축소","판촉/할인검토")))))))</f>
        <v/>
      </c>
      <c r="Q52" s="557">
        <f>_xlfn.XLOOKUP(재고분석!$C52,재고!C:C,재고!H:H)</f>
        <v/>
      </c>
      <c r="R52" s="558">
        <f>Q52*H52</f>
        <v/>
      </c>
    </row>
    <row r="53">
      <c r="B53" s="398">
        <f>_xlfn.XLOOKUP(C53,'ABC-XYZ분석 (2)'!C:C,'ABC-XYZ분석 (2)'!B:B)</f>
        <v/>
      </c>
      <c r="C53" s="431" t="inlineStr">
        <is>
          <t>ABC52</t>
        </is>
      </c>
      <c r="D53" s="387" t="n"/>
      <c r="E53" s="387" t="n"/>
      <c r="F53" s="381">
        <f>_xlfn.XLOOKUP(표3[[#This Row],[SKU코드]],'ABC-XYZ분석 (2)'!C:C,'ABC-XYZ분석 (2)'!AC:AC)</f>
        <v/>
      </c>
      <c r="G53" s="388">
        <f>_xlfn.XLOOKUP(C53,'ABC-XYZ분석 (2)'!C:C,'ABC-XYZ분석 (2)'!AG:AG)</f>
        <v/>
      </c>
      <c r="H53" s="389">
        <f>SUMIF(재고!C:C,재고분석!C53,재고!I:I)</f>
        <v/>
      </c>
      <c r="I53" s="388">
        <f>SUMIF(안전재고!A:A,재고분석!$C53,안전재고!I:I)</f>
        <v/>
      </c>
      <c r="J53" s="559">
        <f>SUMIF('ABC-XYZ분석 (2)'!C:C,재고분석!$C53,'ABC-XYZ분석 (2)'!X:X)</f>
        <v/>
      </c>
      <c r="K53" s="556">
        <f>IFERROR(재고분석!$J53/재고분석!$H53,"")</f>
        <v/>
      </c>
      <c r="L53" s="556">
        <f>IFERROR(재고분석!$K53*12,"")</f>
        <v/>
      </c>
      <c r="M53" s="559">
        <f>IFERROR(H53/(J53/30),"")</f>
        <v/>
      </c>
      <c r="N53" s="388">
        <f>IF(H53=0,"재고없음",IF(H53&lt;I53,"부족",IF(H53&lt;VLOOKUP(C53,공급물량!$B:$M,12,0)*0.8,"재주문",IF(H53&lt;=VLOOKUP(C53,공급물량!$B:$M,12,0)*1.2,"적정","과잉"))))</f>
        <v/>
      </c>
      <c r="O53" s="388">
        <f>IF(H53=0,"-",IF(K53&gt;=0.5,"우수",IF(K53&gt;=0.33,"적정",IF(K53&gt;=0.17,"주의","불량"))))</f>
        <v/>
      </c>
      <c r="P53" s="392">
        <f>IF(N53="재고없음","긴급발주",IF(N53="부족","긴급발주",IF(AND(N53="재주문",OR(O53="우수",O53="적정")),"현상유지",IF(N53="재주문","발주검토",IF(AND(N53="적정",O53="불량"),"판촉검토",IF(N53="적정","현상유지",IF(AND(N53="과잉",OR(O53="우수",O53="적정")),"발주축소","판촉/할인검토")))))))</f>
        <v/>
      </c>
      <c r="Q53" s="560">
        <f>_xlfn.XLOOKUP(재고분석!$C53,재고!C:C,재고!H:H)</f>
        <v/>
      </c>
      <c r="R53" s="561">
        <f>Q53*H53</f>
        <v/>
      </c>
    </row>
    <row r="54">
      <c r="B54" s="397">
        <f>_xlfn.XLOOKUP(C54,'ABC-XYZ분석 (2)'!C:C,'ABC-XYZ분석 (2)'!B:B)</f>
        <v/>
      </c>
      <c r="C54" s="431" t="inlineStr">
        <is>
          <t>ABC53</t>
        </is>
      </c>
      <c r="D54" s="380" t="n"/>
      <c r="E54" s="380" t="n"/>
      <c r="F54" s="381">
        <f>_xlfn.XLOOKUP(표3[[#This Row],[SKU코드]],'ABC-XYZ분석 (2)'!C:C,'ABC-XYZ분석 (2)'!AC:AC)</f>
        <v/>
      </c>
      <c r="G54" s="382">
        <f>_xlfn.XLOOKUP(C54,'ABC-XYZ분석 (2)'!C:C,'ABC-XYZ분석 (2)'!AG:AG)</f>
        <v/>
      </c>
      <c r="H54" s="383">
        <f>SUMIF(재고!C:C,재고분석!C54,재고!I:I)</f>
        <v/>
      </c>
      <c r="I54" s="382">
        <f>SUMIF(안전재고!A:A,재고분석!$C54,안전재고!I:I)</f>
        <v/>
      </c>
      <c r="J54" s="555">
        <f>SUMIF('ABC-XYZ분석 (2)'!C:C,재고분석!$C54,'ABC-XYZ분석 (2)'!X:X)</f>
        <v/>
      </c>
      <c r="K54" s="556">
        <f>IFERROR(재고분석!$J54/재고분석!$H54,"")</f>
        <v/>
      </c>
      <c r="L54" s="556">
        <f>IFERROR(재고분석!$K54*12,"")</f>
        <v/>
      </c>
      <c r="M54" s="555">
        <f>IFERROR(H54/(J54/30),"")</f>
        <v/>
      </c>
      <c r="N54" s="382">
        <f>IF(H54=0,"재고없음",IF(H54&lt;I54,"부족",IF(H54&lt;VLOOKUP(C54,공급물량!$B:$M,12,0)*0.8,"재주문",IF(H54&lt;=VLOOKUP(C54,공급물량!$B:$M,12,0)*1.2,"적정","과잉"))))</f>
        <v/>
      </c>
      <c r="O54" s="382">
        <f>IF(H54=0,"-",IF(K54&gt;=0.5,"우수",IF(K54&gt;=0.33,"적정",IF(K54&gt;=0.17,"주의","불량"))))</f>
        <v/>
      </c>
      <c r="P54" s="386">
        <f>IF(N54="재고없음","긴급발주",IF(N54="부족","긴급발주",IF(AND(N54="재주문",OR(O54="우수",O54="적정")),"현상유지",IF(N54="재주문","발주검토",IF(AND(N54="적정",O54="불량"),"판촉검토",IF(N54="적정","현상유지",IF(AND(N54="과잉",OR(O54="우수",O54="적정")),"발주축소","판촉/할인검토")))))))</f>
        <v/>
      </c>
      <c r="Q54" s="557">
        <f>_xlfn.XLOOKUP(재고분석!$C54,재고!C:C,재고!H:H)</f>
        <v/>
      </c>
      <c r="R54" s="558">
        <f>Q54*H54</f>
        <v/>
      </c>
    </row>
    <row r="55">
      <c r="B55" s="398">
        <f>_xlfn.XLOOKUP(C55,'ABC-XYZ분석 (2)'!C:C,'ABC-XYZ분석 (2)'!B:B)</f>
        <v/>
      </c>
      <c r="C55" s="431" t="inlineStr">
        <is>
          <t>ABC54</t>
        </is>
      </c>
      <c r="D55" s="387" t="n"/>
      <c r="E55" s="387" t="n"/>
      <c r="F55" s="381">
        <f>_xlfn.XLOOKUP(표3[[#This Row],[SKU코드]],'ABC-XYZ분석 (2)'!C:C,'ABC-XYZ분석 (2)'!AC:AC)</f>
        <v/>
      </c>
      <c r="G55" s="388">
        <f>_xlfn.XLOOKUP(C55,'ABC-XYZ분석 (2)'!C:C,'ABC-XYZ분석 (2)'!AG:AG)</f>
        <v/>
      </c>
      <c r="H55" s="389">
        <f>SUMIF(재고!C:C,재고분석!C55,재고!I:I)</f>
        <v/>
      </c>
      <c r="I55" s="388">
        <f>SUMIF(안전재고!A:A,재고분석!$C55,안전재고!I:I)</f>
        <v/>
      </c>
      <c r="J55" s="559">
        <f>SUMIF('ABC-XYZ분석 (2)'!C:C,재고분석!$C55,'ABC-XYZ분석 (2)'!X:X)</f>
        <v/>
      </c>
      <c r="K55" s="556">
        <f>IFERROR(재고분석!$J55/재고분석!$H55,"")</f>
        <v/>
      </c>
      <c r="L55" s="556">
        <f>IFERROR(재고분석!$K55*12,"")</f>
        <v/>
      </c>
      <c r="M55" s="559">
        <f>IFERROR(H55/(J55/30),"")</f>
        <v/>
      </c>
      <c r="N55" s="388">
        <f>IF(H55=0,"재고없음",IF(H55&lt;I55,"부족",IF(H55&lt;VLOOKUP(C55,공급물량!$B:$M,12,0)*0.8,"재주문",IF(H55&lt;=VLOOKUP(C55,공급물량!$B:$M,12,0)*1.2,"적정","과잉"))))</f>
        <v/>
      </c>
      <c r="O55" s="388">
        <f>IF(H55=0,"-",IF(K55&gt;=0.5,"우수",IF(K55&gt;=0.33,"적정",IF(K55&gt;=0.17,"주의","불량"))))</f>
        <v/>
      </c>
      <c r="P55" s="392">
        <f>IF(N55="재고없음","긴급발주",IF(N55="부족","긴급발주",IF(AND(N55="재주문",OR(O55="우수",O55="적정")),"현상유지",IF(N55="재주문","발주검토",IF(AND(N55="적정",O55="불량"),"판촉검토",IF(N55="적정","현상유지",IF(AND(N55="과잉",OR(O55="우수",O55="적정")),"발주축소","판촉/할인검토")))))))</f>
        <v/>
      </c>
      <c r="Q55" s="560">
        <f>_xlfn.XLOOKUP(재고분석!$C55,재고!C:C,재고!H:H)</f>
        <v/>
      </c>
      <c r="R55" s="561">
        <f>Q55*H55</f>
        <v/>
      </c>
    </row>
    <row r="56">
      <c r="B56" s="397">
        <f>_xlfn.XLOOKUP(C56,'ABC-XYZ분석 (2)'!C:C,'ABC-XYZ분석 (2)'!B:B)</f>
        <v/>
      </c>
      <c r="C56" s="431" t="inlineStr">
        <is>
          <t>ABC55</t>
        </is>
      </c>
      <c r="D56" s="380" t="n"/>
      <c r="E56" s="380" t="n"/>
      <c r="F56" s="381">
        <f>_xlfn.XLOOKUP(표3[[#This Row],[SKU코드]],'ABC-XYZ분석 (2)'!C:C,'ABC-XYZ분석 (2)'!AC:AC)</f>
        <v/>
      </c>
      <c r="G56" s="382">
        <f>_xlfn.XLOOKUP(C56,'ABC-XYZ분석 (2)'!C:C,'ABC-XYZ분석 (2)'!AG:AG)</f>
        <v/>
      </c>
      <c r="H56" s="383">
        <f>SUMIF(재고!C:C,재고분석!C56,재고!I:I)</f>
        <v/>
      </c>
      <c r="I56" s="382">
        <f>SUMIF(안전재고!A:A,재고분석!$C56,안전재고!I:I)</f>
        <v/>
      </c>
      <c r="J56" s="555">
        <f>SUMIF('ABC-XYZ분석 (2)'!C:C,재고분석!$C56,'ABC-XYZ분석 (2)'!X:X)</f>
        <v/>
      </c>
      <c r="K56" s="556">
        <f>IFERROR(재고분석!$J56/재고분석!$H56,"")</f>
        <v/>
      </c>
      <c r="L56" s="556">
        <f>IFERROR(재고분석!$K56*12,"")</f>
        <v/>
      </c>
      <c r="M56" s="555">
        <f>IFERROR(H56/(J56/30),"")</f>
        <v/>
      </c>
      <c r="N56" s="382">
        <f>IF(H56=0,"재고없음",IF(H56&lt;I56,"부족",IF(H56&lt;VLOOKUP(C56,공급물량!$B:$M,12,0)*0.8,"재주문",IF(H56&lt;=VLOOKUP(C56,공급물량!$B:$M,12,0)*1.2,"적정","과잉"))))</f>
        <v/>
      </c>
      <c r="O56" s="382">
        <f>IF(H56=0,"-",IF(K56&gt;=0.5,"우수",IF(K56&gt;=0.33,"적정",IF(K56&gt;=0.17,"주의","불량"))))</f>
        <v/>
      </c>
      <c r="P56" s="386">
        <f>IF(N56="재고없음","긴급발주",IF(N56="부족","긴급발주",IF(AND(N56="재주문",OR(O56="우수",O56="적정")),"현상유지",IF(N56="재주문","발주검토",IF(AND(N56="적정",O56="불량"),"판촉검토",IF(N56="적정","현상유지",IF(AND(N56="과잉",OR(O56="우수",O56="적정")),"발주축소","판촉/할인검토")))))))</f>
        <v/>
      </c>
      <c r="Q56" s="557">
        <f>_xlfn.XLOOKUP(재고분석!$C56,재고!C:C,재고!H:H)</f>
        <v/>
      </c>
      <c r="R56" s="558">
        <f>Q56*H56</f>
        <v/>
      </c>
    </row>
    <row r="57">
      <c r="B57" s="398">
        <f>_xlfn.XLOOKUP(C57,'ABC-XYZ분석 (2)'!C:C,'ABC-XYZ분석 (2)'!B:B)</f>
        <v/>
      </c>
      <c r="C57" s="431" t="inlineStr">
        <is>
          <t>ABC56</t>
        </is>
      </c>
      <c r="D57" s="387" t="n"/>
      <c r="E57" s="387" t="n"/>
      <c r="F57" s="381">
        <f>_xlfn.XLOOKUP(표3[[#This Row],[SKU코드]],'ABC-XYZ분석 (2)'!C:C,'ABC-XYZ분석 (2)'!AC:AC)</f>
        <v/>
      </c>
      <c r="G57" s="388">
        <f>_xlfn.XLOOKUP(C57,'ABC-XYZ분석 (2)'!C:C,'ABC-XYZ분석 (2)'!AG:AG)</f>
        <v/>
      </c>
      <c r="H57" s="389">
        <f>SUMIF(재고!C:C,재고분석!C57,재고!I:I)</f>
        <v/>
      </c>
      <c r="I57" s="388">
        <f>SUMIF(안전재고!A:A,재고분석!$C57,안전재고!I:I)</f>
        <v/>
      </c>
      <c r="J57" s="559">
        <f>SUMIF('ABC-XYZ분석 (2)'!C:C,재고분석!$C57,'ABC-XYZ분석 (2)'!X:X)</f>
        <v/>
      </c>
      <c r="K57" s="556">
        <f>IFERROR(재고분석!$J57/재고분석!$H57,"")</f>
        <v/>
      </c>
      <c r="L57" s="556">
        <f>IFERROR(재고분석!$K57*12,"")</f>
        <v/>
      </c>
      <c r="M57" s="559">
        <f>IFERROR(H57/(J57/30),"")</f>
        <v/>
      </c>
      <c r="N57" s="388">
        <f>IF(H57=0,"재고없음",IF(H57&lt;I57,"부족",IF(H57&lt;VLOOKUP(C57,공급물량!$B:$M,12,0)*0.8,"재주문",IF(H57&lt;=VLOOKUP(C57,공급물량!$B:$M,12,0)*1.2,"적정","과잉"))))</f>
        <v/>
      </c>
      <c r="O57" s="388">
        <f>IF(H57=0,"-",IF(K57&gt;=0.5,"우수",IF(K57&gt;=0.33,"적정",IF(K57&gt;=0.17,"주의","불량"))))</f>
        <v/>
      </c>
      <c r="P57" s="392">
        <f>IF(N57="재고없음","긴급발주",IF(N57="부족","긴급발주",IF(AND(N57="재주문",OR(O57="우수",O57="적정")),"현상유지",IF(N57="재주문","발주검토",IF(AND(N57="적정",O57="불량"),"판촉검토",IF(N57="적정","현상유지",IF(AND(N57="과잉",OR(O57="우수",O57="적정")),"발주축소","판촉/할인검토")))))))</f>
        <v/>
      </c>
      <c r="Q57" s="560">
        <f>_xlfn.XLOOKUP(재고분석!$C57,재고!C:C,재고!H:H)</f>
        <v/>
      </c>
      <c r="R57" s="561">
        <f>Q57*H57</f>
        <v/>
      </c>
    </row>
    <row r="58">
      <c r="B58" s="397">
        <f>_xlfn.XLOOKUP(C58,'ABC-XYZ분석 (2)'!C:C,'ABC-XYZ분석 (2)'!B:B)</f>
        <v/>
      </c>
      <c r="C58" s="431" t="inlineStr">
        <is>
          <t>ABC57</t>
        </is>
      </c>
      <c r="D58" s="380" t="n"/>
      <c r="E58" s="380" t="n"/>
      <c r="F58" s="381">
        <f>_xlfn.XLOOKUP(표3[[#This Row],[SKU코드]],'ABC-XYZ분석 (2)'!C:C,'ABC-XYZ분석 (2)'!AC:AC)</f>
        <v/>
      </c>
      <c r="G58" s="382">
        <f>_xlfn.XLOOKUP(C58,'ABC-XYZ분석 (2)'!C:C,'ABC-XYZ분석 (2)'!AG:AG)</f>
        <v/>
      </c>
      <c r="H58" s="383">
        <f>SUMIF(재고!C:C,재고분석!C58,재고!I:I)</f>
        <v/>
      </c>
      <c r="I58" s="382">
        <f>SUMIF(안전재고!A:A,재고분석!$C58,안전재고!I:I)</f>
        <v/>
      </c>
      <c r="J58" s="555">
        <f>SUMIF('ABC-XYZ분석 (2)'!C:C,재고분석!$C58,'ABC-XYZ분석 (2)'!X:X)</f>
        <v/>
      </c>
      <c r="K58" s="556">
        <f>IFERROR(재고분석!$J58/재고분석!$H58,"")</f>
        <v/>
      </c>
      <c r="L58" s="556">
        <f>IFERROR(재고분석!$K58*12,"")</f>
        <v/>
      </c>
      <c r="M58" s="555">
        <f>IFERROR(H58/(J58/30),"")</f>
        <v/>
      </c>
      <c r="N58" s="382">
        <f>IF(H58=0,"재고없음",IF(H58&lt;I58,"부족",IF(H58&lt;VLOOKUP(C58,공급물량!$B:$M,12,0)*0.8,"재주문",IF(H58&lt;=VLOOKUP(C58,공급물량!$B:$M,12,0)*1.2,"적정","과잉"))))</f>
        <v/>
      </c>
      <c r="O58" s="382">
        <f>IF(H58=0,"-",IF(K58&gt;=0.5,"우수",IF(K58&gt;=0.33,"적정",IF(K58&gt;=0.17,"주의","불량"))))</f>
        <v/>
      </c>
      <c r="P58" s="386">
        <f>IF(N58="재고없음","긴급발주",IF(N58="부족","긴급발주",IF(AND(N58="재주문",OR(O58="우수",O58="적정")),"현상유지",IF(N58="재주문","발주검토",IF(AND(N58="적정",O58="불량"),"판촉검토",IF(N58="적정","현상유지",IF(AND(N58="과잉",OR(O58="우수",O58="적정")),"발주축소","판촉/할인검토")))))))</f>
        <v/>
      </c>
      <c r="Q58" s="557">
        <f>_xlfn.XLOOKUP(재고분석!$C58,재고!C:C,재고!H:H)</f>
        <v/>
      </c>
      <c r="R58" s="558">
        <f>Q58*H58</f>
        <v/>
      </c>
    </row>
    <row r="59">
      <c r="B59" s="398">
        <f>_xlfn.XLOOKUP(C59,'ABC-XYZ분석 (2)'!C:C,'ABC-XYZ분석 (2)'!B:B)</f>
        <v/>
      </c>
      <c r="C59" s="431" t="inlineStr">
        <is>
          <t>ABC58</t>
        </is>
      </c>
      <c r="D59" s="387" t="n"/>
      <c r="E59" s="387" t="n"/>
      <c r="F59" s="381">
        <f>_xlfn.XLOOKUP(표3[[#This Row],[SKU코드]],'ABC-XYZ분석 (2)'!C:C,'ABC-XYZ분석 (2)'!AC:AC)</f>
        <v/>
      </c>
      <c r="G59" s="388">
        <f>_xlfn.XLOOKUP(C59,'ABC-XYZ분석 (2)'!C:C,'ABC-XYZ분석 (2)'!AG:AG)</f>
        <v/>
      </c>
      <c r="H59" s="389">
        <f>SUMIF(재고!C:C,재고분석!C59,재고!I:I)</f>
        <v/>
      </c>
      <c r="I59" s="388">
        <f>SUMIF(안전재고!A:A,재고분석!$C59,안전재고!I:I)</f>
        <v/>
      </c>
      <c r="J59" s="559">
        <f>SUMIF('ABC-XYZ분석 (2)'!C:C,재고분석!$C59,'ABC-XYZ분석 (2)'!X:X)</f>
        <v/>
      </c>
      <c r="K59" s="556">
        <f>IFERROR(재고분석!$J59/재고분석!$H59,"")</f>
        <v/>
      </c>
      <c r="L59" s="556">
        <f>IFERROR(재고분석!$K59*12,"")</f>
        <v/>
      </c>
      <c r="M59" s="559">
        <f>IFERROR(H59/(J59/30),"")</f>
        <v/>
      </c>
      <c r="N59" s="388">
        <f>IF(H59=0,"재고없음",IF(H59&lt;I59,"부족",IF(H59&lt;VLOOKUP(C59,공급물량!$B:$M,12,0)*0.8,"재주문",IF(H59&lt;=VLOOKUP(C59,공급물량!$B:$M,12,0)*1.2,"적정","과잉"))))</f>
        <v/>
      </c>
      <c r="O59" s="388">
        <f>IF(H59=0,"-",IF(K59&gt;=0.5,"우수",IF(K59&gt;=0.33,"적정",IF(K59&gt;=0.17,"주의","불량"))))</f>
        <v/>
      </c>
      <c r="P59" s="392">
        <f>IF(N59="재고없음","긴급발주",IF(N59="부족","긴급발주",IF(AND(N59="재주문",OR(O59="우수",O59="적정")),"현상유지",IF(N59="재주문","발주검토",IF(AND(N59="적정",O59="불량"),"판촉검토",IF(N59="적정","현상유지",IF(AND(N59="과잉",OR(O59="우수",O59="적정")),"발주축소","판촉/할인검토")))))))</f>
        <v/>
      </c>
      <c r="Q59" s="560">
        <f>_xlfn.XLOOKUP(재고분석!$C59,재고!C:C,재고!H:H)</f>
        <v/>
      </c>
      <c r="R59" s="561">
        <f>Q59*H59</f>
        <v/>
      </c>
    </row>
    <row r="60">
      <c r="B60" s="397">
        <f>_xlfn.XLOOKUP(C60,'ABC-XYZ분석 (2)'!C:C,'ABC-XYZ분석 (2)'!B:B)</f>
        <v/>
      </c>
      <c r="C60" s="431" t="inlineStr">
        <is>
          <t>ABC59</t>
        </is>
      </c>
      <c r="D60" s="380" t="n"/>
      <c r="E60" s="380" t="n"/>
      <c r="F60" s="381">
        <f>_xlfn.XLOOKUP(표3[[#This Row],[SKU코드]],'ABC-XYZ분석 (2)'!C:C,'ABC-XYZ분석 (2)'!AC:AC)</f>
        <v/>
      </c>
      <c r="G60" s="382">
        <f>_xlfn.XLOOKUP(C60,'ABC-XYZ분석 (2)'!C:C,'ABC-XYZ분석 (2)'!AG:AG)</f>
        <v/>
      </c>
      <c r="H60" s="383">
        <f>SUMIF(재고!C:C,재고분석!C60,재고!I:I)</f>
        <v/>
      </c>
      <c r="I60" s="382">
        <f>SUMIF(안전재고!A:A,재고분석!$C60,안전재고!I:I)</f>
        <v/>
      </c>
      <c r="J60" s="555">
        <f>SUMIF('ABC-XYZ분석 (2)'!C:C,재고분석!$C60,'ABC-XYZ분석 (2)'!X:X)</f>
        <v/>
      </c>
      <c r="K60" s="556">
        <f>IFERROR(재고분석!$J60/재고분석!$H60,"")</f>
        <v/>
      </c>
      <c r="L60" s="556">
        <f>IFERROR(재고분석!$K60*12,"")</f>
        <v/>
      </c>
      <c r="M60" s="555">
        <f>IFERROR(H60/(J60/30),"")</f>
        <v/>
      </c>
      <c r="N60" s="382">
        <f>IF(H60=0,"재고없음",IF(H60&lt;I60,"부족",IF(H60&lt;VLOOKUP(C60,공급물량!$B:$M,12,0)*0.8,"재주문",IF(H60&lt;=VLOOKUP(C60,공급물량!$B:$M,12,0)*1.2,"적정","과잉"))))</f>
        <v/>
      </c>
      <c r="O60" s="382">
        <f>IF(H60=0,"-",IF(K60&gt;=0.5,"우수",IF(K60&gt;=0.33,"적정",IF(K60&gt;=0.17,"주의","불량"))))</f>
        <v/>
      </c>
      <c r="P60" s="386">
        <f>IF(N60="재고없음","긴급발주",IF(N60="부족","긴급발주",IF(AND(N60="재주문",OR(O60="우수",O60="적정")),"현상유지",IF(N60="재주문","발주검토",IF(AND(N60="적정",O60="불량"),"판촉검토",IF(N60="적정","현상유지",IF(AND(N60="과잉",OR(O60="우수",O60="적정")),"발주축소","판촉/할인검토")))))))</f>
        <v/>
      </c>
      <c r="Q60" s="557">
        <f>_xlfn.XLOOKUP(재고분석!$C60,재고!C:C,재고!H:H)</f>
        <v/>
      </c>
      <c r="R60" s="558">
        <f>Q60*H60</f>
        <v/>
      </c>
    </row>
    <row r="61">
      <c r="B61" s="398">
        <f>_xlfn.XLOOKUP(C61,'ABC-XYZ분석 (2)'!C:C,'ABC-XYZ분석 (2)'!B:B)</f>
        <v/>
      </c>
      <c r="C61" s="431" t="inlineStr">
        <is>
          <t>ABC60</t>
        </is>
      </c>
      <c r="D61" s="387" t="n"/>
      <c r="E61" s="387" t="n"/>
      <c r="F61" s="381">
        <f>_xlfn.XLOOKUP(표3[[#This Row],[SKU코드]],'ABC-XYZ분석 (2)'!C:C,'ABC-XYZ분석 (2)'!AC:AC)</f>
        <v/>
      </c>
      <c r="G61" s="388">
        <f>_xlfn.XLOOKUP(C61,'ABC-XYZ분석 (2)'!C:C,'ABC-XYZ분석 (2)'!AG:AG)</f>
        <v/>
      </c>
      <c r="H61" s="389">
        <f>SUMIF(재고!C:C,재고분석!C61,재고!I:I)</f>
        <v/>
      </c>
      <c r="I61" s="388">
        <f>SUMIF(안전재고!A:A,재고분석!$C61,안전재고!I:I)</f>
        <v/>
      </c>
      <c r="J61" s="559">
        <f>SUMIF('ABC-XYZ분석 (2)'!C:C,재고분석!$C61,'ABC-XYZ분석 (2)'!X:X)</f>
        <v/>
      </c>
      <c r="K61" s="556">
        <f>IFERROR(재고분석!$J61/재고분석!$H61,"")</f>
        <v/>
      </c>
      <c r="L61" s="556">
        <f>IFERROR(재고분석!$K61*12,"")</f>
        <v/>
      </c>
      <c r="M61" s="559">
        <f>IFERROR(H61/(J61/30),"")</f>
        <v/>
      </c>
      <c r="N61" s="388">
        <f>IF(H61=0,"재고없음",IF(H61&lt;I61,"부족",IF(H61&lt;VLOOKUP(C61,공급물량!$B:$M,12,0)*0.8,"재주문",IF(H61&lt;=VLOOKUP(C61,공급물량!$B:$M,12,0)*1.2,"적정","과잉"))))</f>
        <v/>
      </c>
      <c r="O61" s="388">
        <f>IF(H61=0,"-",IF(K61&gt;=0.5,"우수",IF(K61&gt;=0.33,"적정",IF(K61&gt;=0.17,"주의","불량"))))</f>
        <v/>
      </c>
      <c r="P61" s="392">
        <f>IF(N61="재고없음","긴급발주",IF(N61="부족","긴급발주",IF(AND(N61="재주문",OR(O61="우수",O61="적정")),"현상유지",IF(N61="재주문","발주검토",IF(AND(N61="적정",O61="불량"),"판촉검토",IF(N61="적정","현상유지",IF(AND(N61="과잉",OR(O61="우수",O61="적정")),"발주축소","판촉/할인검토")))))))</f>
        <v/>
      </c>
      <c r="Q61" s="560">
        <f>_xlfn.XLOOKUP(재고분석!$C61,재고!C:C,재고!H:H)</f>
        <v/>
      </c>
      <c r="R61" s="561">
        <f>Q61*H61</f>
        <v/>
      </c>
    </row>
    <row r="62">
      <c r="B62" s="397">
        <f>_xlfn.XLOOKUP(C62,'ABC-XYZ분석 (2)'!C:C,'ABC-XYZ분석 (2)'!B:B)</f>
        <v/>
      </c>
      <c r="C62" s="431" t="inlineStr">
        <is>
          <t>ABC61</t>
        </is>
      </c>
      <c r="D62" s="380" t="n"/>
      <c r="E62" s="380" t="n"/>
      <c r="F62" s="381">
        <f>_xlfn.XLOOKUP(표3[[#This Row],[SKU코드]],'ABC-XYZ분석 (2)'!C:C,'ABC-XYZ분석 (2)'!AC:AC)</f>
        <v/>
      </c>
      <c r="G62" s="382">
        <f>_xlfn.XLOOKUP(C62,'ABC-XYZ분석 (2)'!C:C,'ABC-XYZ분석 (2)'!AG:AG)</f>
        <v/>
      </c>
      <c r="H62" s="383">
        <f>SUMIF(재고!C:C,재고분석!C62,재고!I:I)</f>
        <v/>
      </c>
      <c r="I62" s="382">
        <f>SUMIF(안전재고!A:A,재고분석!$C62,안전재고!I:I)</f>
        <v/>
      </c>
      <c r="J62" s="555">
        <f>SUMIF('ABC-XYZ분석 (2)'!C:C,재고분석!$C62,'ABC-XYZ분석 (2)'!X:X)</f>
        <v/>
      </c>
      <c r="K62" s="556">
        <f>IFERROR(재고분석!$J62/재고분석!$H62,"")</f>
        <v/>
      </c>
      <c r="L62" s="556">
        <f>IFERROR(재고분석!$K62*12,"")</f>
        <v/>
      </c>
      <c r="M62" s="555">
        <f>IFERROR(H62/(J62/30),"")</f>
        <v/>
      </c>
      <c r="N62" s="382">
        <f>IF(H62=0,"재고없음",IF(H62&lt;I62,"부족",IF(H62&lt;VLOOKUP(C62,공급물량!$B:$M,12,0)*0.8,"재주문",IF(H62&lt;=VLOOKUP(C62,공급물량!$B:$M,12,0)*1.2,"적정","과잉"))))</f>
        <v/>
      </c>
      <c r="O62" s="382">
        <f>IF(H62=0,"-",IF(K62&gt;=0.5,"우수",IF(K62&gt;=0.33,"적정",IF(K62&gt;=0.17,"주의","불량"))))</f>
        <v/>
      </c>
      <c r="P62" s="386">
        <f>IF(N62="재고없음","긴급발주",IF(N62="부족","긴급발주",IF(AND(N62="재주문",OR(O62="우수",O62="적정")),"현상유지",IF(N62="재주문","발주검토",IF(AND(N62="적정",O62="불량"),"판촉검토",IF(N62="적정","현상유지",IF(AND(N62="과잉",OR(O62="우수",O62="적정")),"발주축소","판촉/할인검토")))))))</f>
        <v/>
      </c>
      <c r="Q62" s="557">
        <f>_xlfn.XLOOKUP(재고분석!$C62,재고!C:C,재고!H:H)</f>
        <v/>
      </c>
      <c r="R62" s="558">
        <f>Q62*H62</f>
        <v/>
      </c>
    </row>
    <row r="63">
      <c r="B63" s="398">
        <f>_xlfn.XLOOKUP(C63,'ABC-XYZ분석 (2)'!C:C,'ABC-XYZ분석 (2)'!B:B)</f>
        <v/>
      </c>
      <c r="C63" s="431" t="inlineStr">
        <is>
          <t>ABC62</t>
        </is>
      </c>
      <c r="D63" s="387" t="n"/>
      <c r="E63" s="387" t="n"/>
      <c r="F63" s="381">
        <f>_xlfn.XLOOKUP(표3[[#This Row],[SKU코드]],'ABC-XYZ분석 (2)'!C:C,'ABC-XYZ분석 (2)'!AC:AC)</f>
        <v/>
      </c>
      <c r="G63" s="388">
        <f>_xlfn.XLOOKUP(C63,'ABC-XYZ분석 (2)'!C:C,'ABC-XYZ분석 (2)'!AG:AG)</f>
        <v/>
      </c>
      <c r="H63" s="389">
        <f>SUMIF(재고!C:C,재고분석!C63,재고!I:I)</f>
        <v/>
      </c>
      <c r="I63" s="388">
        <f>SUMIF(안전재고!A:A,재고분석!$C63,안전재고!I:I)</f>
        <v/>
      </c>
      <c r="J63" s="559">
        <f>SUMIF('ABC-XYZ분석 (2)'!C:C,재고분석!$C63,'ABC-XYZ분석 (2)'!X:X)</f>
        <v/>
      </c>
      <c r="K63" s="556">
        <f>IFERROR(재고분석!$J63/재고분석!$H63,"")</f>
        <v/>
      </c>
      <c r="L63" s="556">
        <f>IFERROR(재고분석!$K63*12,"")</f>
        <v/>
      </c>
      <c r="M63" s="559">
        <f>IFERROR(H63/(J63/30),"")</f>
        <v/>
      </c>
      <c r="N63" s="388">
        <f>IF(H63=0,"재고없음",IF(H63&lt;I63,"부족",IF(H63&lt;VLOOKUP(C63,공급물량!$B:$M,12,0)*0.8,"재주문",IF(H63&lt;=VLOOKUP(C63,공급물량!$B:$M,12,0)*1.2,"적정","과잉"))))</f>
        <v/>
      </c>
      <c r="O63" s="388">
        <f>IF(H63=0,"-",IF(K63&gt;=0.5,"우수",IF(K63&gt;=0.33,"적정",IF(K63&gt;=0.17,"주의","불량"))))</f>
        <v/>
      </c>
      <c r="P63" s="392">
        <f>IF(N63="재고없음","긴급발주",IF(N63="부족","긴급발주",IF(AND(N63="재주문",OR(O63="우수",O63="적정")),"현상유지",IF(N63="재주문","발주검토",IF(AND(N63="적정",O63="불량"),"판촉검토",IF(N63="적정","현상유지",IF(AND(N63="과잉",OR(O63="우수",O63="적정")),"발주축소","판촉/할인검토")))))))</f>
        <v/>
      </c>
      <c r="Q63" s="560">
        <f>_xlfn.XLOOKUP(재고분석!$C63,재고!C:C,재고!H:H)</f>
        <v/>
      </c>
      <c r="R63" s="561">
        <f>Q63*H63</f>
        <v/>
      </c>
    </row>
    <row r="64">
      <c r="B64" s="397">
        <f>_xlfn.XLOOKUP(C64,'ABC-XYZ분석 (2)'!C:C,'ABC-XYZ분석 (2)'!B:B)</f>
        <v/>
      </c>
      <c r="C64" s="431" t="inlineStr">
        <is>
          <t>ABC63</t>
        </is>
      </c>
      <c r="D64" s="380" t="n"/>
      <c r="E64" s="380" t="n"/>
      <c r="F64" s="381">
        <f>_xlfn.XLOOKUP(표3[[#This Row],[SKU코드]],'ABC-XYZ분석 (2)'!C:C,'ABC-XYZ분석 (2)'!AC:AC)</f>
        <v/>
      </c>
      <c r="G64" s="382">
        <f>_xlfn.XLOOKUP(C64,'ABC-XYZ분석 (2)'!C:C,'ABC-XYZ분석 (2)'!AG:AG)</f>
        <v/>
      </c>
      <c r="H64" s="383">
        <f>SUMIF(재고!C:C,재고분석!C64,재고!I:I)</f>
        <v/>
      </c>
      <c r="I64" s="382">
        <f>SUMIF(안전재고!A:A,재고분석!$C64,안전재고!I:I)</f>
        <v/>
      </c>
      <c r="J64" s="555">
        <f>SUMIF('ABC-XYZ분석 (2)'!C:C,재고분석!$C64,'ABC-XYZ분석 (2)'!X:X)</f>
        <v/>
      </c>
      <c r="K64" s="556">
        <f>IFERROR(재고분석!$J64/재고분석!$H64,"")</f>
        <v/>
      </c>
      <c r="L64" s="556">
        <f>IFERROR(재고분석!$K64*12,"")</f>
        <v/>
      </c>
      <c r="M64" s="555">
        <f>IFERROR(H64/(J64/30),"")</f>
        <v/>
      </c>
      <c r="N64" s="382">
        <f>IF(H64=0,"재고없음",IF(H64&lt;I64,"부족",IF(H64&lt;VLOOKUP(C64,공급물량!$B:$M,12,0)*0.8,"재주문",IF(H64&lt;=VLOOKUP(C64,공급물량!$B:$M,12,0)*1.2,"적정","과잉"))))</f>
        <v/>
      </c>
      <c r="O64" s="382">
        <f>IF(H64=0,"-",IF(K64&gt;=0.5,"우수",IF(K64&gt;=0.33,"적정",IF(K64&gt;=0.17,"주의","불량"))))</f>
        <v/>
      </c>
      <c r="P64" s="386">
        <f>IF(N64="재고없음","긴급발주",IF(N64="부족","긴급발주",IF(AND(N64="재주문",OR(O64="우수",O64="적정")),"현상유지",IF(N64="재주문","발주검토",IF(AND(N64="적정",O64="불량"),"판촉검토",IF(N64="적정","현상유지",IF(AND(N64="과잉",OR(O64="우수",O64="적정")),"발주축소","판촉/할인검토")))))))</f>
        <v/>
      </c>
      <c r="Q64" s="557">
        <f>_xlfn.XLOOKUP(재고분석!$C64,재고!C:C,재고!H:H)</f>
        <v/>
      </c>
      <c r="R64" s="558">
        <f>Q64*H64</f>
        <v/>
      </c>
    </row>
    <row r="65">
      <c r="B65" s="398">
        <f>_xlfn.XLOOKUP(C65,'ABC-XYZ분석 (2)'!C:C,'ABC-XYZ분석 (2)'!B:B)</f>
        <v/>
      </c>
      <c r="C65" s="431" t="inlineStr">
        <is>
          <t>ABC64</t>
        </is>
      </c>
      <c r="D65" s="387" t="n"/>
      <c r="E65" s="387" t="n"/>
      <c r="F65" s="381">
        <f>_xlfn.XLOOKUP(표3[[#This Row],[SKU코드]],'ABC-XYZ분석 (2)'!C:C,'ABC-XYZ분석 (2)'!AC:AC)</f>
        <v/>
      </c>
      <c r="G65" s="388">
        <f>_xlfn.XLOOKUP(C65,'ABC-XYZ분석 (2)'!C:C,'ABC-XYZ분석 (2)'!AG:AG)</f>
        <v/>
      </c>
      <c r="H65" s="389">
        <f>SUMIF(재고!C:C,재고분석!C65,재고!I:I)</f>
        <v/>
      </c>
      <c r="I65" s="388">
        <f>SUMIF(안전재고!A:A,재고분석!$C65,안전재고!I:I)</f>
        <v/>
      </c>
      <c r="J65" s="559">
        <f>SUMIF('ABC-XYZ분석 (2)'!C:C,재고분석!$C65,'ABC-XYZ분석 (2)'!X:X)</f>
        <v/>
      </c>
      <c r="K65" s="556">
        <f>IFERROR(재고분석!$J65/재고분석!$H65,"")</f>
        <v/>
      </c>
      <c r="L65" s="556">
        <f>IFERROR(재고분석!$K65*12,"")</f>
        <v/>
      </c>
      <c r="M65" s="559">
        <f>IFERROR(H65/(J65/30),"")</f>
        <v/>
      </c>
      <c r="N65" s="388">
        <f>IF(H65=0,"재고없음",IF(H65&lt;I65,"부족",IF(H65&lt;VLOOKUP(C65,공급물량!$B:$M,12,0)*0.8,"재주문",IF(H65&lt;=VLOOKUP(C65,공급물량!$B:$M,12,0)*1.2,"적정","과잉"))))</f>
        <v/>
      </c>
      <c r="O65" s="388">
        <f>IF(H65=0,"-",IF(K65&gt;=0.5,"우수",IF(K65&gt;=0.33,"적정",IF(K65&gt;=0.17,"주의","불량"))))</f>
        <v/>
      </c>
      <c r="P65" s="392">
        <f>IF(N65="재고없음","긴급발주",IF(N65="부족","긴급발주",IF(AND(N65="재주문",OR(O65="우수",O65="적정")),"현상유지",IF(N65="재주문","발주검토",IF(AND(N65="적정",O65="불량"),"판촉검토",IF(N65="적정","현상유지",IF(AND(N65="과잉",OR(O65="우수",O65="적정")),"발주축소","판촉/할인검토")))))))</f>
        <v/>
      </c>
      <c r="Q65" s="560">
        <f>_xlfn.XLOOKUP(재고분석!$C65,재고!C:C,재고!H:H)</f>
        <v/>
      </c>
      <c r="R65" s="561">
        <f>Q65*H65</f>
        <v/>
      </c>
    </row>
    <row r="66">
      <c r="B66" s="397">
        <f>_xlfn.XLOOKUP(C66,'ABC-XYZ분석 (2)'!C:C,'ABC-XYZ분석 (2)'!B:B)</f>
        <v/>
      </c>
      <c r="C66" s="431" t="inlineStr">
        <is>
          <t>ABC65</t>
        </is>
      </c>
      <c r="D66" s="380" t="n"/>
      <c r="E66" s="380" t="n"/>
      <c r="F66" s="381">
        <f>_xlfn.XLOOKUP(표3[[#This Row],[SKU코드]],'ABC-XYZ분석 (2)'!C:C,'ABC-XYZ분석 (2)'!AC:AC)</f>
        <v/>
      </c>
      <c r="G66" s="382">
        <f>_xlfn.XLOOKUP(C66,'ABC-XYZ분석 (2)'!C:C,'ABC-XYZ분석 (2)'!AG:AG)</f>
        <v/>
      </c>
      <c r="H66" s="383">
        <f>SUMIF(재고!C:C,재고분석!C66,재고!I:I)</f>
        <v/>
      </c>
      <c r="I66" s="382">
        <f>SUMIF(안전재고!A:A,재고분석!$C66,안전재고!I:I)</f>
        <v/>
      </c>
      <c r="J66" s="555">
        <f>SUMIF('ABC-XYZ분석 (2)'!C:C,재고분석!$C66,'ABC-XYZ분석 (2)'!X:X)</f>
        <v/>
      </c>
      <c r="K66" s="556">
        <f>IFERROR(재고분석!$J66/재고분석!$H66,"")</f>
        <v/>
      </c>
      <c r="L66" s="556">
        <f>IFERROR(재고분석!$K66*12,"")</f>
        <v/>
      </c>
      <c r="M66" s="555">
        <f>IFERROR(H66/(J66/30),"")</f>
        <v/>
      </c>
      <c r="N66" s="382">
        <f>IF(H66=0,"재고없음",IF(H66&lt;I66,"부족",IF(H66&lt;VLOOKUP(C66,공급물량!$B:$M,12,0)*0.8,"재주문",IF(H66&lt;=VLOOKUP(C66,공급물량!$B:$M,12,0)*1.2,"적정","과잉"))))</f>
        <v/>
      </c>
      <c r="O66" s="382">
        <f>IF(H66=0,"-",IF(K66&gt;=0.5,"우수",IF(K66&gt;=0.33,"적정",IF(K66&gt;=0.17,"주의","불량"))))</f>
        <v/>
      </c>
      <c r="P66" s="386">
        <f>IF(N66="재고없음","긴급발주",IF(N66="부족","긴급발주",IF(AND(N66="재주문",OR(O66="우수",O66="적정")),"현상유지",IF(N66="재주문","발주검토",IF(AND(N66="적정",O66="불량"),"판촉검토",IF(N66="적정","현상유지",IF(AND(N66="과잉",OR(O66="우수",O66="적정")),"발주축소","판촉/할인검토")))))))</f>
        <v/>
      </c>
      <c r="Q66" s="557">
        <f>_xlfn.XLOOKUP(재고분석!$C66,재고!C:C,재고!H:H)</f>
        <v/>
      </c>
      <c r="R66" s="558">
        <f>Q66*H66</f>
        <v/>
      </c>
    </row>
    <row r="67">
      <c r="B67" s="398">
        <f>_xlfn.XLOOKUP(C67,'ABC-XYZ분석 (2)'!C:C,'ABC-XYZ분석 (2)'!B:B)</f>
        <v/>
      </c>
      <c r="C67" s="431" t="inlineStr">
        <is>
          <t>ABC66</t>
        </is>
      </c>
      <c r="D67" s="387" t="n"/>
      <c r="E67" s="387" t="n"/>
      <c r="F67" s="381">
        <f>_xlfn.XLOOKUP(표3[[#This Row],[SKU코드]],'ABC-XYZ분석 (2)'!C:C,'ABC-XYZ분석 (2)'!AC:AC)</f>
        <v/>
      </c>
      <c r="G67" s="388">
        <f>_xlfn.XLOOKUP(C67,'ABC-XYZ분석 (2)'!C:C,'ABC-XYZ분석 (2)'!AG:AG)</f>
        <v/>
      </c>
      <c r="H67" s="389">
        <f>SUMIF(재고!C:C,재고분석!C67,재고!I:I)</f>
        <v/>
      </c>
      <c r="I67" s="388">
        <f>SUMIF(안전재고!A:A,재고분석!$C67,안전재고!I:I)</f>
        <v/>
      </c>
      <c r="J67" s="559">
        <f>SUMIF('ABC-XYZ분석 (2)'!C:C,재고분석!$C67,'ABC-XYZ분석 (2)'!X:X)</f>
        <v/>
      </c>
      <c r="K67" s="556">
        <f>IFERROR(재고분석!$J67/재고분석!$H67,"")</f>
        <v/>
      </c>
      <c r="L67" s="556">
        <f>IFERROR(재고분석!$K67*12,"")</f>
        <v/>
      </c>
      <c r="M67" s="559">
        <f>IFERROR(H67/(J67/30),"")</f>
        <v/>
      </c>
      <c r="N67" s="388">
        <f>IF(H67=0,"재고없음",IF(H67&lt;I67,"부족",IF(H67&lt;VLOOKUP(C67,공급물량!$B:$M,12,0)*0.8,"재주문",IF(H67&lt;=VLOOKUP(C67,공급물량!$B:$M,12,0)*1.2,"적정","과잉"))))</f>
        <v/>
      </c>
      <c r="O67" s="388">
        <f>IF(H67=0,"-",IF(K67&gt;=0.5,"우수",IF(K67&gt;=0.33,"적정",IF(K67&gt;=0.17,"주의","불량"))))</f>
        <v/>
      </c>
      <c r="P67" s="392">
        <f>IF(N67="재고없음","긴급발주",IF(N67="부족","긴급발주",IF(AND(N67="재주문",OR(O67="우수",O67="적정")),"현상유지",IF(N67="재주문","발주검토",IF(AND(N67="적정",O67="불량"),"판촉검토",IF(N67="적정","현상유지",IF(AND(N67="과잉",OR(O67="우수",O67="적정")),"발주축소","판촉/할인검토")))))))</f>
        <v/>
      </c>
      <c r="Q67" s="560">
        <f>_xlfn.XLOOKUP(재고분석!$C67,재고!C:C,재고!H:H)</f>
        <v/>
      </c>
      <c r="R67" s="561">
        <f>Q67*H67</f>
        <v/>
      </c>
    </row>
    <row r="68">
      <c r="B68" s="397">
        <f>_xlfn.XLOOKUP(C68,'ABC-XYZ분석 (2)'!C:C,'ABC-XYZ분석 (2)'!B:B)</f>
        <v/>
      </c>
      <c r="C68" s="431" t="inlineStr">
        <is>
          <t>ABC67</t>
        </is>
      </c>
      <c r="D68" s="380" t="n"/>
      <c r="E68" s="380" t="n"/>
      <c r="F68" s="381">
        <f>_xlfn.XLOOKUP(표3[[#This Row],[SKU코드]],'ABC-XYZ분석 (2)'!C:C,'ABC-XYZ분석 (2)'!AC:AC)</f>
        <v/>
      </c>
      <c r="G68" s="382">
        <f>_xlfn.XLOOKUP(C68,'ABC-XYZ분석 (2)'!C:C,'ABC-XYZ분석 (2)'!AG:AG)</f>
        <v/>
      </c>
      <c r="H68" s="383">
        <f>SUMIF(재고!C:C,재고분석!C68,재고!I:I)</f>
        <v/>
      </c>
      <c r="I68" s="382">
        <f>SUMIF(안전재고!A:A,재고분석!$C68,안전재고!I:I)</f>
        <v/>
      </c>
      <c r="J68" s="555">
        <f>SUMIF('ABC-XYZ분석 (2)'!C:C,재고분석!$C68,'ABC-XYZ분석 (2)'!X:X)</f>
        <v/>
      </c>
      <c r="K68" s="556">
        <f>IFERROR(재고분석!$J68/재고분석!$H68,"")</f>
        <v/>
      </c>
      <c r="L68" s="556">
        <f>IFERROR(재고분석!$K68*12,"")</f>
        <v/>
      </c>
      <c r="M68" s="555">
        <f>IFERROR(H68/(J68/30),"")</f>
        <v/>
      </c>
      <c r="N68" s="382">
        <f>IF(H68=0,"재고없음",IF(H68&lt;I68,"부족",IF(H68&lt;VLOOKUP(C68,공급물량!$B:$M,12,0)*0.8,"재주문",IF(H68&lt;=VLOOKUP(C68,공급물량!$B:$M,12,0)*1.2,"적정","과잉"))))</f>
        <v/>
      </c>
      <c r="O68" s="382">
        <f>IF(H68=0,"-",IF(K68&gt;=0.5,"우수",IF(K68&gt;=0.33,"적정",IF(K68&gt;=0.17,"주의","불량"))))</f>
        <v/>
      </c>
      <c r="P68" s="386">
        <f>IF(N68="재고없음","긴급발주",IF(N68="부족","긴급발주",IF(AND(N68="재주문",OR(O68="우수",O68="적정")),"현상유지",IF(N68="재주문","발주검토",IF(AND(N68="적정",O68="불량"),"판촉검토",IF(N68="적정","현상유지",IF(AND(N68="과잉",OR(O68="우수",O68="적정")),"발주축소","판촉/할인검토")))))))</f>
        <v/>
      </c>
      <c r="Q68" s="557">
        <f>_xlfn.XLOOKUP(재고분석!$C68,재고!C:C,재고!H:H)</f>
        <v/>
      </c>
      <c r="R68" s="558">
        <f>Q68*H68</f>
        <v/>
      </c>
      <c r="T68" s="511" t="n"/>
    </row>
    <row r="69">
      <c r="B69" s="398">
        <f>_xlfn.XLOOKUP(C69,'ABC-XYZ분석 (2)'!C:C,'ABC-XYZ분석 (2)'!B:B)</f>
        <v/>
      </c>
      <c r="C69" s="431" t="inlineStr">
        <is>
          <t>ABC68</t>
        </is>
      </c>
      <c r="D69" s="387" t="n"/>
      <c r="E69" s="387" t="n"/>
      <c r="F69" s="381">
        <f>_xlfn.XLOOKUP(표3[[#This Row],[SKU코드]],'ABC-XYZ분석 (2)'!C:C,'ABC-XYZ분석 (2)'!AC:AC)</f>
        <v/>
      </c>
      <c r="G69" s="388">
        <f>_xlfn.XLOOKUP(C69,'ABC-XYZ분석 (2)'!C:C,'ABC-XYZ분석 (2)'!AG:AG)</f>
        <v/>
      </c>
      <c r="H69" s="389">
        <f>SUMIF(재고!C:C,재고분석!C69,재고!I:I)</f>
        <v/>
      </c>
      <c r="I69" s="388">
        <f>SUMIF(안전재고!A:A,재고분석!$C69,안전재고!I:I)</f>
        <v/>
      </c>
      <c r="J69" s="559">
        <f>SUMIF('ABC-XYZ분석 (2)'!C:C,재고분석!$C69,'ABC-XYZ분석 (2)'!X:X)</f>
        <v/>
      </c>
      <c r="K69" s="556">
        <f>IFERROR(재고분석!$J69/재고분석!$H69,"")</f>
        <v/>
      </c>
      <c r="L69" s="556">
        <f>IFERROR(재고분석!$K69*12,"")</f>
        <v/>
      </c>
      <c r="M69" s="559">
        <f>IFERROR(H69/(J69/30),"")</f>
        <v/>
      </c>
      <c r="N69" s="388">
        <f>IF(H69=0,"재고없음",IF(H69&lt;I69,"부족",IF(H69&lt;VLOOKUP(C69,공급물량!$B:$M,12,0)*0.8,"재주문",IF(H69&lt;=VLOOKUP(C69,공급물량!$B:$M,12,0)*1.2,"적정","과잉"))))</f>
        <v/>
      </c>
      <c r="O69" s="388">
        <f>IF(H69=0,"-",IF(K69&gt;=0.5,"우수",IF(K69&gt;=0.33,"적정",IF(K69&gt;=0.17,"주의","불량"))))</f>
        <v/>
      </c>
      <c r="P69" s="392">
        <f>IF(N69="재고없음","긴급발주",IF(N69="부족","긴급발주",IF(AND(N69="재주문",OR(O69="우수",O69="적정")),"현상유지",IF(N69="재주문","발주검토",IF(AND(N69="적정",O69="불량"),"판촉검토",IF(N69="적정","현상유지",IF(AND(N69="과잉",OR(O69="우수",O69="적정")),"발주축소","판촉/할인검토")))))))</f>
        <v/>
      </c>
      <c r="Q69" s="560">
        <f>_xlfn.XLOOKUP(재고분석!$C69,재고!C:C,재고!H:H)</f>
        <v/>
      </c>
      <c r="R69" s="561">
        <f>Q69*H69</f>
        <v/>
      </c>
    </row>
    <row r="70">
      <c r="B70" s="397">
        <f>_xlfn.XLOOKUP(C70,'ABC-XYZ분석 (2)'!C:C,'ABC-XYZ분석 (2)'!B:B)</f>
        <v/>
      </c>
      <c r="C70" s="431" t="inlineStr">
        <is>
          <t>ABC69</t>
        </is>
      </c>
      <c r="D70" s="380" t="n"/>
      <c r="E70" s="380" t="n"/>
      <c r="F70" s="381">
        <f>_xlfn.XLOOKUP(표3[[#This Row],[SKU코드]],'ABC-XYZ분석 (2)'!C:C,'ABC-XYZ분석 (2)'!AC:AC)</f>
        <v/>
      </c>
      <c r="G70" s="382">
        <f>_xlfn.XLOOKUP(C70,'ABC-XYZ분석 (2)'!C:C,'ABC-XYZ분석 (2)'!AG:AG)</f>
        <v/>
      </c>
      <c r="H70" s="383">
        <f>SUMIF(재고!C:C,재고분석!C70,재고!I:I)</f>
        <v/>
      </c>
      <c r="I70" s="382">
        <f>SUMIF(안전재고!A:A,재고분석!$C70,안전재고!I:I)</f>
        <v/>
      </c>
      <c r="J70" s="555">
        <f>SUMIF('ABC-XYZ분석 (2)'!C:C,재고분석!$C70,'ABC-XYZ분석 (2)'!X:X)</f>
        <v/>
      </c>
      <c r="K70" s="556">
        <f>IFERROR(재고분석!$J70/재고분석!$H70,"")</f>
        <v/>
      </c>
      <c r="L70" s="556">
        <f>IFERROR(재고분석!$K70*12,"")</f>
        <v/>
      </c>
      <c r="M70" s="555">
        <f>IFERROR(H70/(J70/30),"")</f>
        <v/>
      </c>
      <c r="N70" s="382">
        <f>IF(H70=0,"재고없음",IF(H70&lt;I70,"부족",IF(H70&lt;VLOOKUP(C70,공급물량!$B:$M,12,0)*0.8,"재주문",IF(H70&lt;=VLOOKUP(C70,공급물량!$B:$M,12,0)*1.2,"적정","과잉"))))</f>
        <v/>
      </c>
      <c r="O70" s="382">
        <f>IF(H70=0,"-",IF(K70&gt;=0.5,"우수",IF(K70&gt;=0.33,"적정",IF(K70&gt;=0.17,"주의","불량"))))</f>
        <v/>
      </c>
      <c r="P70" s="386">
        <f>IF(N70="재고없음","긴급발주",IF(N70="부족","긴급발주",IF(AND(N70="재주문",OR(O70="우수",O70="적정")),"현상유지",IF(N70="재주문","발주검토",IF(AND(N70="적정",O70="불량"),"판촉검토",IF(N70="적정","현상유지",IF(AND(N70="과잉",OR(O70="우수",O70="적정")),"발주축소","판촉/할인검토")))))))</f>
        <v/>
      </c>
      <c r="Q70" s="557">
        <f>_xlfn.XLOOKUP(재고분석!$C70,재고!C:C,재고!H:H)</f>
        <v/>
      </c>
      <c r="R70" s="558">
        <f>Q70*H70</f>
        <v/>
      </c>
    </row>
    <row r="71">
      <c r="B71" s="398">
        <f>_xlfn.XLOOKUP(C71,'ABC-XYZ분석 (2)'!C:C,'ABC-XYZ분석 (2)'!B:B)</f>
        <v/>
      </c>
      <c r="C71" s="431" t="inlineStr">
        <is>
          <t>ABC70</t>
        </is>
      </c>
      <c r="D71" s="387" t="n"/>
      <c r="E71" s="387" t="n"/>
      <c r="F71" s="381">
        <f>_xlfn.XLOOKUP(표3[[#This Row],[SKU코드]],'ABC-XYZ분석 (2)'!C:C,'ABC-XYZ분석 (2)'!AC:AC)</f>
        <v/>
      </c>
      <c r="G71" s="388">
        <f>_xlfn.XLOOKUP(C71,'ABC-XYZ분석 (2)'!C:C,'ABC-XYZ분석 (2)'!AG:AG)</f>
        <v/>
      </c>
      <c r="H71" s="389">
        <f>SUMIF(재고!C:C,재고분석!C71,재고!I:I)</f>
        <v/>
      </c>
      <c r="I71" s="388">
        <f>SUMIF(안전재고!A:A,재고분석!$C71,안전재고!I:I)</f>
        <v/>
      </c>
      <c r="J71" s="559">
        <f>SUMIF('ABC-XYZ분석 (2)'!C:C,재고분석!$C71,'ABC-XYZ분석 (2)'!X:X)</f>
        <v/>
      </c>
      <c r="K71" s="556">
        <f>IFERROR(재고분석!$J71/재고분석!$H71,"")</f>
        <v/>
      </c>
      <c r="L71" s="556">
        <f>IFERROR(재고분석!$K71*12,"")</f>
        <v/>
      </c>
      <c r="M71" s="559">
        <f>IFERROR(H71/(J71/30),"")</f>
        <v/>
      </c>
      <c r="N71" s="388">
        <f>IF(H71=0,"재고없음",IF(H71&lt;I71,"부족",IF(H71&lt;VLOOKUP(C71,공급물량!$B:$M,12,0)*0.8,"재주문",IF(H71&lt;=VLOOKUP(C71,공급물량!$B:$M,12,0)*1.2,"적정","과잉"))))</f>
        <v/>
      </c>
      <c r="O71" s="388">
        <f>IF(H71=0,"-",IF(K71&gt;=0.5,"우수",IF(K71&gt;=0.33,"적정",IF(K71&gt;=0.17,"주의","불량"))))</f>
        <v/>
      </c>
      <c r="P71" s="392">
        <f>IF(N71="재고없음","긴급발주",IF(N71="부족","긴급발주",IF(AND(N71="재주문",OR(O71="우수",O71="적정")),"현상유지",IF(N71="재주문","발주검토",IF(AND(N71="적정",O71="불량"),"판촉검토",IF(N71="적정","현상유지",IF(AND(N71="과잉",OR(O71="우수",O71="적정")),"발주축소","판촉/할인검토")))))))</f>
        <v/>
      </c>
      <c r="Q71" s="560">
        <f>_xlfn.XLOOKUP(재고분석!$C71,재고!C:C,재고!H:H)</f>
        <v/>
      </c>
      <c r="R71" s="561">
        <f>Q71*H71</f>
        <v/>
      </c>
    </row>
    <row r="72">
      <c r="B72" s="397">
        <f>_xlfn.XLOOKUP(C72,'ABC-XYZ분석 (2)'!C:C,'ABC-XYZ분석 (2)'!B:B)</f>
        <v/>
      </c>
      <c r="C72" s="431" t="inlineStr">
        <is>
          <t>ABC71</t>
        </is>
      </c>
      <c r="D72" s="380" t="n"/>
      <c r="E72" s="380" t="n"/>
      <c r="F72" s="381">
        <f>_xlfn.XLOOKUP(표3[[#This Row],[SKU코드]],'ABC-XYZ분석 (2)'!C:C,'ABC-XYZ분석 (2)'!AC:AC)</f>
        <v/>
      </c>
      <c r="G72" s="382">
        <f>_xlfn.XLOOKUP(C72,'ABC-XYZ분석 (2)'!C:C,'ABC-XYZ분석 (2)'!AG:AG)</f>
        <v/>
      </c>
      <c r="H72" s="383">
        <f>SUMIF(재고!C:C,재고분석!C72,재고!I:I)</f>
        <v/>
      </c>
      <c r="I72" s="382">
        <f>SUMIF(안전재고!A:A,재고분석!$C72,안전재고!I:I)</f>
        <v/>
      </c>
      <c r="J72" s="555">
        <f>SUMIF('ABC-XYZ분석 (2)'!C:C,재고분석!$C72,'ABC-XYZ분석 (2)'!X:X)</f>
        <v/>
      </c>
      <c r="K72" s="556">
        <f>IFERROR(재고분석!$J72/재고분석!$H72,"")</f>
        <v/>
      </c>
      <c r="L72" s="556">
        <f>IFERROR(재고분석!$K72*12,"")</f>
        <v/>
      </c>
      <c r="M72" s="555">
        <f>IFERROR(H72/(J72/30),"")</f>
        <v/>
      </c>
      <c r="N72" s="382">
        <f>IF(H72=0,"재고없음",IF(H72&lt;I72,"부족",IF(H72&lt;VLOOKUP(C72,공급물량!$B:$M,12,0)*0.8,"재주문",IF(H72&lt;=VLOOKUP(C72,공급물량!$B:$M,12,0)*1.2,"적정","과잉"))))</f>
        <v/>
      </c>
      <c r="O72" s="382">
        <f>IF(H72=0,"-",IF(K72&gt;=0.5,"우수",IF(K72&gt;=0.33,"적정",IF(K72&gt;=0.17,"주의","불량"))))</f>
        <v/>
      </c>
      <c r="P72" s="386">
        <f>IF(N72="재고없음","긴급발주",IF(N72="부족","긴급발주",IF(AND(N72="재주문",OR(O72="우수",O72="적정")),"현상유지",IF(N72="재주문","발주검토",IF(AND(N72="적정",O72="불량"),"판촉검토",IF(N72="적정","현상유지",IF(AND(N72="과잉",OR(O72="우수",O72="적정")),"발주축소","판촉/할인검토")))))))</f>
        <v/>
      </c>
      <c r="Q72" s="557">
        <f>_xlfn.XLOOKUP(재고분석!$C72,재고!C:C,재고!H:H)</f>
        <v/>
      </c>
      <c r="R72" s="558">
        <f>Q72*H72</f>
        <v/>
      </c>
    </row>
    <row r="73">
      <c r="B73" s="398">
        <f>_xlfn.XLOOKUP(C73,'ABC-XYZ분석 (2)'!C:C,'ABC-XYZ분석 (2)'!B:B)</f>
        <v/>
      </c>
      <c r="C73" s="431" t="inlineStr">
        <is>
          <t>ABC72</t>
        </is>
      </c>
      <c r="D73" s="387" t="n"/>
      <c r="E73" s="387" t="n"/>
      <c r="F73" s="381">
        <f>_xlfn.XLOOKUP(표3[[#This Row],[SKU코드]],'ABC-XYZ분석 (2)'!C:C,'ABC-XYZ분석 (2)'!AC:AC)</f>
        <v/>
      </c>
      <c r="G73" s="388">
        <f>_xlfn.XLOOKUP(C73,'ABC-XYZ분석 (2)'!C:C,'ABC-XYZ분석 (2)'!AG:AG)</f>
        <v/>
      </c>
      <c r="H73" s="389">
        <f>SUMIF(재고!C:C,재고분석!C73,재고!I:I)</f>
        <v/>
      </c>
      <c r="I73" s="388">
        <f>SUMIF(안전재고!A:A,재고분석!$C73,안전재고!I:I)</f>
        <v/>
      </c>
      <c r="J73" s="559">
        <f>SUMIF('ABC-XYZ분석 (2)'!C:C,재고분석!$C73,'ABC-XYZ분석 (2)'!X:X)</f>
        <v/>
      </c>
      <c r="K73" s="556">
        <f>IFERROR(재고분석!$J73/재고분석!$H73,"")</f>
        <v/>
      </c>
      <c r="L73" s="556">
        <f>IFERROR(재고분석!$K73*12,"")</f>
        <v/>
      </c>
      <c r="M73" s="559">
        <f>IFERROR(H73/(J73/30),"")</f>
        <v/>
      </c>
      <c r="N73" s="388">
        <f>IF(H73=0,"재고없음",IF(H73&lt;I73,"부족",IF(H73&lt;VLOOKUP(C73,공급물량!$B:$M,12,0)*0.8,"재주문",IF(H73&lt;=VLOOKUP(C73,공급물량!$B:$M,12,0)*1.2,"적정","과잉"))))</f>
        <v/>
      </c>
      <c r="O73" s="388">
        <f>IF(H73=0,"-",IF(K73&gt;=0.5,"우수",IF(K73&gt;=0.33,"적정",IF(K73&gt;=0.17,"주의","불량"))))</f>
        <v/>
      </c>
      <c r="P73" s="392">
        <f>IF(N73="재고없음","긴급발주",IF(N73="부족","긴급발주",IF(AND(N73="재주문",OR(O73="우수",O73="적정")),"현상유지",IF(N73="재주문","발주검토",IF(AND(N73="적정",O73="불량"),"판촉검토",IF(N73="적정","현상유지",IF(AND(N73="과잉",OR(O73="우수",O73="적정")),"발주축소","판촉/할인검토")))))))</f>
        <v/>
      </c>
      <c r="Q73" s="560">
        <f>_xlfn.XLOOKUP(재고분석!$C73,재고!C:C,재고!H:H)</f>
        <v/>
      </c>
      <c r="R73" s="561">
        <f>Q73*H73</f>
        <v/>
      </c>
    </row>
    <row r="74">
      <c r="B74" s="397">
        <f>_xlfn.XLOOKUP(C74,'ABC-XYZ분석 (2)'!C:C,'ABC-XYZ분석 (2)'!B:B)</f>
        <v/>
      </c>
      <c r="C74" s="431" t="inlineStr">
        <is>
          <t>ABC73</t>
        </is>
      </c>
      <c r="D74" s="380" t="n"/>
      <c r="E74" s="380" t="n"/>
      <c r="F74" s="381">
        <f>_xlfn.XLOOKUP(표3[[#This Row],[SKU코드]],'ABC-XYZ분석 (2)'!C:C,'ABC-XYZ분석 (2)'!AC:AC)</f>
        <v/>
      </c>
      <c r="G74" s="382">
        <f>_xlfn.XLOOKUP(C74,'ABC-XYZ분석 (2)'!C:C,'ABC-XYZ분석 (2)'!AG:AG)</f>
        <v/>
      </c>
      <c r="H74" s="383">
        <f>SUMIF(재고!C:C,재고분석!C74,재고!I:I)</f>
        <v/>
      </c>
      <c r="I74" s="382">
        <f>SUMIF(안전재고!A:A,재고분석!$C74,안전재고!I:I)</f>
        <v/>
      </c>
      <c r="J74" s="555">
        <f>SUMIF('ABC-XYZ분석 (2)'!C:C,재고분석!$C74,'ABC-XYZ분석 (2)'!X:X)</f>
        <v/>
      </c>
      <c r="K74" s="556">
        <f>IFERROR(재고분석!$J74/재고분석!$H74,"")</f>
        <v/>
      </c>
      <c r="L74" s="556">
        <f>IFERROR(재고분석!$K74*12,"")</f>
        <v/>
      </c>
      <c r="M74" s="555">
        <f>IFERROR(H74/(J74/30),"")</f>
        <v/>
      </c>
      <c r="N74" s="382">
        <f>IF(H74=0,"재고없음",IF(H74&lt;I74,"부족",IF(H74&lt;VLOOKUP(C74,공급물량!$B:$M,12,0)*0.8,"재주문",IF(H74&lt;=VLOOKUP(C74,공급물량!$B:$M,12,0)*1.2,"적정","과잉"))))</f>
        <v/>
      </c>
      <c r="O74" s="382">
        <f>IF(H74=0,"-",IF(K74&gt;=0.5,"우수",IF(K74&gt;=0.33,"적정",IF(K74&gt;=0.17,"주의","불량"))))</f>
        <v/>
      </c>
      <c r="P74" s="386">
        <f>IF(N74="재고없음","긴급발주",IF(N74="부족","긴급발주",IF(AND(N74="재주문",OR(O74="우수",O74="적정")),"현상유지",IF(N74="재주문","발주검토",IF(AND(N74="적정",O74="불량"),"판촉검토",IF(N74="적정","현상유지",IF(AND(N74="과잉",OR(O74="우수",O74="적정")),"발주축소","판촉/할인검토")))))))</f>
        <v/>
      </c>
      <c r="Q74" s="557">
        <f>_xlfn.XLOOKUP(재고분석!$C74,재고!C:C,재고!H:H)</f>
        <v/>
      </c>
      <c r="R74" s="558">
        <f>Q74*H74</f>
        <v/>
      </c>
    </row>
    <row r="75">
      <c r="B75" s="398">
        <f>_xlfn.XLOOKUP(C75,'ABC-XYZ분석 (2)'!C:C,'ABC-XYZ분석 (2)'!B:B)</f>
        <v/>
      </c>
      <c r="C75" s="431" t="inlineStr">
        <is>
          <t>ABC74</t>
        </is>
      </c>
      <c r="D75" s="387" t="n"/>
      <c r="E75" s="387" t="n"/>
      <c r="F75" s="381">
        <f>_xlfn.XLOOKUP(표3[[#This Row],[SKU코드]],'ABC-XYZ분석 (2)'!C:C,'ABC-XYZ분석 (2)'!AC:AC)</f>
        <v/>
      </c>
      <c r="G75" s="388">
        <f>_xlfn.XLOOKUP(C75,'ABC-XYZ분석 (2)'!C:C,'ABC-XYZ분석 (2)'!AG:AG)</f>
        <v/>
      </c>
      <c r="H75" s="389">
        <f>SUMIF(재고!C:C,재고분석!C75,재고!I:I)</f>
        <v/>
      </c>
      <c r="I75" s="388">
        <f>SUMIF(안전재고!A:A,재고분석!$C75,안전재고!I:I)</f>
        <v/>
      </c>
      <c r="J75" s="559">
        <f>SUMIF('ABC-XYZ분석 (2)'!C:C,재고분석!$C75,'ABC-XYZ분석 (2)'!X:X)</f>
        <v/>
      </c>
      <c r="K75" s="556">
        <f>IFERROR(재고분석!$J75/재고분석!$H75,"")</f>
        <v/>
      </c>
      <c r="L75" s="556">
        <f>IFERROR(재고분석!$K75*12,"")</f>
        <v/>
      </c>
      <c r="M75" s="559">
        <f>IFERROR(H75/(J75/30),"")</f>
        <v/>
      </c>
      <c r="N75" s="388">
        <f>IF(H75=0,"재고없음",IF(H75&lt;I75,"부족",IF(H75&lt;VLOOKUP(C75,공급물량!$B:$M,12,0)*0.8,"재주문",IF(H75&lt;=VLOOKUP(C75,공급물량!$B:$M,12,0)*1.2,"적정","과잉"))))</f>
        <v/>
      </c>
      <c r="O75" s="388">
        <f>IF(H75=0,"-",IF(K75&gt;=0.5,"우수",IF(K75&gt;=0.33,"적정",IF(K75&gt;=0.17,"주의","불량"))))</f>
        <v/>
      </c>
      <c r="P75" s="392">
        <f>IF(N75="재고없음","긴급발주",IF(N75="부족","긴급발주",IF(AND(N75="재주문",OR(O75="우수",O75="적정")),"현상유지",IF(N75="재주문","발주검토",IF(AND(N75="적정",O75="불량"),"판촉검토",IF(N75="적정","현상유지",IF(AND(N75="과잉",OR(O75="우수",O75="적정")),"발주축소","판촉/할인검토")))))))</f>
        <v/>
      </c>
      <c r="Q75" s="560">
        <f>_xlfn.XLOOKUP(재고분석!$C75,재고!C:C,재고!H:H)</f>
        <v/>
      </c>
      <c r="R75" s="561">
        <f>Q75*H75</f>
        <v/>
      </c>
    </row>
    <row r="76">
      <c r="B76" s="397">
        <f>_xlfn.XLOOKUP(C76,'ABC-XYZ분석 (2)'!C:C,'ABC-XYZ분석 (2)'!B:B)</f>
        <v/>
      </c>
      <c r="C76" s="431" t="inlineStr">
        <is>
          <t>ABC75</t>
        </is>
      </c>
      <c r="D76" s="380" t="n"/>
      <c r="E76" s="380" t="n"/>
      <c r="F76" s="381">
        <f>_xlfn.XLOOKUP(표3[[#This Row],[SKU코드]],'ABC-XYZ분석 (2)'!C:C,'ABC-XYZ분석 (2)'!AC:AC)</f>
        <v/>
      </c>
      <c r="G76" s="382">
        <f>_xlfn.XLOOKUP(C76,'ABC-XYZ분석 (2)'!C:C,'ABC-XYZ분석 (2)'!AG:AG)</f>
        <v/>
      </c>
      <c r="H76" s="383">
        <f>SUMIF(재고!C:C,재고분석!C76,재고!I:I)</f>
        <v/>
      </c>
      <c r="I76" s="382">
        <f>SUMIF(안전재고!A:A,재고분석!$C76,안전재고!I:I)</f>
        <v/>
      </c>
      <c r="J76" s="555">
        <f>SUMIF('ABC-XYZ분석 (2)'!C:C,재고분석!$C76,'ABC-XYZ분석 (2)'!X:X)</f>
        <v/>
      </c>
      <c r="K76" s="556">
        <f>IFERROR(재고분석!$J76/재고분석!$H76,"")</f>
        <v/>
      </c>
      <c r="L76" s="556">
        <f>IFERROR(재고분석!$K76*12,"")</f>
        <v/>
      </c>
      <c r="M76" s="555">
        <f>IFERROR(H76/(J76/30),"")</f>
        <v/>
      </c>
      <c r="N76" s="382">
        <f>IF(H76=0,"재고없음",IF(H76&lt;I76,"부족",IF(H76&lt;VLOOKUP(C76,공급물량!$B:$M,12,0)*0.8,"재주문",IF(H76&lt;=VLOOKUP(C76,공급물량!$B:$M,12,0)*1.2,"적정","과잉"))))</f>
        <v/>
      </c>
      <c r="O76" s="382">
        <f>IF(H76=0,"-",IF(K76&gt;=0.5,"우수",IF(K76&gt;=0.33,"적정",IF(K76&gt;=0.17,"주의","불량"))))</f>
        <v/>
      </c>
      <c r="P76" s="386">
        <f>IF(N76="재고없음","긴급발주",IF(N76="부족","긴급발주",IF(AND(N76="재주문",OR(O76="우수",O76="적정")),"현상유지",IF(N76="재주문","발주검토",IF(AND(N76="적정",O76="불량"),"판촉검토",IF(N76="적정","현상유지",IF(AND(N76="과잉",OR(O76="우수",O76="적정")),"발주축소","판촉/할인검토")))))))</f>
        <v/>
      </c>
      <c r="Q76" s="557">
        <f>_xlfn.XLOOKUP(재고분석!$C76,재고!C:C,재고!H:H)</f>
        <v/>
      </c>
      <c r="R76" s="558">
        <f>Q76*H76</f>
        <v/>
      </c>
    </row>
    <row r="77">
      <c r="B77" s="398">
        <f>_xlfn.XLOOKUP(C77,'ABC-XYZ분석 (2)'!C:C,'ABC-XYZ분석 (2)'!B:B)</f>
        <v/>
      </c>
      <c r="C77" s="431" t="inlineStr">
        <is>
          <t>ABC76</t>
        </is>
      </c>
      <c r="D77" s="387" t="n"/>
      <c r="E77" s="387" t="n"/>
      <c r="F77" s="381">
        <f>_xlfn.XLOOKUP(표3[[#This Row],[SKU코드]],'ABC-XYZ분석 (2)'!C:C,'ABC-XYZ분석 (2)'!AC:AC)</f>
        <v/>
      </c>
      <c r="G77" s="388">
        <f>_xlfn.XLOOKUP(C77,'ABC-XYZ분석 (2)'!C:C,'ABC-XYZ분석 (2)'!AG:AG)</f>
        <v/>
      </c>
      <c r="H77" s="389">
        <f>SUMIF(재고!C:C,재고분석!C77,재고!I:I)</f>
        <v/>
      </c>
      <c r="I77" s="388">
        <f>SUMIF(안전재고!A:A,재고분석!$C77,안전재고!I:I)</f>
        <v/>
      </c>
      <c r="J77" s="559">
        <f>SUMIF('ABC-XYZ분석 (2)'!C:C,재고분석!$C77,'ABC-XYZ분석 (2)'!X:X)</f>
        <v/>
      </c>
      <c r="K77" s="556">
        <f>IFERROR(재고분석!$J77/재고분석!$H77,"")</f>
        <v/>
      </c>
      <c r="L77" s="556">
        <f>IFERROR(재고분석!$K77*12,"")</f>
        <v/>
      </c>
      <c r="M77" s="559">
        <f>IFERROR(H77/(J77/30),"")</f>
        <v/>
      </c>
      <c r="N77" s="388">
        <f>IF(H77=0,"재고없음",IF(H77&lt;I77,"부족",IF(H77&lt;VLOOKUP(C77,공급물량!$B:$M,12,0)*0.8,"재주문",IF(H77&lt;=VLOOKUP(C77,공급물량!$B:$M,12,0)*1.2,"적정","과잉"))))</f>
        <v/>
      </c>
      <c r="O77" s="388">
        <f>IF(H77=0,"-",IF(K77&gt;=0.5,"우수",IF(K77&gt;=0.33,"적정",IF(K77&gt;=0.17,"주의","불량"))))</f>
        <v/>
      </c>
      <c r="P77" s="392">
        <f>IF(N77="재고없음","긴급발주",IF(N77="부족","긴급발주",IF(AND(N77="재주문",OR(O77="우수",O77="적정")),"현상유지",IF(N77="재주문","발주검토",IF(AND(N77="적정",O77="불량"),"판촉검토",IF(N77="적정","현상유지",IF(AND(N77="과잉",OR(O77="우수",O77="적정")),"발주축소","판촉/할인검토")))))))</f>
        <v/>
      </c>
      <c r="Q77" s="560">
        <f>_xlfn.XLOOKUP(재고분석!$C77,재고!C:C,재고!H:H)</f>
        <v/>
      </c>
      <c r="R77" s="561">
        <f>Q77*H77</f>
        <v/>
      </c>
    </row>
    <row r="78">
      <c r="B78" s="397">
        <f>_xlfn.XLOOKUP(C78,'ABC-XYZ분석 (2)'!C:C,'ABC-XYZ분석 (2)'!B:B)</f>
        <v/>
      </c>
      <c r="C78" s="431" t="inlineStr">
        <is>
          <t>ABC77</t>
        </is>
      </c>
      <c r="D78" s="380" t="n"/>
      <c r="E78" s="380" t="n"/>
      <c r="F78" s="381">
        <f>_xlfn.XLOOKUP(표3[[#This Row],[SKU코드]],'ABC-XYZ분석 (2)'!C:C,'ABC-XYZ분석 (2)'!AC:AC)</f>
        <v/>
      </c>
      <c r="G78" s="382">
        <f>_xlfn.XLOOKUP(C78,'ABC-XYZ분석 (2)'!C:C,'ABC-XYZ분석 (2)'!AG:AG)</f>
        <v/>
      </c>
      <c r="H78" s="383">
        <f>SUMIF(재고!C:C,재고분석!C78,재고!I:I)</f>
        <v/>
      </c>
      <c r="I78" s="382">
        <f>SUMIF(안전재고!A:A,재고분석!$C78,안전재고!I:I)</f>
        <v/>
      </c>
      <c r="J78" s="555">
        <f>SUMIF('ABC-XYZ분석 (2)'!C:C,재고분석!$C78,'ABC-XYZ분석 (2)'!X:X)</f>
        <v/>
      </c>
      <c r="K78" s="556">
        <f>IFERROR(재고분석!$J78/재고분석!$H78,"")</f>
        <v/>
      </c>
      <c r="L78" s="556">
        <f>IFERROR(재고분석!$K78*12,"")</f>
        <v/>
      </c>
      <c r="M78" s="555">
        <f>IFERROR(H78/(J78/30),"")</f>
        <v/>
      </c>
      <c r="N78" s="382">
        <f>IF(H78=0,"재고없음",IF(H78&lt;I78,"부족",IF(H78&lt;VLOOKUP(C78,공급물량!$B:$M,12,0)*0.8,"재주문",IF(H78&lt;=VLOOKUP(C78,공급물량!$B:$M,12,0)*1.2,"적정","과잉"))))</f>
        <v/>
      </c>
      <c r="O78" s="382">
        <f>IF(H78=0,"-",IF(K78&gt;=0.5,"우수",IF(K78&gt;=0.33,"적정",IF(K78&gt;=0.17,"주의","불량"))))</f>
        <v/>
      </c>
      <c r="P78" s="386">
        <f>IF(N78="재고없음","긴급발주",IF(N78="부족","긴급발주",IF(AND(N78="재주문",OR(O78="우수",O78="적정")),"현상유지",IF(N78="재주문","발주검토",IF(AND(N78="적정",O78="불량"),"판촉검토",IF(N78="적정","현상유지",IF(AND(N78="과잉",OR(O78="우수",O78="적정")),"발주축소","판촉/할인검토")))))))</f>
        <v/>
      </c>
      <c r="Q78" s="557">
        <f>_xlfn.XLOOKUP(재고분석!$C78,재고!C:C,재고!H:H)</f>
        <v/>
      </c>
      <c r="R78" s="558">
        <f>Q78*H78</f>
        <v/>
      </c>
    </row>
    <row r="79">
      <c r="B79" s="398">
        <f>_xlfn.XLOOKUP(C79,'ABC-XYZ분석 (2)'!C:C,'ABC-XYZ분석 (2)'!B:B)</f>
        <v/>
      </c>
      <c r="C79" s="431" t="inlineStr">
        <is>
          <t>ABC78</t>
        </is>
      </c>
      <c r="D79" s="387" t="n"/>
      <c r="E79" s="387" t="n"/>
      <c r="F79" s="381">
        <f>_xlfn.XLOOKUP(표3[[#This Row],[SKU코드]],'ABC-XYZ분석 (2)'!C:C,'ABC-XYZ분석 (2)'!AC:AC)</f>
        <v/>
      </c>
      <c r="G79" s="388">
        <f>_xlfn.XLOOKUP(C79,'ABC-XYZ분석 (2)'!C:C,'ABC-XYZ분석 (2)'!AG:AG)</f>
        <v/>
      </c>
      <c r="H79" s="389">
        <f>SUMIF(재고!C:C,재고분석!C79,재고!I:I)</f>
        <v/>
      </c>
      <c r="I79" s="388">
        <f>SUMIF(안전재고!A:A,재고분석!$C79,안전재고!I:I)</f>
        <v/>
      </c>
      <c r="J79" s="559">
        <f>SUMIF('ABC-XYZ분석 (2)'!C:C,재고분석!$C79,'ABC-XYZ분석 (2)'!X:X)</f>
        <v/>
      </c>
      <c r="K79" s="556">
        <f>IFERROR(재고분석!$J79/재고분석!$H79,"")</f>
        <v/>
      </c>
      <c r="L79" s="556">
        <f>IFERROR(재고분석!$K79*12,"")</f>
        <v/>
      </c>
      <c r="M79" s="559">
        <f>IFERROR(H79/(J79/30),"")</f>
        <v/>
      </c>
      <c r="N79" s="388">
        <f>IF(H79=0,"재고없음",IF(H79&lt;I79,"부족",IF(H79&lt;VLOOKUP(C79,공급물량!$B:$M,12,0)*0.8,"재주문",IF(H79&lt;=VLOOKUP(C79,공급물량!$B:$M,12,0)*1.2,"적정","과잉"))))</f>
        <v/>
      </c>
      <c r="O79" s="388">
        <f>IF(H79=0,"-",IF(K79&gt;=0.5,"우수",IF(K79&gt;=0.33,"적정",IF(K79&gt;=0.17,"주의","불량"))))</f>
        <v/>
      </c>
      <c r="P79" s="392">
        <f>IF(N79="재고없음","긴급발주",IF(N79="부족","긴급발주",IF(AND(N79="재주문",OR(O79="우수",O79="적정")),"현상유지",IF(N79="재주문","발주검토",IF(AND(N79="적정",O79="불량"),"판촉검토",IF(N79="적정","현상유지",IF(AND(N79="과잉",OR(O79="우수",O79="적정")),"발주축소","판촉/할인검토")))))))</f>
        <v/>
      </c>
      <c r="Q79" s="560">
        <f>_xlfn.XLOOKUP(재고분석!$C79,재고!C:C,재고!H:H)</f>
        <v/>
      </c>
      <c r="R79" s="561">
        <f>Q79*H79</f>
        <v/>
      </c>
    </row>
    <row r="80">
      <c r="B80" s="397">
        <f>_xlfn.XLOOKUP(C80,'ABC-XYZ분석 (2)'!C:C,'ABC-XYZ분석 (2)'!B:B)</f>
        <v/>
      </c>
      <c r="C80" s="431" t="inlineStr">
        <is>
          <t>ABC79</t>
        </is>
      </c>
      <c r="D80" s="380" t="n"/>
      <c r="E80" s="380" t="n"/>
      <c r="F80" s="381">
        <f>_xlfn.XLOOKUP(표3[[#This Row],[SKU코드]],'ABC-XYZ분석 (2)'!C:C,'ABC-XYZ분석 (2)'!AC:AC)</f>
        <v/>
      </c>
      <c r="G80" s="382">
        <f>_xlfn.XLOOKUP(C80,'ABC-XYZ분석 (2)'!C:C,'ABC-XYZ분석 (2)'!AG:AG)</f>
        <v/>
      </c>
      <c r="H80" s="383">
        <f>SUMIF(재고!C:C,재고분석!C80,재고!I:I)</f>
        <v/>
      </c>
      <c r="I80" s="382">
        <f>SUMIF(안전재고!A:A,재고분석!$C80,안전재고!I:I)</f>
        <v/>
      </c>
      <c r="J80" s="555">
        <f>SUMIF('ABC-XYZ분석 (2)'!C:C,재고분석!$C80,'ABC-XYZ분석 (2)'!X:X)</f>
        <v/>
      </c>
      <c r="K80" s="556">
        <f>IFERROR(재고분석!$J80/재고분석!$H80,"")</f>
        <v/>
      </c>
      <c r="L80" s="556">
        <f>IFERROR(재고분석!$K80*12,"")</f>
        <v/>
      </c>
      <c r="M80" s="555">
        <f>IFERROR(H80/(J80/30),"")</f>
        <v/>
      </c>
      <c r="N80" s="382">
        <f>IF(H80=0,"재고없음",IF(H80&lt;I80,"부족",IF(H80&lt;VLOOKUP(C80,공급물량!$B:$M,12,0)*0.8,"재주문",IF(H80&lt;=VLOOKUP(C80,공급물량!$B:$M,12,0)*1.2,"적정","과잉"))))</f>
        <v/>
      </c>
      <c r="O80" s="382">
        <f>IF(H80=0,"-",IF(K80&gt;=0.5,"우수",IF(K80&gt;=0.33,"적정",IF(K80&gt;=0.17,"주의","불량"))))</f>
        <v/>
      </c>
      <c r="P80" s="386">
        <f>IF(N80="재고없음","긴급발주",IF(N80="부족","긴급발주",IF(AND(N80="재주문",OR(O80="우수",O80="적정")),"현상유지",IF(N80="재주문","발주검토",IF(AND(N80="적정",O80="불량"),"판촉검토",IF(N80="적정","현상유지",IF(AND(N80="과잉",OR(O80="우수",O80="적정")),"발주축소","판촉/할인검토")))))))</f>
        <v/>
      </c>
      <c r="Q80" s="557">
        <f>_xlfn.XLOOKUP(재고분석!$C80,재고!C:C,재고!H:H)</f>
        <v/>
      </c>
      <c r="R80" s="558">
        <f>Q80*H80</f>
        <v/>
      </c>
    </row>
    <row r="81">
      <c r="B81" s="398">
        <f>_xlfn.XLOOKUP(C81,'ABC-XYZ분석 (2)'!C:C,'ABC-XYZ분석 (2)'!B:B)</f>
        <v/>
      </c>
      <c r="C81" s="431" t="inlineStr">
        <is>
          <t>ABC80</t>
        </is>
      </c>
      <c r="D81" s="387" t="n"/>
      <c r="E81" s="387" t="n"/>
      <c r="F81" s="381">
        <f>_xlfn.XLOOKUP(표3[[#This Row],[SKU코드]],'ABC-XYZ분석 (2)'!C:C,'ABC-XYZ분석 (2)'!AC:AC)</f>
        <v/>
      </c>
      <c r="G81" s="388">
        <f>_xlfn.XLOOKUP(C81,'ABC-XYZ분석 (2)'!C:C,'ABC-XYZ분석 (2)'!AG:AG)</f>
        <v/>
      </c>
      <c r="H81" s="389">
        <f>SUMIF(재고!C:C,재고분석!C81,재고!I:I)</f>
        <v/>
      </c>
      <c r="I81" s="388">
        <f>SUMIF(안전재고!A:A,재고분석!$C81,안전재고!I:I)</f>
        <v/>
      </c>
      <c r="J81" s="559">
        <f>SUMIF('ABC-XYZ분석 (2)'!C:C,재고분석!$C81,'ABC-XYZ분석 (2)'!X:X)</f>
        <v/>
      </c>
      <c r="K81" s="556">
        <f>IFERROR(재고분석!$J81/재고분석!$H81,"")</f>
        <v/>
      </c>
      <c r="L81" s="556">
        <f>IFERROR(재고분석!$K81*12,"")</f>
        <v/>
      </c>
      <c r="M81" s="559">
        <f>IFERROR(H81/(J81/30),"")</f>
        <v/>
      </c>
      <c r="N81" s="388">
        <f>IF(H81=0,"재고없음",IF(H81&lt;I81,"부족",IF(H81&lt;VLOOKUP(C81,공급물량!$B:$M,12,0)*0.8,"재주문",IF(H81&lt;=VLOOKUP(C81,공급물량!$B:$M,12,0)*1.2,"적정","과잉"))))</f>
        <v/>
      </c>
      <c r="O81" s="388">
        <f>IF(H81=0,"-",IF(K81&gt;=0.5,"우수",IF(K81&gt;=0.33,"적정",IF(K81&gt;=0.17,"주의","불량"))))</f>
        <v/>
      </c>
      <c r="P81" s="392">
        <f>IF(N81="재고없음","긴급발주",IF(N81="부족","긴급발주",IF(AND(N81="재주문",OR(O81="우수",O81="적정")),"현상유지",IF(N81="재주문","발주검토",IF(AND(N81="적정",O81="불량"),"판촉검토",IF(N81="적정","현상유지",IF(AND(N81="과잉",OR(O81="우수",O81="적정")),"발주축소","판촉/할인검토")))))))</f>
        <v/>
      </c>
      <c r="Q81" s="560">
        <f>_xlfn.XLOOKUP(재고분석!$C81,재고!C:C,재고!H:H)</f>
        <v/>
      </c>
      <c r="R81" s="561">
        <f>Q81*H81</f>
        <v/>
      </c>
    </row>
    <row r="82">
      <c r="B82" s="397">
        <f>_xlfn.XLOOKUP(C82,'ABC-XYZ분석 (2)'!C:C,'ABC-XYZ분석 (2)'!B:B)</f>
        <v/>
      </c>
      <c r="C82" s="431" t="inlineStr">
        <is>
          <t>ABC81</t>
        </is>
      </c>
      <c r="D82" s="380" t="n"/>
      <c r="E82" s="380" t="n"/>
      <c r="F82" s="381">
        <f>_xlfn.XLOOKUP(표3[[#This Row],[SKU코드]],'ABC-XYZ분석 (2)'!C:C,'ABC-XYZ분석 (2)'!AC:AC)</f>
        <v/>
      </c>
      <c r="G82" s="382">
        <f>_xlfn.XLOOKUP(C82,'ABC-XYZ분석 (2)'!C:C,'ABC-XYZ분석 (2)'!AG:AG)</f>
        <v/>
      </c>
      <c r="H82" s="383">
        <f>SUMIF(재고!C:C,재고분석!C82,재고!I:I)</f>
        <v/>
      </c>
      <c r="I82" s="382">
        <f>SUMIF(안전재고!A:A,재고분석!$C82,안전재고!I:I)</f>
        <v/>
      </c>
      <c r="J82" s="555">
        <f>SUMIF('ABC-XYZ분석 (2)'!C:C,재고분석!$C82,'ABC-XYZ분석 (2)'!X:X)</f>
        <v/>
      </c>
      <c r="K82" s="556">
        <f>IFERROR(재고분석!$J82/재고분석!$H82,"")</f>
        <v/>
      </c>
      <c r="L82" s="556">
        <f>IFERROR(재고분석!$K82*12,"")</f>
        <v/>
      </c>
      <c r="M82" s="555">
        <f>IFERROR(H82/(J82/30),"")</f>
        <v/>
      </c>
      <c r="N82" s="382">
        <f>IF(H82=0,"재고없음",IF(H82&lt;I82,"부족",IF(H82&lt;VLOOKUP(C82,공급물량!$B:$M,12,0)*0.8,"재주문",IF(H82&lt;=VLOOKUP(C82,공급물량!$B:$M,12,0)*1.2,"적정","과잉"))))</f>
        <v/>
      </c>
      <c r="O82" s="382">
        <f>IF(H82=0,"-",IF(K82&gt;=0.5,"우수",IF(K82&gt;=0.33,"적정",IF(K82&gt;=0.17,"주의","불량"))))</f>
        <v/>
      </c>
      <c r="P82" s="386">
        <f>IF(N82="재고없음","긴급발주",IF(N82="부족","긴급발주",IF(AND(N82="재주문",OR(O82="우수",O82="적정")),"현상유지",IF(N82="재주문","발주검토",IF(AND(N82="적정",O82="불량"),"판촉검토",IF(N82="적정","현상유지",IF(AND(N82="과잉",OR(O82="우수",O82="적정")),"발주축소","판촉/할인검토")))))))</f>
        <v/>
      </c>
      <c r="Q82" s="557">
        <f>_xlfn.XLOOKUP(재고분석!$C82,재고!C:C,재고!H:H)</f>
        <v/>
      </c>
      <c r="R82" s="558">
        <f>Q82*H82</f>
        <v/>
      </c>
    </row>
    <row r="83">
      <c r="B83" s="398">
        <f>_xlfn.XLOOKUP(C83,'ABC-XYZ분석 (2)'!C:C,'ABC-XYZ분석 (2)'!B:B)</f>
        <v/>
      </c>
      <c r="C83" s="431" t="inlineStr">
        <is>
          <t>ABC82</t>
        </is>
      </c>
      <c r="D83" s="387" t="n"/>
      <c r="E83" s="387" t="n"/>
      <c r="F83" s="381">
        <f>_xlfn.XLOOKUP(표3[[#This Row],[SKU코드]],'ABC-XYZ분석 (2)'!C:C,'ABC-XYZ분석 (2)'!AC:AC)</f>
        <v/>
      </c>
      <c r="G83" s="388">
        <f>_xlfn.XLOOKUP(C83,'ABC-XYZ분석 (2)'!C:C,'ABC-XYZ분석 (2)'!AG:AG)</f>
        <v/>
      </c>
      <c r="H83" s="389">
        <f>SUMIF(재고!C:C,재고분석!C83,재고!I:I)</f>
        <v/>
      </c>
      <c r="I83" s="388">
        <f>SUMIF(안전재고!A:A,재고분석!$C83,안전재고!I:I)</f>
        <v/>
      </c>
      <c r="J83" s="559">
        <f>SUMIF('ABC-XYZ분석 (2)'!C:C,재고분석!$C83,'ABC-XYZ분석 (2)'!X:X)</f>
        <v/>
      </c>
      <c r="K83" s="556">
        <f>IFERROR(재고분석!$J83/재고분석!$H83,"")</f>
        <v/>
      </c>
      <c r="L83" s="556">
        <f>IFERROR(재고분석!$K83*12,"")</f>
        <v/>
      </c>
      <c r="M83" s="559">
        <f>IFERROR(H83/(J83/30),"")</f>
        <v/>
      </c>
      <c r="N83" s="388">
        <f>IF(H83=0,"재고없음",IF(H83&lt;I83,"부족",IF(H83&lt;VLOOKUP(C83,공급물량!$B:$M,12,0)*0.8,"재주문",IF(H83&lt;=VLOOKUP(C83,공급물량!$B:$M,12,0)*1.2,"적정","과잉"))))</f>
        <v/>
      </c>
      <c r="O83" s="388">
        <f>IF(H83=0,"-",IF(K83&gt;=0.5,"우수",IF(K83&gt;=0.33,"적정",IF(K83&gt;=0.17,"주의","불량"))))</f>
        <v/>
      </c>
      <c r="P83" s="392">
        <f>IF(N83="재고없음","긴급발주",IF(N83="부족","긴급발주",IF(AND(N83="재주문",OR(O83="우수",O83="적정")),"현상유지",IF(N83="재주문","발주검토",IF(AND(N83="적정",O83="불량"),"판촉검토",IF(N83="적정","현상유지",IF(AND(N83="과잉",OR(O83="우수",O83="적정")),"발주축소","판촉/할인검토")))))))</f>
        <v/>
      </c>
      <c r="Q83" s="560">
        <f>_xlfn.XLOOKUP(재고분석!$C83,재고!C:C,재고!H:H)</f>
        <v/>
      </c>
      <c r="R83" s="561">
        <f>Q83*H83</f>
        <v/>
      </c>
    </row>
    <row r="84">
      <c r="B84" s="397">
        <f>_xlfn.XLOOKUP(C84,'ABC-XYZ분석 (2)'!C:C,'ABC-XYZ분석 (2)'!B:B)</f>
        <v/>
      </c>
      <c r="C84" s="431" t="inlineStr">
        <is>
          <t>ABC83</t>
        </is>
      </c>
      <c r="D84" s="380" t="n"/>
      <c r="E84" s="380" t="n"/>
      <c r="F84" s="381">
        <f>_xlfn.XLOOKUP(표3[[#This Row],[SKU코드]],'ABC-XYZ분석 (2)'!C:C,'ABC-XYZ분석 (2)'!AC:AC)</f>
        <v/>
      </c>
      <c r="G84" s="382">
        <f>_xlfn.XLOOKUP(C84,'ABC-XYZ분석 (2)'!C:C,'ABC-XYZ분석 (2)'!AG:AG)</f>
        <v/>
      </c>
      <c r="H84" s="383">
        <f>SUMIF(재고!C:C,재고분석!C84,재고!I:I)</f>
        <v/>
      </c>
      <c r="I84" s="382">
        <f>SUMIF(안전재고!A:A,재고분석!$C84,안전재고!I:I)</f>
        <v/>
      </c>
      <c r="J84" s="555">
        <f>SUMIF('ABC-XYZ분석 (2)'!C:C,재고분석!$C84,'ABC-XYZ분석 (2)'!X:X)</f>
        <v/>
      </c>
      <c r="K84" s="556">
        <f>IFERROR(재고분석!$J84/재고분석!$H84,"")</f>
        <v/>
      </c>
      <c r="L84" s="556">
        <f>IFERROR(재고분석!$K84*12,"")</f>
        <v/>
      </c>
      <c r="M84" s="555">
        <f>IFERROR(H84/(J84/30),"")</f>
        <v/>
      </c>
      <c r="N84" s="382">
        <f>IF(H84=0,"재고없음",IF(H84&lt;I84,"부족",IF(H84&lt;VLOOKUP(C84,공급물량!$B:$M,12,0)*0.8,"재주문",IF(H84&lt;=VLOOKUP(C84,공급물량!$B:$M,12,0)*1.2,"적정","과잉"))))</f>
        <v/>
      </c>
      <c r="O84" s="382">
        <f>IF(H84=0,"-",IF(K84&gt;=0.5,"우수",IF(K84&gt;=0.33,"적정",IF(K84&gt;=0.17,"주의","불량"))))</f>
        <v/>
      </c>
      <c r="P84" s="386">
        <f>IF(N84="재고없음","긴급발주",IF(N84="부족","긴급발주",IF(AND(N84="재주문",OR(O84="우수",O84="적정")),"현상유지",IF(N84="재주문","발주검토",IF(AND(N84="적정",O84="불량"),"판촉검토",IF(N84="적정","현상유지",IF(AND(N84="과잉",OR(O84="우수",O84="적정")),"발주축소","판촉/할인검토")))))))</f>
        <v/>
      </c>
      <c r="Q84" s="557">
        <f>_xlfn.XLOOKUP(재고분석!$C84,재고!C:C,재고!H:H)</f>
        <v/>
      </c>
      <c r="R84" s="558">
        <f>Q84*H84</f>
        <v/>
      </c>
    </row>
    <row r="85">
      <c r="B85" s="398">
        <f>_xlfn.XLOOKUP(C85,'ABC-XYZ분석 (2)'!C:C,'ABC-XYZ분석 (2)'!B:B)</f>
        <v/>
      </c>
      <c r="C85" s="431" t="inlineStr">
        <is>
          <t>ABC84</t>
        </is>
      </c>
      <c r="D85" s="387" t="n"/>
      <c r="E85" s="387" t="n"/>
      <c r="F85" s="381">
        <f>_xlfn.XLOOKUP(표3[[#This Row],[SKU코드]],'ABC-XYZ분석 (2)'!C:C,'ABC-XYZ분석 (2)'!AC:AC)</f>
        <v/>
      </c>
      <c r="G85" s="388">
        <f>_xlfn.XLOOKUP(C85,'ABC-XYZ분석 (2)'!C:C,'ABC-XYZ분석 (2)'!AG:AG)</f>
        <v/>
      </c>
      <c r="H85" s="389">
        <f>SUMIF(재고!C:C,재고분석!C85,재고!I:I)</f>
        <v/>
      </c>
      <c r="I85" s="388">
        <f>SUMIF(안전재고!A:A,재고분석!$C85,안전재고!I:I)</f>
        <v/>
      </c>
      <c r="J85" s="559">
        <f>SUMIF('ABC-XYZ분석 (2)'!C:C,재고분석!$C85,'ABC-XYZ분석 (2)'!X:X)</f>
        <v/>
      </c>
      <c r="K85" s="556">
        <f>IFERROR(재고분석!$J85/재고분석!$H85,"")</f>
        <v/>
      </c>
      <c r="L85" s="556">
        <f>IFERROR(재고분석!$K85*12,"")</f>
        <v/>
      </c>
      <c r="M85" s="559">
        <f>IFERROR(H85/(J85/30),"")</f>
        <v/>
      </c>
      <c r="N85" s="388">
        <f>IF(H85=0,"재고없음",IF(H85&lt;I85,"부족",IF(H85&lt;VLOOKUP(C85,공급물량!$B:$M,12,0)*0.8,"재주문",IF(H85&lt;=VLOOKUP(C85,공급물량!$B:$M,12,0)*1.2,"적정","과잉"))))</f>
        <v/>
      </c>
      <c r="O85" s="388">
        <f>IF(H85=0,"-",IF(K85&gt;=0.5,"우수",IF(K85&gt;=0.33,"적정",IF(K85&gt;=0.17,"주의","불량"))))</f>
        <v/>
      </c>
      <c r="P85" s="392">
        <f>IF(N85="재고없음","긴급발주",IF(N85="부족","긴급발주",IF(AND(N85="재주문",OR(O85="우수",O85="적정")),"현상유지",IF(N85="재주문","발주검토",IF(AND(N85="적정",O85="불량"),"판촉검토",IF(N85="적정","현상유지",IF(AND(N85="과잉",OR(O85="우수",O85="적정")),"발주축소","판촉/할인검토")))))))</f>
        <v/>
      </c>
      <c r="Q85" s="560">
        <f>_xlfn.XLOOKUP(재고분석!$C85,재고!C:C,재고!H:H)</f>
        <v/>
      </c>
      <c r="R85" s="561">
        <f>Q85*H85</f>
        <v/>
      </c>
    </row>
    <row r="86">
      <c r="B86" s="397">
        <f>_xlfn.XLOOKUP(C86,'ABC-XYZ분석 (2)'!C:C,'ABC-XYZ분석 (2)'!B:B)</f>
        <v/>
      </c>
      <c r="C86" s="431" t="inlineStr">
        <is>
          <t>ABC85</t>
        </is>
      </c>
      <c r="D86" s="380" t="n"/>
      <c r="E86" s="380" t="n"/>
      <c r="F86" s="381">
        <f>_xlfn.XLOOKUP(표3[[#This Row],[SKU코드]],'ABC-XYZ분석 (2)'!C:C,'ABC-XYZ분석 (2)'!AC:AC)</f>
        <v/>
      </c>
      <c r="G86" s="382">
        <f>_xlfn.XLOOKUP(C86,'ABC-XYZ분석 (2)'!C:C,'ABC-XYZ분석 (2)'!AG:AG)</f>
        <v/>
      </c>
      <c r="H86" s="383">
        <f>SUMIF(재고!C:C,재고분석!C86,재고!I:I)</f>
        <v/>
      </c>
      <c r="I86" s="382">
        <f>SUMIF(안전재고!A:A,재고분석!$C86,안전재고!I:I)</f>
        <v/>
      </c>
      <c r="J86" s="555">
        <f>SUMIF('ABC-XYZ분석 (2)'!C:C,재고분석!$C86,'ABC-XYZ분석 (2)'!X:X)</f>
        <v/>
      </c>
      <c r="K86" s="556">
        <f>IFERROR(재고분석!$J86/재고분석!$H86,"")</f>
        <v/>
      </c>
      <c r="L86" s="556">
        <f>IFERROR(재고분석!$K86*12,"")</f>
        <v/>
      </c>
      <c r="M86" s="555">
        <f>IFERROR(H86/(J86/30),"")</f>
        <v/>
      </c>
      <c r="N86" s="382">
        <f>IF(H86=0,"재고없음",IF(H86&lt;I86,"부족",IF(H86&lt;VLOOKUP(C86,공급물량!$B:$M,12,0)*0.8,"재주문",IF(H86&lt;=VLOOKUP(C86,공급물량!$B:$M,12,0)*1.2,"적정","과잉"))))</f>
        <v/>
      </c>
      <c r="O86" s="382">
        <f>IF(H86=0,"-",IF(K86&gt;=0.5,"우수",IF(K86&gt;=0.33,"적정",IF(K86&gt;=0.17,"주의","불량"))))</f>
        <v/>
      </c>
      <c r="P86" s="386">
        <f>IF(N86="재고없음","긴급발주",IF(N86="부족","긴급발주",IF(AND(N86="재주문",OR(O86="우수",O86="적정")),"현상유지",IF(N86="재주문","발주검토",IF(AND(N86="적정",O86="불량"),"판촉검토",IF(N86="적정","현상유지",IF(AND(N86="과잉",OR(O86="우수",O86="적정")),"발주축소","판촉/할인검토")))))))</f>
        <v/>
      </c>
      <c r="Q86" s="557">
        <f>_xlfn.XLOOKUP(재고분석!$C86,재고!C:C,재고!H:H)</f>
        <v/>
      </c>
      <c r="R86" s="558">
        <f>Q86*H86</f>
        <v/>
      </c>
    </row>
    <row r="87">
      <c r="B87" s="398">
        <f>_xlfn.XLOOKUP(C87,'ABC-XYZ분석 (2)'!C:C,'ABC-XYZ분석 (2)'!B:B)</f>
        <v/>
      </c>
      <c r="C87" s="431" t="inlineStr">
        <is>
          <t>ABC86</t>
        </is>
      </c>
      <c r="D87" s="387" t="n"/>
      <c r="E87" s="387" t="n"/>
      <c r="F87" s="381">
        <f>_xlfn.XLOOKUP(표3[[#This Row],[SKU코드]],'ABC-XYZ분석 (2)'!C:C,'ABC-XYZ분석 (2)'!AC:AC)</f>
        <v/>
      </c>
      <c r="G87" s="388">
        <f>_xlfn.XLOOKUP(C87,'ABC-XYZ분석 (2)'!C:C,'ABC-XYZ분석 (2)'!AG:AG)</f>
        <v/>
      </c>
      <c r="H87" s="389">
        <f>SUMIF(재고!C:C,재고분석!C87,재고!I:I)</f>
        <v/>
      </c>
      <c r="I87" s="388">
        <f>SUMIF(안전재고!A:A,재고분석!$C87,안전재고!I:I)</f>
        <v/>
      </c>
      <c r="J87" s="559">
        <f>SUMIF('ABC-XYZ분석 (2)'!C:C,재고분석!$C87,'ABC-XYZ분석 (2)'!X:X)</f>
        <v/>
      </c>
      <c r="K87" s="556">
        <f>IFERROR(재고분석!$J87/재고분석!$H87,"")</f>
        <v/>
      </c>
      <c r="L87" s="556">
        <f>IFERROR(재고분석!$K87*12,"")</f>
        <v/>
      </c>
      <c r="M87" s="559">
        <f>IFERROR(H87/(J87/30),"")</f>
        <v/>
      </c>
      <c r="N87" s="388">
        <f>IF(H87=0,"재고없음",IF(H87&lt;I87,"부족",IF(H87&lt;VLOOKUP(C87,공급물량!$B:$M,12,0)*0.8,"재주문",IF(H87&lt;=VLOOKUP(C87,공급물량!$B:$M,12,0)*1.2,"적정","과잉"))))</f>
        <v/>
      </c>
      <c r="O87" s="388">
        <f>IF(H87=0,"-",IF(K87&gt;=0.5,"우수",IF(K87&gt;=0.33,"적정",IF(K87&gt;=0.17,"주의","불량"))))</f>
        <v/>
      </c>
      <c r="P87" s="392">
        <f>IF(N87="재고없음","긴급발주",IF(N87="부족","긴급발주",IF(AND(N87="재주문",OR(O87="우수",O87="적정")),"현상유지",IF(N87="재주문","발주검토",IF(AND(N87="적정",O87="불량"),"판촉검토",IF(N87="적정","현상유지",IF(AND(N87="과잉",OR(O87="우수",O87="적정")),"발주축소","판촉/할인검토")))))))</f>
        <v/>
      </c>
      <c r="Q87" s="560">
        <f>_xlfn.XLOOKUP(재고분석!$C87,재고!C:C,재고!H:H)</f>
        <v/>
      </c>
      <c r="R87" s="561">
        <f>Q87*H87</f>
        <v/>
      </c>
    </row>
    <row r="88">
      <c r="B88" s="397">
        <f>_xlfn.XLOOKUP(C88,'ABC-XYZ분석 (2)'!C:C,'ABC-XYZ분석 (2)'!B:B)</f>
        <v/>
      </c>
      <c r="C88" s="431" t="inlineStr">
        <is>
          <t>ABC87</t>
        </is>
      </c>
      <c r="D88" s="380" t="n"/>
      <c r="E88" s="380" t="n"/>
      <c r="F88" s="381">
        <f>_xlfn.XLOOKUP(표3[[#This Row],[SKU코드]],'ABC-XYZ분석 (2)'!C:C,'ABC-XYZ분석 (2)'!AC:AC)</f>
        <v/>
      </c>
      <c r="G88" s="382">
        <f>_xlfn.XLOOKUP(C88,'ABC-XYZ분석 (2)'!C:C,'ABC-XYZ분석 (2)'!AG:AG)</f>
        <v/>
      </c>
      <c r="H88" s="383">
        <f>SUMIF(재고!C:C,재고분석!C88,재고!I:I)</f>
        <v/>
      </c>
      <c r="I88" s="382">
        <f>SUMIF(안전재고!A:A,재고분석!$C88,안전재고!I:I)</f>
        <v/>
      </c>
      <c r="J88" s="555">
        <f>SUMIF('ABC-XYZ분석 (2)'!C:C,재고분석!$C88,'ABC-XYZ분석 (2)'!X:X)</f>
        <v/>
      </c>
      <c r="K88" s="556">
        <f>IFERROR(재고분석!$J88/재고분석!$H88,"")</f>
        <v/>
      </c>
      <c r="L88" s="556">
        <f>IFERROR(재고분석!$K88*12,"")</f>
        <v/>
      </c>
      <c r="M88" s="555">
        <f>IFERROR(H88/(J88/30),"")</f>
        <v/>
      </c>
      <c r="N88" s="382">
        <f>IF(H88=0,"재고없음",IF(H88&lt;I88,"부족",IF(H88&lt;VLOOKUP(C88,공급물량!$B:$M,12,0)*0.8,"재주문",IF(H88&lt;=VLOOKUP(C88,공급물량!$B:$M,12,0)*1.2,"적정","과잉"))))</f>
        <v/>
      </c>
      <c r="O88" s="382">
        <f>IF(H88=0,"-",IF(K88&gt;=0.5,"우수",IF(K88&gt;=0.33,"적정",IF(K88&gt;=0.17,"주의","불량"))))</f>
        <v/>
      </c>
      <c r="P88" s="386">
        <f>IF(N88="재고없음","긴급발주",IF(N88="부족","긴급발주",IF(AND(N88="재주문",OR(O88="우수",O88="적정")),"현상유지",IF(N88="재주문","발주검토",IF(AND(N88="적정",O88="불량"),"판촉검토",IF(N88="적정","현상유지",IF(AND(N88="과잉",OR(O88="우수",O88="적정")),"발주축소","판촉/할인검토")))))))</f>
        <v/>
      </c>
      <c r="Q88" s="557">
        <f>_xlfn.XLOOKUP(재고분석!$C88,재고!C:C,재고!H:H)</f>
        <v/>
      </c>
      <c r="R88" s="558">
        <f>Q88*H88</f>
        <v/>
      </c>
    </row>
    <row r="89">
      <c r="B89" s="398">
        <f>_xlfn.XLOOKUP(C89,'ABC-XYZ분석 (2)'!C:C,'ABC-XYZ분석 (2)'!B:B)</f>
        <v/>
      </c>
      <c r="C89" s="431" t="inlineStr">
        <is>
          <t>ABC88</t>
        </is>
      </c>
      <c r="D89" s="387" t="n"/>
      <c r="E89" s="387" t="n"/>
      <c r="F89" s="381">
        <f>_xlfn.XLOOKUP(표3[[#This Row],[SKU코드]],'ABC-XYZ분석 (2)'!C:C,'ABC-XYZ분석 (2)'!AC:AC)</f>
        <v/>
      </c>
      <c r="G89" s="388">
        <f>_xlfn.XLOOKUP(C89,'ABC-XYZ분석 (2)'!C:C,'ABC-XYZ분석 (2)'!AG:AG)</f>
        <v/>
      </c>
      <c r="H89" s="389">
        <f>SUMIF(재고!C:C,재고분석!C89,재고!I:I)</f>
        <v/>
      </c>
      <c r="I89" s="388">
        <f>SUMIF(안전재고!A:A,재고분석!$C89,안전재고!I:I)</f>
        <v/>
      </c>
      <c r="J89" s="559">
        <f>SUMIF('ABC-XYZ분석 (2)'!C:C,재고분석!$C89,'ABC-XYZ분석 (2)'!X:X)</f>
        <v/>
      </c>
      <c r="K89" s="556">
        <f>IFERROR(재고분석!$J89/재고분석!$H89,"")</f>
        <v/>
      </c>
      <c r="L89" s="556">
        <f>IFERROR(재고분석!$K89*12,"")</f>
        <v/>
      </c>
      <c r="M89" s="559">
        <f>IFERROR(H89/(J89/30),"")</f>
        <v/>
      </c>
      <c r="N89" s="388">
        <f>IF(H89=0,"재고없음",IF(H89&lt;I89,"부족",IF(H89&lt;VLOOKUP(C89,공급물량!$B:$M,12,0)*0.8,"재주문",IF(H89&lt;=VLOOKUP(C89,공급물량!$B:$M,12,0)*1.2,"적정","과잉"))))</f>
        <v/>
      </c>
      <c r="O89" s="388">
        <f>IF(H89=0,"-",IF(K89&gt;=0.5,"우수",IF(K89&gt;=0.33,"적정",IF(K89&gt;=0.17,"주의","불량"))))</f>
        <v/>
      </c>
      <c r="P89" s="392">
        <f>IF(N89="재고없음","긴급발주",IF(N89="부족","긴급발주",IF(AND(N89="재주문",OR(O89="우수",O89="적정")),"현상유지",IF(N89="재주문","발주검토",IF(AND(N89="적정",O89="불량"),"판촉검토",IF(N89="적정","현상유지",IF(AND(N89="과잉",OR(O89="우수",O89="적정")),"발주축소","판촉/할인검토")))))))</f>
        <v/>
      </c>
      <c r="Q89" s="560">
        <f>_xlfn.XLOOKUP(재고분석!$C89,재고!C:C,재고!H:H)</f>
        <v/>
      </c>
      <c r="R89" s="561">
        <f>Q89*H89</f>
        <v/>
      </c>
    </row>
    <row r="90">
      <c r="B90" s="397">
        <f>_xlfn.XLOOKUP(C90,'ABC-XYZ분석 (2)'!C:C,'ABC-XYZ분석 (2)'!B:B)</f>
        <v/>
      </c>
      <c r="C90" s="431" t="inlineStr">
        <is>
          <t>ABC89</t>
        </is>
      </c>
      <c r="D90" s="380" t="n"/>
      <c r="E90" s="380" t="n"/>
      <c r="F90" s="381">
        <f>_xlfn.XLOOKUP(표3[[#This Row],[SKU코드]],'ABC-XYZ분석 (2)'!C:C,'ABC-XYZ분석 (2)'!AC:AC)</f>
        <v/>
      </c>
      <c r="G90" s="382">
        <f>_xlfn.XLOOKUP(C90,'ABC-XYZ분석 (2)'!C:C,'ABC-XYZ분석 (2)'!AG:AG)</f>
        <v/>
      </c>
      <c r="H90" s="383">
        <f>SUMIF(재고!C:C,재고분석!C90,재고!I:I)</f>
        <v/>
      </c>
      <c r="I90" s="382">
        <f>SUMIF(안전재고!A:A,재고분석!$C90,안전재고!I:I)</f>
        <v/>
      </c>
      <c r="J90" s="555">
        <f>SUMIF('ABC-XYZ분석 (2)'!C:C,재고분석!$C90,'ABC-XYZ분석 (2)'!X:X)</f>
        <v/>
      </c>
      <c r="K90" s="556">
        <f>IFERROR(재고분석!$J90/재고분석!$H90,"")</f>
        <v/>
      </c>
      <c r="L90" s="556">
        <f>IFERROR(재고분석!$K90*12,"")</f>
        <v/>
      </c>
      <c r="M90" s="555">
        <f>IFERROR(H90/(J90/30),"")</f>
        <v/>
      </c>
      <c r="N90" s="382">
        <f>IF(H90=0,"재고없음",IF(H90&lt;I90,"부족",IF(H90&lt;VLOOKUP(C90,공급물량!$B:$M,12,0)*0.8,"재주문",IF(H90&lt;=VLOOKUP(C90,공급물량!$B:$M,12,0)*1.2,"적정","과잉"))))</f>
        <v/>
      </c>
      <c r="O90" s="382">
        <f>IF(H90=0,"-",IF(K90&gt;=0.5,"우수",IF(K90&gt;=0.33,"적정",IF(K90&gt;=0.17,"주의","불량"))))</f>
        <v/>
      </c>
      <c r="P90" s="386">
        <f>IF(N90="재고없음","긴급발주",IF(N90="부족","긴급발주",IF(AND(N90="재주문",OR(O90="우수",O90="적정")),"현상유지",IF(N90="재주문","발주검토",IF(AND(N90="적정",O90="불량"),"판촉검토",IF(N90="적정","현상유지",IF(AND(N90="과잉",OR(O90="우수",O90="적정")),"발주축소","판촉/할인검토")))))))</f>
        <v/>
      </c>
      <c r="Q90" s="557">
        <f>_xlfn.XLOOKUP(재고분석!$C90,재고!C:C,재고!H:H)</f>
        <v/>
      </c>
      <c r="R90" s="558">
        <f>Q90*H90</f>
        <v/>
      </c>
    </row>
    <row r="91">
      <c r="B91" s="398">
        <f>_xlfn.XLOOKUP(C91,'ABC-XYZ분석 (2)'!C:C,'ABC-XYZ분석 (2)'!B:B)</f>
        <v/>
      </c>
      <c r="C91" s="431" t="inlineStr">
        <is>
          <t>ABC90</t>
        </is>
      </c>
      <c r="D91" s="387" t="n"/>
      <c r="E91" s="387" t="n"/>
      <c r="F91" s="381">
        <f>_xlfn.XLOOKUP(표3[[#This Row],[SKU코드]],'ABC-XYZ분석 (2)'!C:C,'ABC-XYZ분석 (2)'!AC:AC)</f>
        <v/>
      </c>
      <c r="G91" s="388">
        <f>_xlfn.XLOOKUP(C91,'ABC-XYZ분석 (2)'!C:C,'ABC-XYZ분석 (2)'!AG:AG)</f>
        <v/>
      </c>
      <c r="H91" s="389">
        <f>SUMIF(재고!C:C,재고분석!C91,재고!I:I)</f>
        <v/>
      </c>
      <c r="I91" s="388">
        <f>SUMIF(안전재고!A:A,재고분석!$C91,안전재고!I:I)</f>
        <v/>
      </c>
      <c r="J91" s="559">
        <f>SUMIF('ABC-XYZ분석 (2)'!C:C,재고분석!$C91,'ABC-XYZ분석 (2)'!X:X)</f>
        <v/>
      </c>
      <c r="K91" s="556">
        <f>IFERROR(재고분석!$J91/재고분석!$H91,"")</f>
        <v/>
      </c>
      <c r="L91" s="556">
        <f>IFERROR(재고분석!$K91*12,"")</f>
        <v/>
      </c>
      <c r="M91" s="559">
        <f>IFERROR(H91/(J91/30),"")</f>
        <v/>
      </c>
      <c r="N91" s="388">
        <f>IF(H91=0,"재고없음",IF(H91&lt;I91,"부족",IF(H91&lt;VLOOKUP(C91,공급물량!$B:$M,12,0)*0.8,"재주문",IF(H91&lt;=VLOOKUP(C91,공급물량!$B:$M,12,0)*1.2,"적정","과잉"))))</f>
        <v/>
      </c>
      <c r="O91" s="388">
        <f>IF(H91=0,"-",IF(K91&gt;=0.5,"우수",IF(K91&gt;=0.33,"적정",IF(K91&gt;=0.17,"주의","불량"))))</f>
        <v/>
      </c>
      <c r="P91" s="392">
        <f>IF(N91="재고없음","긴급발주",IF(N91="부족","긴급발주",IF(AND(N91="재주문",OR(O91="우수",O91="적정")),"현상유지",IF(N91="재주문","발주검토",IF(AND(N91="적정",O91="불량"),"판촉검토",IF(N91="적정","현상유지",IF(AND(N91="과잉",OR(O91="우수",O91="적정")),"발주축소","판촉/할인검토")))))))</f>
        <v/>
      </c>
      <c r="Q91" s="560">
        <f>_xlfn.XLOOKUP(재고분석!$C91,재고!C:C,재고!H:H)</f>
        <v/>
      </c>
      <c r="R91" s="561">
        <f>Q91*H91</f>
        <v/>
      </c>
    </row>
    <row r="92">
      <c r="B92" s="397">
        <f>_xlfn.XLOOKUP(C92,'ABC-XYZ분석 (2)'!C:C,'ABC-XYZ분석 (2)'!B:B)</f>
        <v/>
      </c>
      <c r="C92" s="431" t="inlineStr">
        <is>
          <t>ABC91</t>
        </is>
      </c>
      <c r="D92" s="380" t="n"/>
      <c r="E92" s="380" t="n"/>
      <c r="F92" s="381">
        <f>_xlfn.XLOOKUP(표3[[#This Row],[SKU코드]],'ABC-XYZ분석 (2)'!C:C,'ABC-XYZ분석 (2)'!AC:AC)</f>
        <v/>
      </c>
      <c r="G92" s="382">
        <f>_xlfn.XLOOKUP(C92,'ABC-XYZ분석 (2)'!C:C,'ABC-XYZ분석 (2)'!AG:AG)</f>
        <v/>
      </c>
      <c r="H92" s="383">
        <f>SUMIF(재고!C:C,재고분석!C92,재고!I:I)</f>
        <v/>
      </c>
      <c r="I92" s="382">
        <f>SUMIF(안전재고!A:A,재고분석!$C92,안전재고!I:I)</f>
        <v/>
      </c>
      <c r="J92" s="555">
        <f>SUMIF('ABC-XYZ분석 (2)'!C:C,재고분석!$C92,'ABC-XYZ분석 (2)'!X:X)</f>
        <v/>
      </c>
      <c r="K92" s="556">
        <f>IFERROR(재고분석!$J92/재고분석!$H92,"")</f>
        <v/>
      </c>
      <c r="L92" s="556">
        <f>IFERROR(재고분석!$K92*12,"")</f>
        <v/>
      </c>
      <c r="M92" s="555">
        <f>IFERROR(H92/(J92/30),"")</f>
        <v/>
      </c>
      <c r="N92" s="382">
        <f>IF(H92=0,"재고없음",IF(H92&lt;I92,"부족",IF(H92&lt;VLOOKUP(C92,공급물량!$B:$M,12,0)*0.8,"재주문",IF(H92&lt;=VLOOKUP(C92,공급물량!$B:$M,12,0)*1.2,"적정","과잉"))))</f>
        <v/>
      </c>
      <c r="O92" s="382">
        <f>IF(H92=0,"-",IF(K92&gt;=0.5,"우수",IF(K92&gt;=0.33,"적정",IF(K92&gt;=0.17,"주의","불량"))))</f>
        <v/>
      </c>
      <c r="P92" s="386">
        <f>IF(N92="재고없음","긴급발주",IF(N92="부족","긴급발주",IF(AND(N92="재주문",OR(O92="우수",O92="적정")),"현상유지",IF(N92="재주문","발주검토",IF(AND(N92="적정",O92="불량"),"판촉검토",IF(N92="적정","현상유지",IF(AND(N92="과잉",OR(O92="우수",O92="적정")),"발주축소","판촉/할인검토")))))))</f>
        <v/>
      </c>
      <c r="Q92" s="557">
        <f>_xlfn.XLOOKUP(재고분석!$C92,재고!C:C,재고!H:H)</f>
        <v/>
      </c>
      <c r="R92" s="558">
        <f>Q92*H92</f>
        <v/>
      </c>
    </row>
    <row r="93">
      <c r="B93" s="398">
        <f>_xlfn.XLOOKUP(C93,'ABC-XYZ분석 (2)'!C:C,'ABC-XYZ분석 (2)'!B:B)</f>
        <v/>
      </c>
      <c r="C93" s="431" t="inlineStr">
        <is>
          <t>ABC92</t>
        </is>
      </c>
      <c r="D93" s="387" t="n"/>
      <c r="E93" s="387" t="n"/>
      <c r="F93" s="381">
        <f>_xlfn.XLOOKUP(표3[[#This Row],[SKU코드]],'ABC-XYZ분석 (2)'!C:C,'ABC-XYZ분석 (2)'!AC:AC)</f>
        <v/>
      </c>
      <c r="G93" s="388">
        <f>_xlfn.XLOOKUP(C93,'ABC-XYZ분석 (2)'!C:C,'ABC-XYZ분석 (2)'!AG:AG)</f>
        <v/>
      </c>
      <c r="H93" s="389">
        <f>SUMIF(재고!C:C,재고분석!C93,재고!I:I)</f>
        <v/>
      </c>
      <c r="I93" s="388">
        <f>SUMIF(안전재고!A:A,재고분석!$C93,안전재고!I:I)</f>
        <v/>
      </c>
      <c r="J93" s="559">
        <f>SUMIF('ABC-XYZ분석 (2)'!C:C,재고분석!$C93,'ABC-XYZ분석 (2)'!X:X)</f>
        <v/>
      </c>
      <c r="K93" s="556">
        <f>IFERROR(재고분석!$J93/재고분석!$H93,"")</f>
        <v/>
      </c>
      <c r="L93" s="556">
        <f>IFERROR(재고분석!$K93*12,"")</f>
        <v/>
      </c>
      <c r="M93" s="559">
        <f>IFERROR(H93/(J93/30),"")</f>
        <v/>
      </c>
      <c r="N93" s="388">
        <f>IF(H93=0,"재고없음",IF(H93&lt;I93,"부족",IF(H93&lt;VLOOKUP(C93,공급물량!$B:$M,12,0)*0.8,"재주문",IF(H93&lt;=VLOOKUP(C93,공급물량!$B:$M,12,0)*1.2,"적정","과잉"))))</f>
        <v/>
      </c>
      <c r="O93" s="388">
        <f>IF(H93=0,"-",IF(K93&gt;=0.5,"우수",IF(K93&gt;=0.33,"적정",IF(K93&gt;=0.17,"주의","불량"))))</f>
        <v/>
      </c>
      <c r="P93" s="392">
        <f>IF(N93="재고없음","긴급발주",IF(N93="부족","긴급발주",IF(AND(N93="재주문",OR(O93="우수",O93="적정")),"현상유지",IF(N93="재주문","발주검토",IF(AND(N93="적정",O93="불량"),"판촉검토",IF(N93="적정","현상유지",IF(AND(N93="과잉",OR(O93="우수",O93="적정")),"발주축소","판촉/할인검토")))))))</f>
        <v/>
      </c>
      <c r="Q93" s="560">
        <f>_xlfn.XLOOKUP(재고분석!$C93,재고!C:C,재고!H:H)</f>
        <v/>
      </c>
      <c r="R93" s="561">
        <f>Q93*H93</f>
        <v/>
      </c>
    </row>
    <row r="94">
      <c r="B94" s="397">
        <f>_xlfn.XLOOKUP(C94,'ABC-XYZ분석 (2)'!C:C,'ABC-XYZ분석 (2)'!B:B)</f>
        <v/>
      </c>
      <c r="C94" s="431" t="inlineStr">
        <is>
          <t>ABC93</t>
        </is>
      </c>
      <c r="D94" s="380" t="n"/>
      <c r="E94" s="380" t="n"/>
      <c r="F94" s="381">
        <f>_xlfn.XLOOKUP(표3[[#This Row],[SKU코드]],'ABC-XYZ분석 (2)'!C:C,'ABC-XYZ분석 (2)'!AC:AC)</f>
        <v/>
      </c>
      <c r="G94" s="382">
        <f>_xlfn.XLOOKUP(C94,'ABC-XYZ분석 (2)'!C:C,'ABC-XYZ분석 (2)'!AG:AG)</f>
        <v/>
      </c>
      <c r="H94" s="383">
        <f>SUMIF(재고!C:C,재고분석!C94,재고!I:I)</f>
        <v/>
      </c>
      <c r="I94" s="382">
        <f>SUMIF(안전재고!A:A,재고분석!$C94,안전재고!I:I)</f>
        <v/>
      </c>
      <c r="J94" s="555">
        <f>SUMIF('ABC-XYZ분석 (2)'!C:C,재고분석!$C94,'ABC-XYZ분석 (2)'!X:X)</f>
        <v/>
      </c>
      <c r="K94" s="556">
        <f>IFERROR(재고분석!$J94/재고분석!$H94,"")</f>
        <v/>
      </c>
      <c r="L94" s="556">
        <f>IFERROR(재고분석!$K94*12,"")</f>
        <v/>
      </c>
      <c r="M94" s="555">
        <f>IFERROR(H94/(J94/30),"")</f>
        <v/>
      </c>
      <c r="N94" s="382">
        <f>IF(H94=0,"재고없음",IF(H94&lt;I94,"부족",IF(H94&lt;VLOOKUP(C94,공급물량!$B:$M,12,0)*0.8,"재주문",IF(H94&lt;=VLOOKUP(C94,공급물량!$B:$M,12,0)*1.2,"적정","과잉"))))</f>
        <v/>
      </c>
      <c r="O94" s="382">
        <f>IF(H94=0,"-",IF(K94&gt;=0.5,"우수",IF(K94&gt;=0.33,"적정",IF(K94&gt;=0.17,"주의","불량"))))</f>
        <v/>
      </c>
      <c r="P94" s="386">
        <f>IF(N94="재고없음","긴급발주",IF(N94="부족","긴급발주",IF(AND(N94="재주문",OR(O94="우수",O94="적정")),"현상유지",IF(N94="재주문","발주검토",IF(AND(N94="적정",O94="불량"),"판촉검토",IF(N94="적정","현상유지",IF(AND(N94="과잉",OR(O94="우수",O94="적정")),"발주축소","판촉/할인검토")))))))</f>
        <v/>
      </c>
      <c r="Q94" s="557">
        <f>_xlfn.XLOOKUP(재고분석!$C94,재고!C:C,재고!H:H)</f>
        <v/>
      </c>
      <c r="R94" s="558">
        <f>Q94*H94</f>
        <v/>
      </c>
    </row>
    <row r="95">
      <c r="B95" s="398">
        <f>_xlfn.XLOOKUP(C95,'ABC-XYZ분석 (2)'!C:C,'ABC-XYZ분석 (2)'!B:B)</f>
        <v/>
      </c>
      <c r="C95" s="431" t="inlineStr">
        <is>
          <t>ABC94</t>
        </is>
      </c>
      <c r="D95" s="387" t="n"/>
      <c r="E95" s="387" t="n"/>
      <c r="F95" s="381">
        <f>_xlfn.XLOOKUP(표3[[#This Row],[SKU코드]],'ABC-XYZ분석 (2)'!C:C,'ABC-XYZ분석 (2)'!AC:AC)</f>
        <v/>
      </c>
      <c r="G95" s="388">
        <f>_xlfn.XLOOKUP(C95,'ABC-XYZ분석 (2)'!C:C,'ABC-XYZ분석 (2)'!AG:AG)</f>
        <v/>
      </c>
      <c r="H95" s="389">
        <f>SUMIF(재고!C:C,재고분석!C95,재고!I:I)</f>
        <v/>
      </c>
      <c r="I95" s="388">
        <f>SUMIF(안전재고!A:A,재고분석!$C95,안전재고!I:I)</f>
        <v/>
      </c>
      <c r="J95" s="559">
        <f>SUMIF('ABC-XYZ분석 (2)'!C:C,재고분석!$C95,'ABC-XYZ분석 (2)'!X:X)</f>
        <v/>
      </c>
      <c r="K95" s="556">
        <f>IFERROR(재고분석!$J95/재고분석!$H95,"")</f>
        <v/>
      </c>
      <c r="L95" s="556">
        <f>IFERROR(재고분석!$K95*12,"")</f>
        <v/>
      </c>
      <c r="M95" s="559">
        <f>IFERROR(H95/(J95/30),"")</f>
        <v/>
      </c>
      <c r="N95" s="388">
        <f>IF(H95=0,"재고없음",IF(H95&lt;I95,"부족",IF(H95&lt;VLOOKUP(C95,공급물량!$B:$M,12,0)*0.8,"재주문",IF(H95&lt;=VLOOKUP(C95,공급물량!$B:$M,12,0)*1.2,"적정","과잉"))))</f>
        <v/>
      </c>
      <c r="O95" s="388">
        <f>IF(H95=0,"-",IF(K95&gt;=0.5,"우수",IF(K95&gt;=0.33,"적정",IF(K95&gt;=0.17,"주의","불량"))))</f>
        <v/>
      </c>
      <c r="P95" s="392">
        <f>IF(N95="재고없음","긴급발주",IF(N95="부족","긴급발주",IF(AND(N95="재주문",OR(O95="우수",O95="적정")),"현상유지",IF(N95="재주문","발주검토",IF(AND(N95="적정",O95="불량"),"판촉검토",IF(N95="적정","현상유지",IF(AND(N95="과잉",OR(O95="우수",O95="적정")),"발주축소","판촉/할인검토")))))))</f>
        <v/>
      </c>
      <c r="Q95" s="560">
        <f>_xlfn.XLOOKUP(재고분석!$C95,재고!C:C,재고!H:H)</f>
        <v/>
      </c>
      <c r="R95" s="561">
        <f>Q95*H95</f>
        <v/>
      </c>
    </row>
    <row r="96">
      <c r="B96" s="397">
        <f>_xlfn.XLOOKUP(C96,'ABC-XYZ분석 (2)'!C:C,'ABC-XYZ분석 (2)'!B:B)</f>
        <v/>
      </c>
      <c r="C96" s="431" t="inlineStr">
        <is>
          <t>ABC95</t>
        </is>
      </c>
      <c r="D96" s="380" t="n"/>
      <c r="E96" s="380" t="n"/>
      <c r="F96" s="381">
        <f>_xlfn.XLOOKUP(표3[[#This Row],[SKU코드]],'ABC-XYZ분석 (2)'!C:C,'ABC-XYZ분석 (2)'!AC:AC)</f>
        <v/>
      </c>
      <c r="G96" s="382">
        <f>_xlfn.XLOOKUP(C96,'ABC-XYZ분석 (2)'!C:C,'ABC-XYZ분석 (2)'!AG:AG)</f>
        <v/>
      </c>
      <c r="H96" s="383">
        <f>SUMIF(재고!C:C,재고분석!C96,재고!I:I)</f>
        <v/>
      </c>
      <c r="I96" s="382">
        <f>SUMIF(안전재고!A:A,재고분석!$C96,안전재고!I:I)</f>
        <v/>
      </c>
      <c r="J96" s="555">
        <f>SUMIF('ABC-XYZ분석 (2)'!C:C,재고분석!$C96,'ABC-XYZ분석 (2)'!X:X)</f>
        <v/>
      </c>
      <c r="K96" s="556">
        <f>IFERROR(재고분석!$J96/재고분석!$H96,"")</f>
        <v/>
      </c>
      <c r="L96" s="556">
        <f>IFERROR(재고분석!$K96*12,"")</f>
        <v/>
      </c>
      <c r="M96" s="555">
        <f>IFERROR(H96/(J96/30),"")</f>
        <v/>
      </c>
      <c r="N96" s="382">
        <f>IF(H96=0,"재고없음",IF(H96&lt;I96,"부족",IF(H96&lt;VLOOKUP(C96,공급물량!$B:$M,12,0)*0.8,"재주문",IF(H96&lt;=VLOOKUP(C96,공급물량!$B:$M,12,0)*1.2,"적정","과잉"))))</f>
        <v/>
      </c>
      <c r="O96" s="382">
        <f>IF(H96=0,"-",IF(K96&gt;=0.5,"우수",IF(K96&gt;=0.33,"적정",IF(K96&gt;=0.17,"주의","불량"))))</f>
        <v/>
      </c>
      <c r="P96" s="386">
        <f>IF(N96="재고없음","긴급발주",IF(N96="부족","긴급발주",IF(AND(N96="재주문",OR(O96="우수",O96="적정")),"현상유지",IF(N96="재주문","발주검토",IF(AND(N96="적정",O96="불량"),"판촉검토",IF(N96="적정","현상유지",IF(AND(N96="과잉",OR(O96="우수",O96="적정")),"발주축소","판촉/할인검토")))))))</f>
        <v/>
      </c>
      <c r="Q96" s="557">
        <f>_xlfn.XLOOKUP(재고분석!$C96,재고!C:C,재고!H:H)</f>
        <v/>
      </c>
      <c r="R96" s="558">
        <f>Q96*H96</f>
        <v/>
      </c>
    </row>
    <row r="97">
      <c r="B97" s="398">
        <f>_xlfn.XLOOKUP(C97,'ABC-XYZ분석 (2)'!C:C,'ABC-XYZ분석 (2)'!B:B)</f>
        <v/>
      </c>
      <c r="C97" s="431" t="inlineStr">
        <is>
          <t>ABC96</t>
        </is>
      </c>
      <c r="D97" s="387" t="n"/>
      <c r="E97" s="387" t="n"/>
      <c r="F97" s="381">
        <f>_xlfn.XLOOKUP(표3[[#This Row],[SKU코드]],'ABC-XYZ분석 (2)'!C:C,'ABC-XYZ분석 (2)'!AC:AC)</f>
        <v/>
      </c>
      <c r="G97" s="388">
        <f>_xlfn.XLOOKUP(C97,'ABC-XYZ분석 (2)'!C:C,'ABC-XYZ분석 (2)'!AG:AG)</f>
        <v/>
      </c>
      <c r="H97" s="389">
        <f>SUMIF(재고!C:C,재고분석!C97,재고!I:I)</f>
        <v/>
      </c>
      <c r="I97" s="388">
        <f>SUMIF(안전재고!A:A,재고분석!$C97,안전재고!I:I)</f>
        <v/>
      </c>
      <c r="J97" s="559">
        <f>SUMIF('ABC-XYZ분석 (2)'!C:C,재고분석!$C97,'ABC-XYZ분석 (2)'!X:X)</f>
        <v/>
      </c>
      <c r="K97" s="556">
        <f>IFERROR(재고분석!$J97/재고분석!$H97,"")</f>
        <v/>
      </c>
      <c r="L97" s="556">
        <f>IFERROR(재고분석!$K97*12,"")</f>
        <v/>
      </c>
      <c r="M97" s="559">
        <f>IFERROR(H97/(J97/30),"")</f>
        <v/>
      </c>
      <c r="N97" s="388">
        <f>IF(H97=0,"재고없음",IF(H97&lt;I97,"부족",IF(H97&lt;VLOOKUP(C97,공급물량!$B:$M,12,0)*0.8,"재주문",IF(H97&lt;=VLOOKUP(C97,공급물량!$B:$M,12,0)*1.2,"적정","과잉"))))</f>
        <v/>
      </c>
      <c r="O97" s="388">
        <f>IF(H97=0,"-",IF(K97&gt;=0.5,"우수",IF(K97&gt;=0.33,"적정",IF(K97&gt;=0.17,"주의","불량"))))</f>
        <v/>
      </c>
      <c r="P97" s="392">
        <f>IF(N97="재고없음","긴급발주",IF(N97="부족","긴급발주",IF(AND(N97="재주문",OR(O97="우수",O97="적정")),"현상유지",IF(N97="재주문","발주검토",IF(AND(N97="적정",O97="불량"),"판촉검토",IF(N97="적정","현상유지",IF(AND(N97="과잉",OR(O97="우수",O97="적정")),"발주축소","판촉/할인검토")))))))</f>
        <v/>
      </c>
      <c r="Q97" s="560">
        <f>_xlfn.XLOOKUP(재고분석!$C97,재고!C:C,재고!H:H)</f>
        <v/>
      </c>
      <c r="R97" s="561">
        <f>Q97*H97</f>
        <v/>
      </c>
    </row>
    <row r="98">
      <c r="B98" s="397">
        <f>_xlfn.XLOOKUP(C98,'ABC-XYZ분석 (2)'!C:C,'ABC-XYZ분석 (2)'!B:B)</f>
        <v/>
      </c>
      <c r="C98" s="431" t="inlineStr">
        <is>
          <t>ABC97</t>
        </is>
      </c>
      <c r="D98" s="380" t="n"/>
      <c r="E98" s="380" t="n"/>
      <c r="F98" s="381">
        <f>_xlfn.XLOOKUP(표3[[#This Row],[SKU코드]],'ABC-XYZ분석 (2)'!C:C,'ABC-XYZ분석 (2)'!AC:AC)</f>
        <v/>
      </c>
      <c r="G98" s="382">
        <f>_xlfn.XLOOKUP(C98,'ABC-XYZ분석 (2)'!C:C,'ABC-XYZ분석 (2)'!AG:AG)</f>
        <v/>
      </c>
      <c r="H98" s="383">
        <f>SUMIF(재고!C:C,재고분석!C98,재고!I:I)</f>
        <v/>
      </c>
      <c r="I98" s="382">
        <f>SUMIF(안전재고!A:A,재고분석!$C98,안전재고!I:I)</f>
        <v/>
      </c>
      <c r="J98" s="555">
        <f>SUMIF('ABC-XYZ분석 (2)'!C:C,재고분석!$C98,'ABC-XYZ분석 (2)'!X:X)</f>
        <v/>
      </c>
      <c r="K98" s="556">
        <f>IFERROR(재고분석!$J98/재고분석!$H98,"")</f>
        <v/>
      </c>
      <c r="L98" s="556">
        <f>IFERROR(재고분석!$K98*12,"")</f>
        <v/>
      </c>
      <c r="M98" s="555">
        <f>IFERROR(H98/(J98/30),"")</f>
        <v/>
      </c>
      <c r="N98" s="382">
        <f>IF(H98=0,"재고없음",IF(H98&lt;I98,"부족",IF(H98&lt;VLOOKUP(C98,공급물량!$B:$M,12,0)*0.8,"재주문",IF(H98&lt;=VLOOKUP(C98,공급물량!$B:$M,12,0)*1.2,"적정","과잉"))))</f>
        <v/>
      </c>
      <c r="O98" s="382">
        <f>IF(H98=0,"-",IF(K98&gt;=0.5,"우수",IF(K98&gt;=0.33,"적정",IF(K98&gt;=0.17,"주의","불량"))))</f>
        <v/>
      </c>
      <c r="P98" s="386">
        <f>IF(N98="재고없음","긴급발주",IF(N98="부족","긴급발주",IF(AND(N98="재주문",OR(O98="우수",O98="적정")),"현상유지",IF(N98="재주문","발주검토",IF(AND(N98="적정",O98="불량"),"판촉검토",IF(N98="적정","현상유지",IF(AND(N98="과잉",OR(O98="우수",O98="적정")),"발주축소","판촉/할인검토")))))))</f>
        <v/>
      </c>
      <c r="Q98" s="557">
        <f>_xlfn.XLOOKUP(재고분석!$C98,재고!C:C,재고!H:H)</f>
        <v/>
      </c>
      <c r="R98" s="558">
        <f>Q98*H98</f>
        <v/>
      </c>
    </row>
    <row r="99">
      <c r="B99" s="398">
        <f>_xlfn.XLOOKUP(C99,'ABC-XYZ분석 (2)'!C:C,'ABC-XYZ분석 (2)'!B:B)</f>
        <v/>
      </c>
      <c r="C99" s="431" t="inlineStr">
        <is>
          <t>ABC98</t>
        </is>
      </c>
      <c r="D99" s="387" t="n"/>
      <c r="E99" s="387" t="n"/>
      <c r="F99" s="381">
        <f>_xlfn.XLOOKUP(표3[[#This Row],[SKU코드]],'ABC-XYZ분석 (2)'!C:C,'ABC-XYZ분석 (2)'!AC:AC)</f>
        <v/>
      </c>
      <c r="G99" s="388">
        <f>_xlfn.XLOOKUP(C99,'ABC-XYZ분석 (2)'!C:C,'ABC-XYZ분석 (2)'!AG:AG)</f>
        <v/>
      </c>
      <c r="H99" s="389">
        <f>SUMIF(재고!C:C,재고분석!C99,재고!I:I)</f>
        <v/>
      </c>
      <c r="I99" s="388">
        <f>SUMIF(안전재고!A:A,재고분석!$C99,안전재고!I:I)</f>
        <v/>
      </c>
      <c r="J99" s="559">
        <f>SUMIF('ABC-XYZ분석 (2)'!C:C,재고분석!$C99,'ABC-XYZ분석 (2)'!X:X)</f>
        <v/>
      </c>
      <c r="K99" s="556">
        <f>IFERROR(재고분석!$J99/재고분석!$H99,"")</f>
        <v/>
      </c>
      <c r="L99" s="556">
        <f>IFERROR(재고분석!$K99*12,"")</f>
        <v/>
      </c>
      <c r="M99" s="559">
        <f>IFERROR(H99/(J99/30),"")</f>
        <v/>
      </c>
      <c r="N99" s="388">
        <f>IF(H99=0,"재고없음",IF(H99&lt;I99,"부족",IF(H99&lt;VLOOKUP(C99,공급물량!$B:$M,12,0)*0.8,"재주문",IF(H99&lt;=VLOOKUP(C99,공급물량!$B:$M,12,0)*1.2,"적정","과잉"))))</f>
        <v/>
      </c>
      <c r="O99" s="388">
        <f>IF(H99=0,"-",IF(K99&gt;=0.5,"우수",IF(K99&gt;=0.33,"적정",IF(K99&gt;=0.17,"주의","불량"))))</f>
        <v/>
      </c>
      <c r="P99" s="392">
        <f>IF(N99="재고없음","긴급발주",IF(N99="부족","긴급발주",IF(AND(N99="재주문",OR(O99="우수",O99="적정")),"현상유지",IF(N99="재주문","발주검토",IF(AND(N99="적정",O99="불량"),"판촉검토",IF(N99="적정","현상유지",IF(AND(N99="과잉",OR(O99="우수",O99="적정")),"발주축소","판촉/할인검토")))))))</f>
        <v/>
      </c>
      <c r="Q99" s="560">
        <f>_xlfn.XLOOKUP(재고분석!$C99,재고!C:C,재고!H:H)</f>
        <v/>
      </c>
      <c r="R99" s="561">
        <f>Q99*H99</f>
        <v/>
      </c>
    </row>
    <row r="100">
      <c r="B100" s="397">
        <f>_xlfn.XLOOKUP(C100,'ABC-XYZ분석 (2)'!C:C,'ABC-XYZ분석 (2)'!B:B)</f>
        <v/>
      </c>
      <c r="C100" s="431" t="inlineStr">
        <is>
          <t>ABC99</t>
        </is>
      </c>
      <c r="D100" s="380" t="n"/>
      <c r="E100" s="380" t="n"/>
      <c r="F100" s="381">
        <f>_xlfn.XLOOKUP(표3[[#This Row],[SKU코드]],'ABC-XYZ분석 (2)'!C:C,'ABC-XYZ분석 (2)'!AC:AC)</f>
        <v/>
      </c>
      <c r="G100" s="382">
        <f>_xlfn.XLOOKUP(C100,'ABC-XYZ분석 (2)'!C:C,'ABC-XYZ분석 (2)'!AG:AG)</f>
        <v/>
      </c>
      <c r="H100" s="383">
        <f>SUMIF(재고!C:C,재고분석!C100,재고!I:I)</f>
        <v/>
      </c>
      <c r="I100" s="382">
        <f>SUMIF(안전재고!A:A,재고분석!$C100,안전재고!I:I)</f>
        <v/>
      </c>
      <c r="J100" s="555">
        <f>SUMIF('ABC-XYZ분석 (2)'!C:C,재고분석!$C100,'ABC-XYZ분석 (2)'!X:X)</f>
        <v/>
      </c>
      <c r="K100" s="556">
        <f>IFERROR(재고분석!$J100/재고분석!$H100,"")</f>
        <v/>
      </c>
      <c r="L100" s="556">
        <f>IFERROR(재고분석!$K100*12,"")</f>
        <v/>
      </c>
      <c r="M100" s="555">
        <f>IFERROR(H100/(J100/30),"")</f>
        <v/>
      </c>
      <c r="N100" s="382">
        <f>IF(H100=0,"재고없음",IF(H100&lt;I100,"부족",IF(H100&lt;VLOOKUP(C100,공급물량!$B:$M,12,0)*0.8,"재주문",IF(H100&lt;=VLOOKUP(C100,공급물량!$B:$M,12,0)*1.2,"적정","과잉"))))</f>
        <v/>
      </c>
      <c r="O100" s="382">
        <f>IF(H100=0,"-",IF(K100&gt;=0.5,"우수",IF(K100&gt;=0.33,"적정",IF(K100&gt;=0.17,"주의","불량"))))</f>
        <v/>
      </c>
      <c r="P100" s="386">
        <f>IF(N100="재고없음","긴급발주",IF(N100="부족","긴급발주",IF(AND(N100="재주문",OR(O100="우수",O100="적정")),"현상유지",IF(N100="재주문","발주검토",IF(AND(N100="적정",O100="불량"),"판촉검토",IF(N100="적정","현상유지",IF(AND(N100="과잉",OR(O100="우수",O100="적정")),"발주축소","판촉/할인검토")))))))</f>
        <v/>
      </c>
      <c r="Q100" s="564">
        <f>_xlfn.XLOOKUP(재고분석!$C100,재고!C:C,재고!H:H)</f>
        <v/>
      </c>
      <c r="R100" s="565">
        <f>Q100*H100</f>
        <v/>
      </c>
    </row>
  </sheetData>
  <conditionalFormatting sqref="H2:H100 K1:M1048576">
    <cfRule type="cellIs" priority="3" operator="lessThan" dxfId="43">
      <formula>0</formula>
    </cfRule>
  </conditionalFormatting>
  <conditionalFormatting sqref="N2:N100">
    <cfRule type="cellIs" priority="10" operator="equal" dxfId="42">
      <formula>"과잉"</formula>
    </cfRule>
    <cfRule type="cellIs" priority="11" operator="equal" dxfId="41">
      <formula>"부족"</formula>
    </cfRule>
  </conditionalFormatting>
  <pageMargins left="0.75" right="0.75" top="1" bottom="1" header="0.5" footer="0.5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B1:V100"/>
  <sheetViews>
    <sheetView showGridLines="0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2" sqref="M2"/>
    </sheetView>
  </sheetViews>
  <sheetFormatPr baseColWidth="8" defaultRowHeight="16.5"/>
  <cols>
    <col width="0.875" customWidth="1" style="480" min="1" max="1"/>
    <col width="10.875" customWidth="1" style="158" min="2" max="2"/>
    <col width="11.375" bestFit="1" customWidth="1" style="480" min="3" max="3"/>
    <col width="9.875" customWidth="1" style="480" min="4" max="4"/>
    <col width="6.25" customWidth="1" style="480" min="5" max="5"/>
    <col width="5.625" bestFit="1" customWidth="1" style="480" min="6" max="7"/>
    <col width="12.875" bestFit="1" customWidth="1" style="566" min="8" max="8"/>
    <col width="7.375" customWidth="1" style="480" min="9" max="9"/>
    <col width="7.125" customWidth="1" style="480" min="10" max="10"/>
    <col width="9.875" customWidth="1" style="480" min="11" max="11"/>
    <col width="8.875" customWidth="1" style="480" min="14" max="14"/>
    <col width="7.625" customWidth="1" style="480" min="15" max="15"/>
    <col width="9.375" customWidth="1" style="480" min="16" max="16"/>
    <col width="5.375" bestFit="1" customWidth="1" style="480" min="19" max="19"/>
    <col width="4.875" bestFit="1" customWidth="1" style="480" min="20" max="20"/>
  </cols>
  <sheetData>
    <row r="1" ht="33" customHeight="1" s="480">
      <c r="B1" s="326" t="inlineStr">
        <is>
          <t>SKU코드</t>
        </is>
      </c>
      <c r="C1" s="326" t="inlineStr">
        <is>
          <t>제품명</t>
        </is>
      </c>
      <c r="D1" s="326" t="inlineStr">
        <is>
          <t>카테고리</t>
        </is>
      </c>
      <c r="E1" s="326" t="inlineStr">
        <is>
          <t>계절</t>
        </is>
      </c>
      <c r="F1" s="326" t="inlineStr">
        <is>
          <t>ABC
등급</t>
        </is>
      </c>
      <c r="G1" s="326" t="inlineStr">
        <is>
          <t>XYZ
등급</t>
        </is>
      </c>
      <c r="H1" s="324" t="inlineStr">
        <is>
          <t>평균
일출고량</t>
        </is>
      </c>
      <c r="I1" s="324" t="inlineStr">
        <is>
          <t>리드
타임</t>
        </is>
      </c>
      <c r="J1" s="324" t="inlineStr">
        <is>
          <t>발주
주기</t>
        </is>
      </c>
      <c r="K1" s="324" t="inlineStr">
        <is>
          <t>안전재고</t>
        </is>
      </c>
      <c r="L1" s="324" t="inlineStr">
        <is>
          <t>현재고</t>
        </is>
      </c>
      <c r="M1" s="324" t="inlineStr">
        <is>
          <t>적정재고</t>
        </is>
      </c>
      <c r="N1" s="324" t="inlineStr">
        <is>
          <t>발주량</t>
        </is>
      </c>
      <c r="O1" s="324" t="inlineStr">
        <is>
          <t>MOQ</t>
        </is>
      </c>
      <c r="P1" s="352" t="inlineStr">
        <is>
          <t>MOQ감안 발주량</t>
        </is>
      </c>
      <c r="S1" s="312" t="inlineStr">
        <is>
          <t>ABC/
XYZ</t>
        </is>
      </c>
      <c r="T1" s="312" t="inlineStr">
        <is>
          <t>보정
계수</t>
        </is>
      </c>
      <c r="U1" s="361" t="inlineStr">
        <is>
          <t>(일평균출고 × LT × 사이클보정계수) + 안전재고</t>
        </is>
      </c>
      <c r="V1" s="361" t="n"/>
    </row>
    <row r="2">
      <c r="B2" s="158" t="inlineStr">
        <is>
          <t>ABC1</t>
        </is>
      </c>
      <c r="C2" s="327" t="n"/>
      <c r="D2" s="327" t="n"/>
      <c r="E2" s="328">
        <f>_xlfn.XLOOKUP(표11[[#This Row],[SKU코드]],'ABC-XYZ분석 (2)'!C:C,'ABC-XYZ분석 (2)'!I:I)</f>
        <v/>
      </c>
      <c r="F2" s="328">
        <f>_xlfn.XLOOKUP(표11[[#This Row],[SKU코드]],'ABC-XYZ분석 (2)'!C:C,'ABC-XYZ분석 (2)'!AC:AC)</f>
        <v/>
      </c>
      <c r="G2" s="312">
        <f>_xlfn.XLOOKUP(표11[[#This Row],[SKU코드]],'ABC-XYZ분석 (2)'!C:C,'ABC-XYZ분석 (2)'!AG:AG)</f>
        <v/>
      </c>
      <c r="H2" s="567">
        <f>SUMIF('ABC-XYZ분석 (2)'!C:C,표11[[#This Row],[SKU코드]],'ABC-XYZ분석 (2)'!X:X)/30</f>
        <v/>
      </c>
      <c r="I2" s="314" t="n">
        <v>30</v>
      </c>
      <c r="J2" s="314" t="n">
        <v>30</v>
      </c>
      <c r="K2" s="314">
        <f>SUMIF(안전재고!A:A,표11[[#This Row],[SKU코드]],안전재고!I:I)</f>
        <v/>
      </c>
      <c r="L2" s="314">
        <f>SUMIF(재고!C:C,공급물량!B2,재고!I:I)</f>
        <v/>
      </c>
      <c r="M2" s="568">
        <f>H2*I2*VLOOKUP(F2&amp;G2,{"AX",1;"AY",0.95;"AZ",0.85;"BX",0.95;"BY",0.85;"BZ",0.75;"CX",0.85;"CY",0.75;"CZ",0.65},2,0)+K2</f>
        <v/>
      </c>
      <c r="N2" s="569">
        <f>MAX(0,(표11[[#This Row],[적정재고]]-표11[[#This Row],[현재고]]))</f>
        <v/>
      </c>
      <c r="O2" s="314" t="n">
        <v>500</v>
      </c>
      <c r="P2" s="568">
        <f>CEILING(표11[[#This Row],[발주량]],표11[[#This Row],[MOQ]])</f>
        <v/>
      </c>
      <c r="S2" s="344" t="inlineStr">
        <is>
          <t>AX</t>
        </is>
      </c>
      <c r="T2" s="362" t="n">
        <v>1</v>
      </c>
    </row>
    <row r="3">
      <c r="B3" s="158" t="inlineStr">
        <is>
          <t>ABC2</t>
        </is>
      </c>
      <c r="C3" s="327" t="n"/>
      <c r="D3" s="327" t="n"/>
      <c r="E3" s="328">
        <f>_xlfn.XLOOKUP(표11[[#This Row],[SKU코드]],'ABC-XYZ분석 (2)'!C:C,'ABC-XYZ분석 (2)'!I:I)</f>
        <v/>
      </c>
      <c r="F3" s="328">
        <f>_xlfn.XLOOKUP(표11[[#This Row],[SKU코드]],'ABC-XYZ분석 (2)'!C:C,'ABC-XYZ분석 (2)'!AC:AC)</f>
        <v/>
      </c>
      <c r="G3" s="312">
        <f>_xlfn.XLOOKUP(표11[[#This Row],[SKU코드]],'ABC-XYZ분석 (2)'!C:C,'ABC-XYZ분석 (2)'!AG:AG)</f>
        <v/>
      </c>
      <c r="H3" s="567">
        <f>SUMIF('ABC-XYZ분석 (2)'!C:C,표11[[#This Row],[SKU코드]],'ABC-XYZ분석 (2)'!X:X)/30</f>
        <v/>
      </c>
      <c r="I3" s="314" t="n">
        <v>30</v>
      </c>
      <c r="J3" s="314" t="n">
        <v>30</v>
      </c>
      <c r="K3" s="314">
        <f>SUMIF(안전재고!A:A,표11[[#This Row],[SKU코드]],안전재고!I:I)</f>
        <v/>
      </c>
      <c r="L3" s="314">
        <f>SUMIF(재고!C:C,공급물량!B3,재고!I:I)</f>
        <v/>
      </c>
      <c r="M3" s="568">
        <f>H3*I3*VLOOKUP(F3&amp;G3,{"AX",1;"AY",0.95;"AZ",0.85;"BX",0.95;"BY",0.85;"BZ",0.75;"CX",0.85;"CY",0.75;"CZ",0.65},2,0)+K3</f>
        <v/>
      </c>
      <c r="N3" s="569">
        <f>MAX(0,(표11[[#This Row],[적정재고]]-표11[[#This Row],[현재고]]))</f>
        <v/>
      </c>
      <c r="O3" s="314" t="n">
        <v>500</v>
      </c>
      <c r="P3" s="568">
        <f>CEILING(표11[[#This Row],[발주량]],표11[[#This Row],[MOQ]])</f>
        <v/>
      </c>
      <c r="S3" s="344" t="inlineStr">
        <is>
          <t>AY</t>
        </is>
      </c>
      <c r="T3" s="362" t="n">
        <v>0.95</v>
      </c>
    </row>
    <row r="4">
      <c r="B4" s="158" t="inlineStr">
        <is>
          <t>ABC3</t>
        </is>
      </c>
      <c r="C4" s="327" t="n"/>
      <c r="D4" s="327" t="n"/>
      <c r="E4" s="328">
        <f>_xlfn.XLOOKUP(표11[[#This Row],[SKU코드]],'ABC-XYZ분석 (2)'!C:C,'ABC-XYZ분석 (2)'!I:I)</f>
        <v/>
      </c>
      <c r="F4" s="328">
        <f>_xlfn.XLOOKUP(표11[[#This Row],[SKU코드]],'ABC-XYZ분석 (2)'!C:C,'ABC-XYZ분석 (2)'!AC:AC)</f>
        <v/>
      </c>
      <c r="G4" s="312">
        <f>_xlfn.XLOOKUP(표11[[#This Row],[SKU코드]],'ABC-XYZ분석 (2)'!C:C,'ABC-XYZ분석 (2)'!AG:AG)</f>
        <v/>
      </c>
      <c r="H4" s="567">
        <f>SUMIF('ABC-XYZ분석 (2)'!C:C,표11[[#This Row],[SKU코드]],'ABC-XYZ분석 (2)'!X:X)/30</f>
        <v/>
      </c>
      <c r="I4" s="314" t="n">
        <v>30</v>
      </c>
      <c r="J4" s="314" t="n">
        <v>30</v>
      </c>
      <c r="K4" s="314">
        <f>SUMIF(안전재고!A:A,표11[[#This Row],[SKU코드]],안전재고!I:I)</f>
        <v/>
      </c>
      <c r="L4" s="314">
        <f>SUMIF(재고!C:C,공급물량!B4,재고!I:I)</f>
        <v/>
      </c>
      <c r="M4" s="568">
        <f>H4*I4*VLOOKUP(F4&amp;G4,{"AX",1;"AY",0.95;"AZ",0.85;"BX",0.95;"BY",0.85;"BZ",0.75;"CX",0.85;"CY",0.75;"CZ",0.65},2,0)+K4</f>
        <v/>
      </c>
      <c r="N4" s="569">
        <f>MAX(0,(표11[[#This Row],[적정재고]]-표11[[#This Row],[현재고]]))</f>
        <v/>
      </c>
      <c r="O4" s="314" t="n">
        <v>500</v>
      </c>
      <c r="P4" s="568">
        <f>CEILING(표11[[#This Row],[발주량]],표11[[#This Row],[MOQ]])</f>
        <v/>
      </c>
      <c r="S4" s="344" t="inlineStr">
        <is>
          <t>AZ</t>
        </is>
      </c>
      <c r="T4" s="362" t="n">
        <v>0.85</v>
      </c>
    </row>
    <row r="5">
      <c r="B5" s="158" t="inlineStr">
        <is>
          <t>ABC4</t>
        </is>
      </c>
      <c r="C5" s="327" t="n"/>
      <c r="D5" s="327" t="n"/>
      <c r="E5" s="328">
        <f>_xlfn.XLOOKUP(표11[[#This Row],[SKU코드]],'ABC-XYZ분석 (2)'!C:C,'ABC-XYZ분석 (2)'!I:I)</f>
        <v/>
      </c>
      <c r="F5" s="328">
        <f>_xlfn.XLOOKUP(표11[[#This Row],[SKU코드]],'ABC-XYZ분석 (2)'!C:C,'ABC-XYZ분석 (2)'!AC:AC)</f>
        <v/>
      </c>
      <c r="G5" s="312">
        <f>_xlfn.XLOOKUP(표11[[#This Row],[SKU코드]],'ABC-XYZ분석 (2)'!C:C,'ABC-XYZ분석 (2)'!AG:AG)</f>
        <v/>
      </c>
      <c r="H5" s="567">
        <f>SUMIF('ABC-XYZ분석 (2)'!C:C,표11[[#This Row],[SKU코드]],'ABC-XYZ분석 (2)'!X:X)/30</f>
        <v/>
      </c>
      <c r="I5" s="314" t="n">
        <v>30</v>
      </c>
      <c r="J5" s="314" t="n">
        <v>30</v>
      </c>
      <c r="K5" s="314">
        <f>SUMIF(안전재고!A:A,표11[[#This Row],[SKU코드]],안전재고!I:I)</f>
        <v/>
      </c>
      <c r="L5" s="314">
        <f>SUMIF(재고!C:C,공급물량!B5,재고!I:I)</f>
        <v/>
      </c>
      <c r="M5" s="568">
        <f>H5*I5*VLOOKUP(F5&amp;G5,{"AX",1;"AY",0.95;"AZ",0.85;"BX",0.95;"BY",0.85;"BZ",0.75;"CX",0.85;"CY",0.75;"CZ",0.65},2,0)+K5</f>
        <v/>
      </c>
      <c r="N5" s="569">
        <f>MAX(0,(표11[[#This Row],[적정재고]]-표11[[#This Row],[현재고]]))</f>
        <v/>
      </c>
      <c r="O5" s="314" t="n">
        <v>500</v>
      </c>
      <c r="P5" s="568">
        <f>CEILING(표11[[#This Row],[발주량]],표11[[#This Row],[MOQ]])</f>
        <v/>
      </c>
      <c r="S5" s="344" t="inlineStr">
        <is>
          <t>BX</t>
        </is>
      </c>
      <c r="T5" s="362" t="n">
        <v>0.95</v>
      </c>
    </row>
    <row r="6">
      <c r="B6" s="158" t="inlineStr">
        <is>
          <t>ABC5</t>
        </is>
      </c>
      <c r="C6" s="327" t="n"/>
      <c r="D6" s="327" t="n"/>
      <c r="E6" s="328">
        <f>_xlfn.XLOOKUP(표11[[#This Row],[SKU코드]],'ABC-XYZ분석 (2)'!C:C,'ABC-XYZ분석 (2)'!I:I)</f>
        <v/>
      </c>
      <c r="F6" s="328">
        <f>_xlfn.XLOOKUP(표11[[#This Row],[SKU코드]],'ABC-XYZ분석 (2)'!C:C,'ABC-XYZ분석 (2)'!AC:AC)</f>
        <v/>
      </c>
      <c r="G6" s="312">
        <f>_xlfn.XLOOKUP(표11[[#This Row],[SKU코드]],'ABC-XYZ분석 (2)'!C:C,'ABC-XYZ분석 (2)'!AG:AG)</f>
        <v/>
      </c>
      <c r="H6" s="567">
        <f>SUMIF('ABC-XYZ분석 (2)'!C:C,표11[[#This Row],[SKU코드]],'ABC-XYZ분석 (2)'!X:X)/30</f>
        <v/>
      </c>
      <c r="I6" s="314" t="n">
        <v>30</v>
      </c>
      <c r="J6" s="314" t="n">
        <v>30</v>
      </c>
      <c r="K6" s="314">
        <f>SUMIF(안전재고!A:A,표11[[#This Row],[SKU코드]],안전재고!I:I)</f>
        <v/>
      </c>
      <c r="L6" s="314">
        <f>SUMIF(재고!C:C,공급물량!B6,재고!I:I)</f>
        <v/>
      </c>
      <c r="M6" s="568">
        <f>H6*I6*VLOOKUP(F6&amp;G6,{"AX",1;"AY",0.95;"AZ",0.85;"BX",0.95;"BY",0.85;"BZ",0.75;"CX",0.85;"CY",0.75;"CZ",0.65},2,0)+K6</f>
        <v/>
      </c>
      <c r="N6" s="569">
        <f>MAX(0,(표11[[#This Row],[적정재고]]-표11[[#This Row],[현재고]]))</f>
        <v/>
      </c>
      <c r="O6" s="314" t="n">
        <v>500</v>
      </c>
      <c r="P6" s="568">
        <f>CEILING(표11[[#This Row],[발주량]],표11[[#This Row],[MOQ]])</f>
        <v/>
      </c>
      <c r="S6" s="344" t="inlineStr">
        <is>
          <t>BY</t>
        </is>
      </c>
      <c r="T6" s="362" t="n">
        <v>0.85</v>
      </c>
    </row>
    <row r="7">
      <c r="B7" s="158" t="inlineStr">
        <is>
          <t>ABC6</t>
        </is>
      </c>
      <c r="C7" s="327" t="n"/>
      <c r="D7" s="327" t="n"/>
      <c r="E7" s="328">
        <f>_xlfn.XLOOKUP(표11[[#This Row],[SKU코드]],'ABC-XYZ분석 (2)'!C:C,'ABC-XYZ분석 (2)'!I:I)</f>
        <v/>
      </c>
      <c r="F7" s="328">
        <f>_xlfn.XLOOKUP(표11[[#This Row],[SKU코드]],'ABC-XYZ분석 (2)'!C:C,'ABC-XYZ분석 (2)'!AC:AC)</f>
        <v/>
      </c>
      <c r="G7" s="312">
        <f>_xlfn.XLOOKUP(표11[[#This Row],[SKU코드]],'ABC-XYZ분석 (2)'!C:C,'ABC-XYZ분석 (2)'!AG:AG)</f>
        <v/>
      </c>
      <c r="H7" s="567">
        <f>SUMIF('ABC-XYZ분석 (2)'!C:C,표11[[#This Row],[SKU코드]],'ABC-XYZ분석 (2)'!X:X)/30</f>
        <v/>
      </c>
      <c r="I7" s="314" t="n">
        <v>30</v>
      </c>
      <c r="J7" s="314" t="n">
        <v>30</v>
      </c>
      <c r="K7" s="314">
        <f>SUMIF(안전재고!A:A,표11[[#This Row],[SKU코드]],안전재고!I:I)</f>
        <v/>
      </c>
      <c r="L7" s="314">
        <f>SUMIF(재고!C:C,공급물량!B7,재고!I:I)</f>
        <v/>
      </c>
      <c r="M7" s="568">
        <f>H7*I7*VLOOKUP(F7&amp;G7,{"AX",1;"AY",0.95;"AZ",0.85;"BX",0.95;"BY",0.85;"BZ",0.75;"CX",0.85;"CY",0.75;"CZ",0.65},2,0)+K7</f>
        <v/>
      </c>
      <c r="N7" s="569">
        <f>MAX(0,(표11[[#This Row],[적정재고]]-표11[[#This Row],[현재고]]))</f>
        <v/>
      </c>
      <c r="O7" s="314" t="n">
        <v>500</v>
      </c>
      <c r="P7" s="568">
        <f>CEILING(표11[[#This Row],[발주량]],표11[[#This Row],[MOQ]])</f>
        <v/>
      </c>
      <c r="S7" s="344" t="inlineStr">
        <is>
          <t>BZ</t>
        </is>
      </c>
      <c r="T7" s="362" t="n">
        <v>0.75</v>
      </c>
    </row>
    <row r="8">
      <c r="B8" s="158" t="inlineStr">
        <is>
          <t>ABC7</t>
        </is>
      </c>
      <c r="C8" s="327" t="n"/>
      <c r="D8" s="327" t="n"/>
      <c r="E8" s="328">
        <f>_xlfn.XLOOKUP(표11[[#This Row],[SKU코드]],'ABC-XYZ분석 (2)'!C:C,'ABC-XYZ분석 (2)'!I:I)</f>
        <v/>
      </c>
      <c r="F8" s="328">
        <f>_xlfn.XLOOKUP(표11[[#This Row],[SKU코드]],'ABC-XYZ분석 (2)'!C:C,'ABC-XYZ분석 (2)'!AC:AC)</f>
        <v/>
      </c>
      <c r="G8" s="312">
        <f>_xlfn.XLOOKUP(표11[[#This Row],[SKU코드]],'ABC-XYZ분석 (2)'!C:C,'ABC-XYZ분석 (2)'!AG:AG)</f>
        <v/>
      </c>
      <c r="H8" s="567">
        <f>SUMIF('ABC-XYZ분석 (2)'!C:C,표11[[#This Row],[SKU코드]],'ABC-XYZ분석 (2)'!X:X)/30</f>
        <v/>
      </c>
      <c r="I8" s="314" t="n">
        <v>30</v>
      </c>
      <c r="J8" s="314" t="n">
        <v>30</v>
      </c>
      <c r="K8" s="314">
        <f>SUMIF(안전재고!A:A,표11[[#This Row],[SKU코드]],안전재고!I:I)</f>
        <v/>
      </c>
      <c r="L8" s="314">
        <f>SUMIF(재고!C:C,공급물량!B8,재고!I:I)</f>
        <v/>
      </c>
      <c r="M8" s="568">
        <f>H8*I8*VLOOKUP(F8&amp;G8,{"AX",1;"AY",0.95;"AZ",0.85;"BX",0.95;"BY",0.85;"BZ",0.75;"CX",0.85;"CY",0.75;"CZ",0.65},2,0)+K8</f>
        <v/>
      </c>
      <c r="N8" s="569">
        <f>MAX(0,(표11[[#This Row],[적정재고]]-표11[[#This Row],[현재고]]))</f>
        <v/>
      </c>
      <c r="O8" s="314" t="n">
        <v>500</v>
      </c>
      <c r="P8" s="568">
        <f>CEILING(표11[[#This Row],[발주량]],표11[[#This Row],[MOQ]])</f>
        <v/>
      </c>
      <c r="S8" s="344" t="inlineStr">
        <is>
          <t>CX</t>
        </is>
      </c>
      <c r="T8" s="362" t="n">
        <v>0.85</v>
      </c>
    </row>
    <row r="9">
      <c r="B9" s="158" t="inlineStr">
        <is>
          <t>ABC8</t>
        </is>
      </c>
      <c r="C9" s="327" t="n"/>
      <c r="D9" s="327" t="n"/>
      <c r="E9" s="328">
        <f>_xlfn.XLOOKUP(표11[[#This Row],[SKU코드]],'ABC-XYZ분석 (2)'!C:C,'ABC-XYZ분석 (2)'!I:I)</f>
        <v/>
      </c>
      <c r="F9" s="328">
        <f>_xlfn.XLOOKUP(표11[[#This Row],[SKU코드]],'ABC-XYZ분석 (2)'!C:C,'ABC-XYZ분석 (2)'!AC:AC)</f>
        <v/>
      </c>
      <c r="G9" s="312">
        <f>_xlfn.XLOOKUP(표11[[#This Row],[SKU코드]],'ABC-XYZ분석 (2)'!C:C,'ABC-XYZ분석 (2)'!AG:AG)</f>
        <v/>
      </c>
      <c r="H9" s="567">
        <f>SUMIF('ABC-XYZ분석 (2)'!C:C,표11[[#This Row],[SKU코드]],'ABC-XYZ분석 (2)'!X:X)/30</f>
        <v/>
      </c>
      <c r="I9" s="314" t="n">
        <v>30</v>
      </c>
      <c r="J9" s="314" t="n">
        <v>30</v>
      </c>
      <c r="K9" s="314">
        <f>SUMIF(안전재고!A:A,표11[[#This Row],[SKU코드]],안전재고!I:I)</f>
        <v/>
      </c>
      <c r="L9" s="314">
        <f>SUMIF(재고!C:C,공급물량!B9,재고!I:I)</f>
        <v/>
      </c>
      <c r="M9" s="568">
        <f>H9*I9*VLOOKUP(F9&amp;G9,{"AX",1;"AY",0.95;"AZ",0.85;"BX",0.95;"BY",0.85;"BZ",0.75;"CX",0.85;"CY",0.75;"CZ",0.65},2,0)+K9</f>
        <v/>
      </c>
      <c r="N9" s="569">
        <f>MAX(0,(표11[[#This Row],[적정재고]]-표11[[#This Row],[현재고]]))</f>
        <v/>
      </c>
      <c r="O9" s="314" t="n">
        <v>500</v>
      </c>
      <c r="P9" s="568">
        <f>CEILING(표11[[#This Row],[발주량]],표11[[#This Row],[MOQ]])</f>
        <v/>
      </c>
      <c r="S9" s="344" t="inlineStr">
        <is>
          <t>CY</t>
        </is>
      </c>
      <c r="T9" s="362" t="n">
        <v>0.75</v>
      </c>
    </row>
    <row r="10">
      <c r="B10" s="158" t="inlineStr">
        <is>
          <t>ABC9</t>
        </is>
      </c>
      <c r="C10" s="327" t="n"/>
      <c r="D10" s="327" t="n"/>
      <c r="E10" s="328">
        <f>_xlfn.XLOOKUP(표11[[#This Row],[SKU코드]],'ABC-XYZ분석 (2)'!C:C,'ABC-XYZ분석 (2)'!I:I)</f>
        <v/>
      </c>
      <c r="F10" s="328">
        <f>_xlfn.XLOOKUP(표11[[#This Row],[SKU코드]],'ABC-XYZ분석 (2)'!C:C,'ABC-XYZ분석 (2)'!AC:AC)</f>
        <v/>
      </c>
      <c r="G10" s="312">
        <f>_xlfn.XLOOKUP(표11[[#This Row],[SKU코드]],'ABC-XYZ분석 (2)'!C:C,'ABC-XYZ분석 (2)'!AG:AG)</f>
        <v/>
      </c>
      <c r="H10" s="567">
        <f>SUMIF('ABC-XYZ분석 (2)'!C:C,표11[[#This Row],[SKU코드]],'ABC-XYZ분석 (2)'!X:X)/30</f>
        <v/>
      </c>
      <c r="I10" s="314" t="n">
        <v>30</v>
      </c>
      <c r="J10" s="314" t="n">
        <v>30</v>
      </c>
      <c r="K10" s="314">
        <f>SUMIF(안전재고!A:A,표11[[#This Row],[SKU코드]],안전재고!I:I)</f>
        <v/>
      </c>
      <c r="L10" s="314">
        <f>SUMIF(재고!C:C,공급물량!B10,재고!I:I)</f>
        <v/>
      </c>
      <c r="M10" s="568">
        <f>H10*I10*VLOOKUP(F10&amp;G10,{"AX",1;"AY",0.95;"AZ",0.85;"BX",0.95;"BY",0.85;"BZ",0.75;"CX",0.85;"CY",0.75;"CZ",0.65},2,0)+K10</f>
        <v/>
      </c>
      <c r="N10" s="569">
        <f>MAX(0,(표11[[#This Row],[적정재고]]-표11[[#This Row],[현재고]]))</f>
        <v/>
      </c>
      <c r="O10" s="314" t="n">
        <v>500</v>
      </c>
      <c r="P10" s="568">
        <f>CEILING(표11[[#This Row],[발주량]],표11[[#This Row],[MOQ]])</f>
        <v/>
      </c>
      <c r="S10" s="344" t="inlineStr">
        <is>
          <t>CZ</t>
        </is>
      </c>
      <c r="T10" s="362" t="n">
        <v>0.65</v>
      </c>
    </row>
    <row r="11">
      <c r="B11" s="158" t="inlineStr">
        <is>
          <t>ABC10</t>
        </is>
      </c>
      <c r="C11" s="327" t="n"/>
      <c r="D11" s="327" t="n"/>
      <c r="E11" s="328">
        <f>_xlfn.XLOOKUP(표11[[#This Row],[SKU코드]],'ABC-XYZ분석 (2)'!C:C,'ABC-XYZ분석 (2)'!I:I)</f>
        <v/>
      </c>
      <c r="F11" s="328">
        <f>_xlfn.XLOOKUP(표11[[#This Row],[SKU코드]],'ABC-XYZ분석 (2)'!C:C,'ABC-XYZ분석 (2)'!AC:AC)</f>
        <v/>
      </c>
      <c r="G11" s="312">
        <f>_xlfn.XLOOKUP(표11[[#This Row],[SKU코드]],'ABC-XYZ분석 (2)'!C:C,'ABC-XYZ분석 (2)'!AG:AG)</f>
        <v/>
      </c>
      <c r="H11" s="567">
        <f>SUMIF('ABC-XYZ분석 (2)'!C:C,표11[[#This Row],[SKU코드]],'ABC-XYZ분석 (2)'!X:X)/30</f>
        <v/>
      </c>
      <c r="I11" s="314" t="n">
        <v>30</v>
      </c>
      <c r="J11" s="314" t="n">
        <v>30</v>
      </c>
      <c r="K11" s="314">
        <f>SUMIF(안전재고!A:A,표11[[#This Row],[SKU코드]],안전재고!I:I)</f>
        <v/>
      </c>
      <c r="L11" s="314">
        <f>SUMIF(재고!C:C,공급물량!B11,재고!I:I)</f>
        <v/>
      </c>
      <c r="M11" s="568">
        <f>H11*I11*VLOOKUP(F11&amp;G11,{"AX",1;"AY",0.95;"AZ",0.85;"BX",0.95;"BY",0.85;"BZ",0.75;"CX",0.85;"CY",0.75;"CZ",0.65},2,0)+K11</f>
        <v/>
      </c>
      <c r="N11" s="569">
        <f>MAX(0,(표11[[#This Row],[적정재고]]-표11[[#This Row],[현재고]]))</f>
        <v/>
      </c>
      <c r="O11" s="314" t="n">
        <v>500</v>
      </c>
      <c r="P11" s="568">
        <f>CEILING(표11[[#This Row],[발주량]],표11[[#This Row],[MOQ]])</f>
        <v/>
      </c>
    </row>
    <row r="12">
      <c r="B12" s="158" t="inlineStr">
        <is>
          <t>ABC11</t>
        </is>
      </c>
      <c r="C12" s="327" t="n"/>
      <c r="D12" s="327" t="n"/>
      <c r="E12" s="328">
        <f>_xlfn.XLOOKUP(표11[[#This Row],[SKU코드]],'ABC-XYZ분석 (2)'!C:C,'ABC-XYZ분석 (2)'!I:I)</f>
        <v/>
      </c>
      <c r="F12" s="328">
        <f>_xlfn.XLOOKUP(표11[[#This Row],[SKU코드]],'ABC-XYZ분석 (2)'!C:C,'ABC-XYZ분석 (2)'!AC:AC)</f>
        <v/>
      </c>
      <c r="G12" s="312">
        <f>_xlfn.XLOOKUP(표11[[#This Row],[SKU코드]],'ABC-XYZ분석 (2)'!C:C,'ABC-XYZ분석 (2)'!AG:AG)</f>
        <v/>
      </c>
      <c r="H12" s="567">
        <f>SUMIF('ABC-XYZ분석 (2)'!C:C,표11[[#This Row],[SKU코드]],'ABC-XYZ분석 (2)'!X:X)/30</f>
        <v/>
      </c>
      <c r="I12" s="314" t="n">
        <v>30</v>
      </c>
      <c r="J12" s="314" t="n">
        <v>30</v>
      </c>
      <c r="K12" s="314">
        <f>SUMIF(안전재고!A:A,표11[[#This Row],[SKU코드]],안전재고!I:I)</f>
        <v/>
      </c>
      <c r="L12" s="314">
        <f>SUMIF(재고!C:C,공급물량!B12,재고!I:I)</f>
        <v/>
      </c>
      <c r="M12" s="568">
        <f>H12*I12*VLOOKUP(F12&amp;G12,{"AX",1;"AY",0.95;"AZ",0.85;"BX",0.95;"BY",0.85;"BZ",0.75;"CX",0.85;"CY",0.75;"CZ",0.65},2,0)+K12</f>
        <v/>
      </c>
      <c r="N12" s="569">
        <f>MAX(0,(표11[[#This Row],[적정재고]]-표11[[#This Row],[현재고]]))</f>
        <v/>
      </c>
      <c r="O12" s="314" t="n">
        <v>500</v>
      </c>
      <c r="P12" s="568">
        <f>CEILING(표11[[#This Row],[발주량]],표11[[#This Row],[MOQ]])</f>
        <v/>
      </c>
    </row>
    <row r="13">
      <c r="B13" s="158" t="inlineStr">
        <is>
          <t>ABC12</t>
        </is>
      </c>
      <c r="C13" s="327" t="n"/>
      <c r="D13" s="327" t="n"/>
      <c r="E13" s="328">
        <f>_xlfn.XLOOKUP(표11[[#This Row],[SKU코드]],'ABC-XYZ분석 (2)'!C:C,'ABC-XYZ분석 (2)'!I:I)</f>
        <v/>
      </c>
      <c r="F13" s="328">
        <f>_xlfn.XLOOKUP(표11[[#This Row],[SKU코드]],'ABC-XYZ분석 (2)'!C:C,'ABC-XYZ분석 (2)'!AC:AC)</f>
        <v/>
      </c>
      <c r="G13" s="312">
        <f>_xlfn.XLOOKUP(표11[[#This Row],[SKU코드]],'ABC-XYZ분석 (2)'!C:C,'ABC-XYZ분석 (2)'!AG:AG)</f>
        <v/>
      </c>
      <c r="H13" s="567">
        <f>SUMIF('ABC-XYZ분석 (2)'!C:C,표11[[#This Row],[SKU코드]],'ABC-XYZ분석 (2)'!X:X)/30</f>
        <v/>
      </c>
      <c r="I13" s="314" t="n">
        <v>30</v>
      </c>
      <c r="J13" s="314" t="n">
        <v>30</v>
      </c>
      <c r="K13" s="314">
        <f>SUMIF(안전재고!A:A,표11[[#This Row],[SKU코드]],안전재고!I:I)</f>
        <v/>
      </c>
      <c r="L13" s="314">
        <f>SUMIF(재고!C:C,공급물량!B13,재고!I:I)</f>
        <v/>
      </c>
      <c r="M13" s="568">
        <f>H13*I13*VLOOKUP(F13&amp;G13,{"AX",1;"AY",0.95;"AZ",0.85;"BX",0.95;"BY",0.85;"BZ",0.75;"CX",0.85;"CY",0.75;"CZ",0.65},2,0)+K13</f>
        <v/>
      </c>
      <c r="N13" s="569">
        <f>MAX(0,(표11[[#This Row],[적정재고]]-표11[[#This Row],[현재고]]))</f>
        <v/>
      </c>
      <c r="O13" s="314" t="n">
        <v>500</v>
      </c>
      <c r="P13" s="568">
        <f>CEILING(표11[[#This Row],[발주량]],표11[[#This Row],[MOQ]])</f>
        <v/>
      </c>
    </row>
    <row r="14">
      <c r="B14" s="158" t="inlineStr">
        <is>
          <t>ABC13</t>
        </is>
      </c>
      <c r="C14" s="327" t="n"/>
      <c r="D14" s="327" t="n"/>
      <c r="E14" s="328">
        <f>_xlfn.XLOOKUP(표11[[#This Row],[SKU코드]],'ABC-XYZ분석 (2)'!C:C,'ABC-XYZ분석 (2)'!I:I)</f>
        <v/>
      </c>
      <c r="F14" s="328">
        <f>_xlfn.XLOOKUP(표11[[#This Row],[SKU코드]],'ABC-XYZ분석 (2)'!C:C,'ABC-XYZ분석 (2)'!AC:AC)</f>
        <v/>
      </c>
      <c r="G14" s="312">
        <f>_xlfn.XLOOKUP(표11[[#This Row],[SKU코드]],'ABC-XYZ분석 (2)'!C:C,'ABC-XYZ분석 (2)'!AG:AG)</f>
        <v/>
      </c>
      <c r="H14" s="567">
        <f>SUMIF('ABC-XYZ분석 (2)'!C:C,표11[[#This Row],[SKU코드]],'ABC-XYZ분석 (2)'!X:X)/30</f>
        <v/>
      </c>
      <c r="I14" s="314" t="n">
        <v>30</v>
      </c>
      <c r="J14" s="314" t="n">
        <v>30</v>
      </c>
      <c r="K14" s="314">
        <f>SUMIF(안전재고!A:A,표11[[#This Row],[SKU코드]],안전재고!I:I)</f>
        <v/>
      </c>
      <c r="L14" s="314">
        <f>SUMIF(재고!C:C,공급물량!B14,재고!I:I)</f>
        <v/>
      </c>
      <c r="M14" s="568">
        <f>H14*I14*VLOOKUP(F14&amp;G14,{"AX",1;"AY",0.95;"AZ",0.85;"BX",0.95;"BY",0.85;"BZ",0.75;"CX",0.85;"CY",0.75;"CZ",0.65},2,0)+K14</f>
        <v/>
      </c>
      <c r="N14" s="569">
        <f>MAX(0,(표11[[#This Row],[적정재고]]-표11[[#This Row],[현재고]]))</f>
        <v/>
      </c>
      <c r="O14" s="314" t="n">
        <v>500</v>
      </c>
      <c r="P14" s="568">
        <f>CEILING(표11[[#This Row],[발주량]],표11[[#This Row],[MOQ]])</f>
        <v/>
      </c>
    </row>
    <row r="15">
      <c r="B15" s="158" t="inlineStr">
        <is>
          <t>ABC14</t>
        </is>
      </c>
      <c r="C15" s="327" t="n"/>
      <c r="D15" s="327" t="n"/>
      <c r="E15" s="328">
        <f>_xlfn.XLOOKUP(표11[[#This Row],[SKU코드]],'ABC-XYZ분석 (2)'!C:C,'ABC-XYZ분석 (2)'!I:I)</f>
        <v/>
      </c>
      <c r="F15" s="328">
        <f>_xlfn.XLOOKUP(표11[[#This Row],[SKU코드]],'ABC-XYZ분석 (2)'!C:C,'ABC-XYZ분석 (2)'!AC:AC)</f>
        <v/>
      </c>
      <c r="G15" s="312">
        <f>_xlfn.XLOOKUP(표11[[#This Row],[SKU코드]],'ABC-XYZ분석 (2)'!C:C,'ABC-XYZ분석 (2)'!AG:AG)</f>
        <v/>
      </c>
      <c r="H15" s="567">
        <f>SUMIF('ABC-XYZ분석 (2)'!C:C,표11[[#This Row],[SKU코드]],'ABC-XYZ분석 (2)'!X:X)/30</f>
        <v/>
      </c>
      <c r="I15" s="314" t="n">
        <v>30</v>
      </c>
      <c r="J15" s="314" t="n">
        <v>30</v>
      </c>
      <c r="K15" s="314">
        <f>SUMIF(안전재고!A:A,표11[[#This Row],[SKU코드]],안전재고!I:I)</f>
        <v/>
      </c>
      <c r="L15" s="314">
        <f>SUMIF(재고!C:C,공급물량!B15,재고!I:I)</f>
        <v/>
      </c>
      <c r="M15" s="568">
        <f>H15*I15*VLOOKUP(F15&amp;G15,{"AX",1;"AY",0.95;"AZ",0.85;"BX",0.95;"BY",0.85;"BZ",0.75;"CX",0.85;"CY",0.75;"CZ",0.65},2,0)+K15</f>
        <v/>
      </c>
      <c r="N15" s="569">
        <f>MAX(0,(표11[[#This Row],[적정재고]]-표11[[#This Row],[현재고]]))</f>
        <v/>
      </c>
      <c r="O15" s="314" t="n">
        <v>500</v>
      </c>
      <c r="P15" s="568">
        <f>CEILING(표11[[#This Row],[발주량]],표11[[#This Row],[MOQ]])</f>
        <v/>
      </c>
    </row>
    <row r="16">
      <c r="B16" s="158" t="inlineStr">
        <is>
          <t>ABC15</t>
        </is>
      </c>
      <c r="C16" s="327" t="n"/>
      <c r="D16" s="327" t="n"/>
      <c r="E16" s="328">
        <f>_xlfn.XLOOKUP(표11[[#This Row],[SKU코드]],'ABC-XYZ분석 (2)'!C:C,'ABC-XYZ분석 (2)'!I:I)</f>
        <v/>
      </c>
      <c r="F16" s="328">
        <f>_xlfn.XLOOKUP(표11[[#This Row],[SKU코드]],'ABC-XYZ분석 (2)'!C:C,'ABC-XYZ분석 (2)'!AC:AC)</f>
        <v/>
      </c>
      <c r="G16" s="312">
        <f>_xlfn.XLOOKUP(표11[[#This Row],[SKU코드]],'ABC-XYZ분석 (2)'!C:C,'ABC-XYZ분석 (2)'!AG:AG)</f>
        <v/>
      </c>
      <c r="H16" s="567">
        <f>SUMIF('ABC-XYZ분석 (2)'!C:C,표11[[#This Row],[SKU코드]],'ABC-XYZ분석 (2)'!X:X)/30</f>
        <v/>
      </c>
      <c r="I16" s="314" t="n">
        <v>30</v>
      </c>
      <c r="J16" s="314" t="n">
        <v>30</v>
      </c>
      <c r="K16" s="314">
        <f>SUMIF(안전재고!A:A,표11[[#This Row],[SKU코드]],안전재고!I:I)</f>
        <v/>
      </c>
      <c r="L16" s="314">
        <f>SUMIF(재고!C:C,공급물량!B16,재고!I:I)</f>
        <v/>
      </c>
      <c r="M16" s="568">
        <f>H16*I16*VLOOKUP(F16&amp;G16,{"AX",1;"AY",0.95;"AZ",0.85;"BX",0.95;"BY",0.85;"BZ",0.75;"CX",0.85;"CY",0.75;"CZ",0.65},2,0)+K16</f>
        <v/>
      </c>
      <c r="N16" s="569">
        <f>MAX(0,(표11[[#This Row],[적정재고]]-표11[[#This Row],[현재고]]))</f>
        <v/>
      </c>
      <c r="O16" s="314" t="n">
        <v>500</v>
      </c>
      <c r="P16" s="568">
        <f>CEILING(표11[[#This Row],[발주량]],표11[[#This Row],[MOQ]])</f>
        <v/>
      </c>
    </row>
    <row r="17">
      <c r="B17" s="158" t="inlineStr">
        <is>
          <t>ABC16</t>
        </is>
      </c>
      <c r="C17" s="327" t="n"/>
      <c r="D17" s="327" t="n"/>
      <c r="E17" s="328">
        <f>_xlfn.XLOOKUP(표11[[#This Row],[SKU코드]],'ABC-XYZ분석 (2)'!C:C,'ABC-XYZ분석 (2)'!I:I)</f>
        <v/>
      </c>
      <c r="F17" s="328">
        <f>_xlfn.XLOOKUP(표11[[#This Row],[SKU코드]],'ABC-XYZ분석 (2)'!C:C,'ABC-XYZ분석 (2)'!AC:AC)</f>
        <v/>
      </c>
      <c r="G17" s="312">
        <f>_xlfn.XLOOKUP(표11[[#This Row],[SKU코드]],'ABC-XYZ분석 (2)'!C:C,'ABC-XYZ분석 (2)'!AG:AG)</f>
        <v/>
      </c>
      <c r="H17" s="567">
        <f>SUMIF('ABC-XYZ분석 (2)'!C:C,표11[[#This Row],[SKU코드]],'ABC-XYZ분석 (2)'!X:X)/30</f>
        <v/>
      </c>
      <c r="I17" s="314" t="n">
        <v>30</v>
      </c>
      <c r="J17" s="314" t="n">
        <v>30</v>
      </c>
      <c r="K17" s="314">
        <f>SUMIF(안전재고!A:A,표11[[#This Row],[SKU코드]],안전재고!I:I)</f>
        <v/>
      </c>
      <c r="L17" s="314">
        <f>SUMIF(재고!C:C,공급물량!B17,재고!I:I)</f>
        <v/>
      </c>
      <c r="M17" s="568">
        <f>H17*I17*VLOOKUP(F17&amp;G17,{"AX",1;"AY",0.95;"AZ",0.85;"BX",0.95;"BY",0.85;"BZ",0.75;"CX",0.85;"CY",0.75;"CZ",0.65},2,0)+K17</f>
        <v/>
      </c>
      <c r="N17" s="569">
        <f>MAX(0,(표11[[#This Row],[적정재고]]-표11[[#This Row],[현재고]]))</f>
        <v/>
      </c>
      <c r="O17" s="314" t="n">
        <v>500</v>
      </c>
      <c r="P17" s="568">
        <f>CEILING(표11[[#This Row],[발주량]],표11[[#This Row],[MOQ]])</f>
        <v/>
      </c>
    </row>
    <row r="18">
      <c r="B18" s="158" t="inlineStr">
        <is>
          <t>ABC17</t>
        </is>
      </c>
      <c r="C18" s="327" t="n"/>
      <c r="D18" s="327" t="n"/>
      <c r="E18" s="328">
        <f>_xlfn.XLOOKUP(표11[[#This Row],[SKU코드]],'ABC-XYZ분석 (2)'!C:C,'ABC-XYZ분석 (2)'!I:I)</f>
        <v/>
      </c>
      <c r="F18" s="328">
        <f>_xlfn.XLOOKUP(표11[[#This Row],[SKU코드]],'ABC-XYZ분석 (2)'!C:C,'ABC-XYZ분석 (2)'!AC:AC)</f>
        <v/>
      </c>
      <c r="G18" s="312">
        <f>_xlfn.XLOOKUP(표11[[#This Row],[SKU코드]],'ABC-XYZ분석 (2)'!C:C,'ABC-XYZ분석 (2)'!AG:AG)</f>
        <v/>
      </c>
      <c r="H18" s="567">
        <f>SUMIF('ABC-XYZ분석 (2)'!C:C,표11[[#This Row],[SKU코드]],'ABC-XYZ분석 (2)'!X:X)/30</f>
        <v/>
      </c>
      <c r="I18" s="314" t="n">
        <v>30</v>
      </c>
      <c r="J18" s="314" t="n">
        <v>30</v>
      </c>
      <c r="K18" s="314">
        <f>SUMIF(안전재고!A:A,표11[[#This Row],[SKU코드]],안전재고!I:I)</f>
        <v/>
      </c>
      <c r="L18" s="314">
        <f>SUMIF(재고!C:C,공급물량!B18,재고!I:I)</f>
        <v/>
      </c>
      <c r="M18" s="568">
        <f>H18*I18*VLOOKUP(F18&amp;G18,{"AX",1;"AY",0.95;"AZ",0.85;"BX",0.95;"BY",0.85;"BZ",0.75;"CX",0.85;"CY",0.75;"CZ",0.65},2,0)+K18</f>
        <v/>
      </c>
      <c r="N18" s="569">
        <f>MAX(0,(표11[[#This Row],[적정재고]]-표11[[#This Row],[현재고]]))</f>
        <v/>
      </c>
      <c r="O18" s="314" t="n">
        <v>500</v>
      </c>
      <c r="P18" s="568">
        <f>CEILING(표11[[#This Row],[발주량]],표11[[#This Row],[MOQ]])</f>
        <v/>
      </c>
    </row>
    <row r="19">
      <c r="B19" s="158" t="inlineStr">
        <is>
          <t>ABC18</t>
        </is>
      </c>
      <c r="C19" s="327" t="n"/>
      <c r="D19" s="327" t="n"/>
      <c r="E19" s="328">
        <f>_xlfn.XLOOKUP(표11[[#This Row],[SKU코드]],'ABC-XYZ분석 (2)'!C:C,'ABC-XYZ분석 (2)'!I:I)</f>
        <v/>
      </c>
      <c r="F19" s="328">
        <f>_xlfn.XLOOKUP(표11[[#This Row],[SKU코드]],'ABC-XYZ분석 (2)'!C:C,'ABC-XYZ분석 (2)'!AC:AC)</f>
        <v/>
      </c>
      <c r="G19" s="312">
        <f>_xlfn.XLOOKUP(표11[[#This Row],[SKU코드]],'ABC-XYZ분석 (2)'!C:C,'ABC-XYZ분석 (2)'!AG:AG)</f>
        <v/>
      </c>
      <c r="H19" s="567">
        <f>SUMIF('ABC-XYZ분석 (2)'!C:C,표11[[#This Row],[SKU코드]],'ABC-XYZ분석 (2)'!X:X)/30</f>
        <v/>
      </c>
      <c r="I19" s="314" t="n">
        <v>30</v>
      </c>
      <c r="J19" s="314" t="n">
        <v>30</v>
      </c>
      <c r="K19" s="314">
        <f>SUMIF(안전재고!A:A,표11[[#This Row],[SKU코드]],안전재고!I:I)</f>
        <v/>
      </c>
      <c r="L19" s="314">
        <f>SUMIF(재고!C:C,공급물량!B19,재고!I:I)</f>
        <v/>
      </c>
      <c r="M19" s="568">
        <f>H19*I19*VLOOKUP(F19&amp;G19,{"AX",1;"AY",0.95;"AZ",0.85;"BX",0.95;"BY",0.85;"BZ",0.75;"CX",0.85;"CY",0.75;"CZ",0.65},2,0)+K19</f>
        <v/>
      </c>
      <c r="N19" s="569">
        <f>MAX(0,(표11[[#This Row],[적정재고]]-표11[[#This Row],[현재고]]))</f>
        <v/>
      </c>
      <c r="O19" s="314" t="n">
        <v>500</v>
      </c>
      <c r="P19" s="568">
        <f>CEILING(표11[[#This Row],[발주량]],표11[[#This Row],[MOQ]])</f>
        <v/>
      </c>
    </row>
    <row r="20">
      <c r="B20" s="158" t="inlineStr">
        <is>
          <t>ABC19</t>
        </is>
      </c>
      <c r="C20" s="327" t="n"/>
      <c r="D20" s="327" t="n"/>
      <c r="E20" s="328">
        <f>_xlfn.XLOOKUP(표11[[#This Row],[SKU코드]],'ABC-XYZ분석 (2)'!C:C,'ABC-XYZ분석 (2)'!I:I)</f>
        <v/>
      </c>
      <c r="F20" s="328">
        <f>_xlfn.XLOOKUP(표11[[#This Row],[SKU코드]],'ABC-XYZ분석 (2)'!C:C,'ABC-XYZ분석 (2)'!AC:AC)</f>
        <v/>
      </c>
      <c r="G20" s="312">
        <f>_xlfn.XLOOKUP(표11[[#This Row],[SKU코드]],'ABC-XYZ분석 (2)'!C:C,'ABC-XYZ분석 (2)'!AG:AG)</f>
        <v/>
      </c>
      <c r="H20" s="567">
        <f>SUMIF('ABC-XYZ분석 (2)'!C:C,표11[[#This Row],[SKU코드]],'ABC-XYZ분석 (2)'!X:X)/30</f>
        <v/>
      </c>
      <c r="I20" s="314" t="n">
        <v>30</v>
      </c>
      <c r="J20" s="314" t="n">
        <v>30</v>
      </c>
      <c r="K20" s="314">
        <f>SUMIF(안전재고!A:A,표11[[#This Row],[SKU코드]],안전재고!I:I)</f>
        <v/>
      </c>
      <c r="L20" s="314">
        <f>SUMIF(재고!C:C,공급물량!B20,재고!I:I)</f>
        <v/>
      </c>
      <c r="M20" s="568">
        <f>H20*I20*VLOOKUP(F20&amp;G20,{"AX",1;"AY",0.95;"AZ",0.85;"BX",0.95;"BY",0.85;"BZ",0.75;"CX",0.85;"CY",0.75;"CZ",0.65},2,0)+K20</f>
        <v/>
      </c>
      <c r="N20" s="569">
        <f>MAX(0,(표11[[#This Row],[적정재고]]-표11[[#This Row],[현재고]]))</f>
        <v/>
      </c>
      <c r="O20" s="314" t="n">
        <v>500</v>
      </c>
      <c r="P20" s="568">
        <f>CEILING(표11[[#This Row],[발주량]],표11[[#This Row],[MOQ]])</f>
        <v/>
      </c>
    </row>
    <row r="21">
      <c r="B21" s="158" t="inlineStr">
        <is>
          <t>ABC20</t>
        </is>
      </c>
      <c r="C21" s="327" t="n"/>
      <c r="D21" s="327" t="n"/>
      <c r="E21" s="328">
        <f>_xlfn.XLOOKUP(표11[[#This Row],[SKU코드]],'ABC-XYZ분석 (2)'!C:C,'ABC-XYZ분석 (2)'!I:I)</f>
        <v/>
      </c>
      <c r="F21" s="328">
        <f>_xlfn.XLOOKUP(표11[[#This Row],[SKU코드]],'ABC-XYZ분석 (2)'!C:C,'ABC-XYZ분석 (2)'!AC:AC)</f>
        <v/>
      </c>
      <c r="G21" s="312">
        <f>_xlfn.XLOOKUP(표11[[#This Row],[SKU코드]],'ABC-XYZ분석 (2)'!C:C,'ABC-XYZ분석 (2)'!AG:AG)</f>
        <v/>
      </c>
      <c r="H21" s="567">
        <f>SUMIF('ABC-XYZ분석 (2)'!C:C,표11[[#This Row],[SKU코드]],'ABC-XYZ분석 (2)'!X:X)/30</f>
        <v/>
      </c>
      <c r="I21" s="314" t="n">
        <v>30</v>
      </c>
      <c r="J21" s="314" t="n">
        <v>30</v>
      </c>
      <c r="K21" s="314">
        <f>SUMIF(안전재고!A:A,표11[[#This Row],[SKU코드]],안전재고!I:I)</f>
        <v/>
      </c>
      <c r="L21" s="314">
        <f>SUMIF(재고!C:C,공급물량!B21,재고!I:I)</f>
        <v/>
      </c>
      <c r="M21" s="568">
        <f>H21*I21*VLOOKUP(F21&amp;G21,{"AX",1;"AY",0.95;"AZ",0.85;"BX",0.95;"BY",0.85;"BZ",0.75;"CX",0.85;"CY",0.75;"CZ",0.65},2,0)+K21</f>
        <v/>
      </c>
      <c r="N21" s="569">
        <f>MAX(0,(표11[[#This Row],[적정재고]]-표11[[#This Row],[현재고]]))</f>
        <v/>
      </c>
      <c r="O21" s="314" t="n">
        <v>500</v>
      </c>
      <c r="P21" s="568">
        <f>CEILING(표11[[#This Row],[발주량]],표11[[#This Row],[MOQ]])</f>
        <v/>
      </c>
    </row>
    <row r="22">
      <c r="B22" s="158" t="inlineStr">
        <is>
          <t>ABC21</t>
        </is>
      </c>
      <c r="C22" s="327" t="n"/>
      <c r="D22" s="327" t="n"/>
      <c r="E22" s="328">
        <f>_xlfn.XLOOKUP(표11[[#This Row],[SKU코드]],'ABC-XYZ분석 (2)'!C:C,'ABC-XYZ분석 (2)'!I:I)</f>
        <v/>
      </c>
      <c r="F22" s="328">
        <f>_xlfn.XLOOKUP(표11[[#This Row],[SKU코드]],'ABC-XYZ분석 (2)'!C:C,'ABC-XYZ분석 (2)'!AC:AC)</f>
        <v/>
      </c>
      <c r="G22" s="312">
        <f>_xlfn.XLOOKUP(표11[[#This Row],[SKU코드]],'ABC-XYZ분석 (2)'!C:C,'ABC-XYZ분석 (2)'!AG:AG)</f>
        <v/>
      </c>
      <c r="H22" s="567">
        <f>SUMIF('ABC-XYZ분석 (2)'!C:C,표11[[#This Row],[SKU코드]],'ABC-XYZ분석 (2)'!X:X)/30</f>
        <v/>
      </c>
      <c r="I22" s="314" t="n">
        <v>30</v>
      </c>
      <c r="J22" s="314" t="n">
        <v>30</v>
      </c>
      <c r="K22" s="314">
        <f>SUMIF(안전재고!A:A,표11[[#This Row],[SKU코드]],안전재고!I:I)</f>
        <v/>
      </c>
      <c r="L22" s="314">
        <f>SUMIF(재고!C:C,공급물량!B22,재고!I:I)</f>
        <v/>
      </c>
      <c r="M22" s="568">
        <f>H22*I22*VLOOKUP(F22&amp;G22,{"AX",1;"AY",0.95;"AZ",0.85;"BX",0.95;"BY",0.85;"BZ",0.75;"CX",0.85;"CY",0.75;"CZ",0.65},2,0)+K22</f>
        <v/>
      </c>
      <c r="N22" s="569">
        <f>MAX(0,(표11[[#This Row],[적정재고]]-표11[[#This Row],[현재고]]))</f>
        <v/>
      </c>
      <c r="O22" s="314" t="n">
        <v>500</v>
      </c>
      <c r="P22" s="568">
        <f>CEILING(표11[[#This Row],[발주량]],표11[[#This Row],[MOQ]])</f>
        <v/>
      </c>
    </row>
    <row r="23">
      <c r="B23" s="158" t="inlineStr">
        <is>
          <t>ABC22</t>
        </is>
      </c>
      <c r="C23" s="327" t="n"/>
      <c r="D23" s="327" t="n"/>
      <c r="E23" s="328">
        <f>_xlfn.XLOOKUP(표11[[#This Row],[SKU코드]],'ABC-XYZ분석 (2)'!C:C,'ABC-XYZ분석 (2)'!I:I)</f>
        <v/>
      </c>
      <c r="F23" s="328">
        <f>_xlfn.XLOOKUP(표11[[#This Row],[SKU코드]],'ABC-XYZ분석 (2)'!C:C,'ABC-XYZ분석 (2)'!AC:AC)</f>
        <v/>
      </c>
      <c r="G23" s="312">
        <f>_xlfn.XLOOKUP(표11[[#This Row],[SKU코드]],'ABC-XYZ분석 (2)'!C:C,'ABC-XYZ분석 (2)'!AG:AG)</f>
        <v/>
      </c>
      <c r="H23" s="567">
        <f>SUMIF('ABC-XYZ분석 (2)'!C:C,표11[[#This Row],[SKU코드]],'ABC-XYZ분석 (2)'!X:X)/30</f>
        <v/>
      </c>
      <c r="I23" s="314" t="n">
        <v>30</v>
      </c>
      <c r="J23" s="314" t="n">
        <v>30</v>
      </c>
      <c r="K23" s="314">
        <f>SUMIF(안전재고!A:A,표11[[#This Row],[SKU코드]],안전재고!I:I)</f>
        <v/>
      </c>
      <c r="L23" s="314">
        <f>SUMIF(재고!C:C,공급물량!B23,재고!I:I)</f>
        <v/>
      </c>
      <c r="M23" s="568">
        <f>H23*I23*VLOOKUP(F23&amp;G23,{"AX",1;"AY",0.95;"AZ",0.85;"BX",0.95;"BY",0.85;"BZ",0.75;"CX",0.85;"CY",0.75;"CZ",0.65},2,0)+K23</f>
        <v/>
      </c>
      <c r="N23" s="569">
        <f>MAX(0,(표11[[#This Row],[적정재고]]-표11[[#This Row],[현재고]]))</f>
        <v/>
      </c>
      <c r="O23" s="314" t="n">
        <v>500</v>
      </c>
      <c r="P23" s="568">
        <f>CEILING(표11[[#This Row],[발주량]],표11[[#This Row],[MOQ]])</f>
        <v/>
      </c>
    </row>
    <row r="24">
      <c r="B24" s="158" t="inlineStr">
        <is>
          <t>ABC23</t>
        </is>
      </c>
      <c r="C24" s="327" t="n"/>
      <c r="D24" s="327" t="n"/>
      <c r="E24" s="328">
        <f>_xlfn.XLOOKUP(표11[[#This Row],[SKU코드]],'ABC-XYZ분석 (2)'!C:C,'ABC-XYZ분석 (2)'!I:I)</f>
        <v/>
      </c>
      <c r="F24" s="328">
        <f>_xlfn.XLOOKUP(표11[[#This Row],[SKU코드]],'ABC-XYZ분석 (2)'!C:C,'ABC-XYZ분석 (2)'!AC:AC)</f>
        <v/>
      </c>
      <c r="G24" s="312">
        <f>_xlfn.XLOOKUP(표11[[#This Row],[SKU코드]],'ABC-XYZ분석 (2)'!C:C,'ABC-XYZ분석 (2)'!AG:AG)</f>
        <v/>
      </c>
      <c r="H24" s="567">
        <f>SUMIF('ABC-XYZ분석 (2)'!C:C,표11[[#This Row],[SKU코드]],'ABC-XYZ분석 (2)'!X:X)/30</f>
        <v/>
      </c>
      <c r="I24" s="314" t="n">
        <v>30</v>
      </c>
      <c r="J24" s="314" t="n">
        <v>30</v>
      </c>
      <c r="K24" s="314">
        <f>SUMIF(안전재고!A:A,표11[[#This Row],[SKU코드]],안전재고!I:I)</f>
        <v/>
      </c>
      <c r="L24" s="314">
        <f>SUMIF(재고!C:C,공급물량!B24,재고!I:I)</f>
        <v/>
      </c>
      <c r="M24" s="568">
        <f>H24*I24*VLOOKUP(F24&amp;G24,{"AX",1;"AY",0.95;"AZ",0.85;"BX",0.95;"BY",0.85;"BZ",0.75;"CX",0.85;"CY",0.75;"CZ",0.65},2,0)+K24</f>
        <v/>
      </c>
      <c r="N24" s="569">
        <f>MAX(0,(표11[[#This Row],[적정재고]]-표11[[#This Row],[현재고]]))</f>
        <v/>
      </c>
      <c r="O24" s="314" t="n">
        <v>500</v>
      </c>
      <c r="P24" s="568">
        <f>CEILING(표11[[#This Row],[발주량]],표11[[#This Row],[MOQ]])</f>
        <v/>
      </c>
    </row>
    <row r="25">
      <c r="B25" s="158" t="inlineStr">
        <is>
          <t>ABC24</t>
        </is>
      </c>
      <c r="C25" s="327" t="n"/>
      <c r="D25" s="327" t="n"/>
      <c r="E25" s="328">
        <f>_xlfn.XLOOKUP(표11[[#This Row],[SKU코드]],'ABC-XYZ분석 (2)'!C:C,'ABC-XYZ분석 (2)'!I:I)</f>
        <v/>
      </c>
      <c r="F25" s="328">
        <f>_xlfn.XLOOKUP(표11[[#This Row],[SKU코드]],'ABC-XYZ분석 (2)'!C:C,'ABC-XYZ분석 (2)'!AC:AC)</f>
        <v/>
      </c>
      <c r="G25" s="312">
        <f>_xlfn.XLOOKUP(표11[[#This Row],[SKU코드]],'ABC-XYZ분석 (2)'!C:C,'ABC-XYZ분석 (2)'!AG:AG)</f>
        <v/>
      </c>
      <c r="H25" s="567">
        <f>SUMIF('ABC-XYZ분석 (2)'!C:C,표11[[#This Row],[SKU코드]],'ABC-XYZ분석 (2)'!X:X)/30</f>
        <v/>
      </c>
      <c r="I25" s="314" t="n">
        <v>30</v>
      </c>
      <c r="J25" s="314" t="n">
        <v>30</v>
      </c>
      <c r="K25" s="314">
        <f>SUMIF(안전재고!A:A,표11[[#This Row],[SKU코드]],안전재고!I:I)</f>
        <v/>
      </c>
      <c r="L25" s="314">
        <f>SUMIF(재고!C:C,공급물량!B25,재고!I:I)</f>
        <v/>
      </c>
      <c r="M25" s="568">
        <f>H25*I25*VLOOKUP(F25&amp;G25,{"AX",1;"AY",0.95;"AZ",0.85;"BX",0.95;"BY",0.85;"BZ",0.75;"CX",0.85;"CY",0.75;"CZ",0.65},2,0)+K25</f>
        <v/>
      </c>
      <c r="N25" s="569">
        <f>MAX(0,(표11[[#This Row],[적정재고]]-표11[[#This Row],[현재고]]))</f>
        <v/>
      </c>
      <c r="O25" s="314" t="n">
        <v>500</v>
      </c>
      <c r="P25" s="568">
        <f>CEILING(표11[[#This Row],[발주량]],표11[[#This Row],[MOQ]])</f>
        <v/>
      </c>
    </row>
    <row r="26">
      <c r="B26" s="158" t="inlineStr">
        <is>
          <t>ABC25</t>
        </is>
      </c>
      <c r="C26" s="327" t="n"/>
      <c r="D26" s="327" t="n"/>
      <c r="E26" s="328">
        <f>_xlfn.XLOOKUP(표11[[#This Row],[SKU코드]],'ABC-XYZ분석 (2)'!C:C,'ABC-XYZ분석 (2)'!I:I)</f>
        <v/>
      </c>
      <c r="F26" s="328">
        <f>_xlfn.XLOOKUP(표11[[#This Row],[SKU코드]],'ABC-XYZ분석 (2)'!C:C,'ABC-XYZ분석 (2)'!AC:AC)</f>
        <v/>
      </c>
      <c r="G26" s="312">
        <f>_xlfn.XLOOKUP(표11[[#This Row],[SKU코드]],'ABC-XYZ분석 (2)'!C:C,'ABC-XYZ분석 (2)'!AG:AG)</f>
        <v/>
      </c>
      <c r="H26" s="567">
        <f>SUMIF('ABC-XYZ분석 (2)'!C:C,표11[[#This Row],[SKU코드]],'ABC-XYZ분석 (2)'!X:X)/30</f>
        <v/>
      </c>
      <c r="I26" s="314" t="n">
        <v>30</v>
      </c>
      <c r="J26" s="314" t="n">
        <v>30</v>
      </c>
      <c r="K26" s="314">
        <f>SUMIF(안전재고!A:A,표11[[#This Row],[SKU코드]],안전재고!I:I)</f>
        <v/>
      </c>
      <c r="L26" s="314">
        <f>SUMIF(재고!C:C,공급물량!B26,재고!I:I)</f>
        <v/>
      </c>
      <c r="M26" s="568">
        <f>H26*I26*VLOOKUP(F26&amp;G26,{"AX",1;"AY",0.95;"AZ",0.85;"BX",0.95;"BY",0.85;"BZ",0.75;"CX",0.85;"CY",0.75;"CZ",0.65},2,0)+K26</f>
        <v/>
      </c>
      <c r="N26" s="569">
        <f>MAX(0,(표11[[#This Row],[적정재고]]-표11[[#This Row],[현재고]]))</f>
        <v/>
      </c>
      <c r="O26" s="314" t="n">
        <v>500</v>
      </c>
      <c r="P26" s="568">
        <f>CEILING(표11[[#This Row],[발주량]],표11[[#This Row],[MOQ]])</f>
        <v/>
      </c>
    </row>
    <row r="27">
      <c r="B27" s="158" t="inlineStr">
        <is>
          <t>ABC26</t>
        </is>
      </c>
      <c r="C27" s="327" t="n"/>
      <c r="D27" s="327" t="n"/>
      <c r="E27" s="328">
        <f>_xlfn.XLOOKUP(표11[[#This Row],[SKU코드]],'ABC-XYZ분석 (2)'!C:C,'ABC-XYZ분석 (2)'!I:I)</f>
        <v/>
      </c>
      <c r="F27" s="328">
        <f>_xlfn.XLOOKUP(표11[[#This Row],[SKU코드]],'ABC-XYZ분석 (2)'!C:C,'ABC-XYZ분석 (2)'!AC:AC)</f>
        <v/>
      </c>
      <c r="G27" s="312">
        <f>_xlfn.XLOOKUP(표11[[#This Row],[SKU코드]],'ABC-XYZ분석 (2)'!C:C,'ABC-XYZ분석 (2)'!AG:AG)</f>
        <v/>
      </c>
      <c r="H27" s="567">
        <f>SUMIF('ABC-XYZ분석 (2)'!C:C,표11[[#This Row],[SKU코드]],'ABC-XYZ분석 (2)'!X:X)/30</f>
        <v/>
      </c>
      <c r="I27" s="314" t="n">
        <v>30</v>
      </c>
      <c r="J27" s="314" t="n">
        <v>30</v>
      </c>
      <c r="K27" s="314">
        <f>SUMIF(안전재고!A:A,표11[[#This Row],[SKU코드]],안전재고!I:I)</f>
        <v/>
      </c>
      <c r="L27" s="314">
        <f>SUMIF(재고!C:C,공급물량!B27,재고!I:I)</f>
        <v/>
      </c>
      <c r="M27" s="568">
        <f>H27*I27*VLOOKUP(F27&amp;G27,{"AX",1;"AY",0.95;"AZ",0.85;"BX",0.95;"BY",0.85;"BZ",0.75;"CX",0.85;"CY",0.75;"CZ",0.65},2,0)+K27</f>
        <v/>
      </c>
      <c r="N27" s="569">
        <f>MAX(0,(표11[[#This Row],[적정재고]]-표11[[#This Row],[현재고]]))</f>
        <v/>
      </c>
      <c r="O27" s="314" t="n">
        <v>500</v>
      </c>
      <c r="P27" s="568">
        <f>CEILING(표11[[#This Row],[발주량]],표11[[#This Row],[MOQ]])</f>
        <v/>
      </c>
    </row>
    <row r="28">
      <c r="B28" s="158" t="inlineStr">
        <is>
          <t>ABC27</t>
        </is>
      </c>
      <c r="C28" s="327" t="n"/>
      <c r="D28" s="327" t="n"/>
      <c r="E28" s="328">
        <f>_xlfn.XLOOKUP(표11[[#This Row],[SKU코드]],'ABC-XYZ분석 (2)'!C:C,'ABC-XYZ분석 (2)'!I:I)</f>
        <v/>
      </c>
      <c r="F28" s="328">
        <f>_xlfn.XLOOKUP(표11[[#This Row],[SKU코드]],'ABC-XYZ분석 (2)'!C:C,'ABC-XYZ분석 (2)'!AC:AC)</f>
        <v/>
      </c>
      <c r="G28" s="312">
        <f>_xlfn.XLOOKUP(표11[[#This Row],[SKU코드]],'ABC-XYZ분석 (2)'!C:C,'ABC-XYZ분석 (2)'!AG:AG)</f>
        <v/>
      </c>
      <c r="H28" s="567">
        <f>SUMIF('ABC-XYZ분석 (2)'!C:C,표11[[#This Row],[SKU코드]],'ABC-XYZ분석 (2)'!X:X)/30</f>
        <v/>
      </c>
      <c r="I28" s="314" t="n">
        <v>30</v>
      </c>
      <c r="J28" s="314" t="n">
        <v>30</v>
      </c>
      <c r="K28" s="314">
        <f>SUMIF(안전재고!A:A,표11[[#This Row],[SKU코드]],안전재고!I:I)</f>
        <v/>
      </c>
      <c r="L28" s="314">
        <f>SUMIF(재고!C:C,공급물량!B28,재고!I:I)</f>
        <v/>
      </c>
      <c r="M28" s="568">
        <f>H28*I28*VLOOKUP(F28&amp;G28,{"AX",1;"AY",0.95;"AZ",0.85;"BX",0.95;"BY",0.85;"BZ",0.75;"CX",0.85;"CY",0.75;"CZ",0.65},2,0)+K28</f>
        <v/>
      </c>
      <c r="N28" s="569">
        <f>MAX(0,(표11[[#This Row],[적정재고]]-표11[[#This Row],[현재고]]))</f>
        <v/>
      </c>
      <c r="O28" s="314" t="n">
        <v>500</v>
      </c>
      <c r="P28" s="568">
        <f>CEILING(표11[[#This Row],[발주량]],표11[[#This Row],[MOQ]])</f>
        <v/>
      </c>
    </row>
    <row r="29">
      <c r="B29" s="158" t="inlineStr">
        <is>
          <t>ABC28</t>
        </is>
      </c>
      <c r="C29" s="327" t="n"/>
      <c r="D29" s="327" t="n"/>
      <c r="E29" s="328">
        <f>_xlfn.XLOOKUP(표11[[#This Row],[SKU코드]],'ABC-XYZ분석 (2)'!C:C,'ABC-XYZ분석 (2)'!I:I)</f>
        <v/>
      </c>
      <c r="F29" s="328">
        <f>_xlfn.XLOOKUP(표11[[#This Row],[SKU코드]],'ABC-XYZ분석 (2)'!C:C,'ABC-XYZ분석 (2)'!AC:AC)</f>
        <v/>
      </c>
      <c r="G29" s="312">
        <f>_xlfn.XLOOKUP(표11[[#This Row],[SKU코드]],'ABC-XYZ분석 (2)'!C:C,'ABC-XYZ분석 (2)'!AG:AG)</f>
        <v/>
      </c>
      <c r="H29" s="567">
        <f>SUMIF('ABC-XYZ분석 (2)'!C:C,표11[[#This Row],[SKU코드]],'ABC-XYZ분석 (2)'!X:X)/30</f>
        <v/>
      </c>
      <c r="I29" s="314" t="n">
        <v>30</v>
      </c>
      <c r="J29" s="314" t="n">
        <v>30</v>
      </c>
      <c r="K29" s="314">
        <f>SUMIF(안전재고!A:A,표11[[#This Row],[SKU코드]],안전재고!I:I)</f>
        <v/>
      </c>
      <c r="L29" s="314">
        <f>SUMIF(재고!C:C,공급물량!B29,재고!I:I)</f>
        <v/>
      </c>
      <c r="M29" s="568">
        <f>H29*I29*VLOOKUP(F29&amp;G29,{"AX",1;"AY",0.95;"AZ",0.85;"BX",0.95;"BY",0.85;"BZ",0.75;"CX",0.85;"CY",0.75;"CZ",0.65},2,0)+K29</f>
        <v/>
      </c>
      <c r="N29" s="569">
        <f>MAX(0,(표11[[#This Row],[적정재고]]-표11[[#This Row],[현재고]]))</f>
        <v/>
      </c>
      <c r="O29" s="314" t="n">
        <v>500</v>
      </c>
      <c r="P29" s="568">
        <f>CEILING(표11[[#This Row],[발주량]],표11[[#This Row],[MOQ]])</f>
        <v/>
      </c>
    </row>
    <row r="30">
      <c r="B30" s="158" t="inlineStr">
        <is>
          <t>ABC29</t>
        </is>
      </c>
      <c r="C30" s="327" t="n"/>
      <c r="D30" s="327" t="n"/>
      <c r="E30" s="328">
        <f>_xlfn.XLOOKUP(표11[[#This Row],[SKU코드]],'ABC-XYZ분석 (2)'!C:C,'ABC-XYZ분석 (2)'!I:I)</f>
        <v/>
      </c>
      <c r="F30" s="328">
        <f>_xlfn.XLOOKUP(표11[[#This Row],[SKU코드]],'ABC-XYZ분석 (2)'!C:C,'ABC-XYZ분석 (2)'!AC:AC)</f>
        <v/>
      </c>
      <c r="G30" s="312">
        <f>_xlfn.XLOOKUP(표11[[#This Row],[SKU코드]],'ABC-XYZ분석 (2)'!C:C,'ABC-XYZ분석 (2)'!AG:AG)</f>
        <v/>
      </c>
      <c r="H30" s="567">
        <f>SUMIF('ABC-XYZ분석 (2)'!C:C,표11[[#This Row],[SKU코드]],'ABC-XYZ분석 (2)'!X:X)/30</f>
        <v/>
      </c>
      <c r="I30" s="314" t="n">
        <v>30</v>
      </c>
      <c r="J30" s="314" t="n">
        <v>30</v>
      </c>
      <c r="K30" s="314">
        <f>SUMIF(안전재고!A:A,표11[[#This Row],[SKU코드]],안전재고!I:I)</f>
        <v/>
      </c>
      <c r="L30" s="314">
        <f>SUMIF(재고!C:C,공급물량!B30,재고!I:I)</f>
        <v/>
      </c>
      <c r="M30" s="568">
        <f>H30*I30*VLOOKUP(F30&amp;G30,{"AX",1;"AY",0.95;"AZ",0.85;"BX",0.95;"BY",0.85;"BZ",0.75;"CX",0.85;"CY",0.75;"CZ",0.65},2,0)+K30</f>
        <v/>
      </c>
      <c r="N30" s="569">
        <f>MAX(0,(표11[[#This Row],[적정재고]]-표11[[#This Row],[현재고]]))</f>
        <v/>
      </c>
      <c r="O30" s="314" t="n">
        <v>500</v>
      </c>
      <c r="P30" s="568">
        <f>CEILING(표11[[#This Row],[발주량]],표11[[#This Row],[MOQ]])</f>
        <v/>
      </c>
    </row>
    <row r="31">
      <c r="B31" s="158" t="inlineStr">
        <is>
          <t>ABC30</t>
        </is>
      </c>
      <c r="C31" s="327" t="n"/>
      <c r="D31" s="327" t="n"/>
      <c r="E31" s="328">
        <f>_xlfn.XLOOKUP(표11[[#This Row],[SKU코드]],'ABC-XYZ분석 (2)'!C:C,'ABC-XYZ분석 (2)'!I:I)</f>
        <v/>
      </c>
      <c r="F31" s="328">
        <f>_xlfn.XLOOKUP(표11[[#This Row],[SKU코드]],'ABC-XYZ분석 (2)'!C:C,'ABC-XYZ분석 (2)'!AC:AC)</f>
        <v/>
      </c>
      <c r="G31" s="312">
        <f>_xlfn.XLOOKUP(표11[[#This Row],[SKU코드]],'ABC-XYZ분석 (2)'!C:C,'ABC-XYZ분석 (2)'!AG:AG)</f>
        <v/>
      </c>
      <c r="H31" s="567">
        <f>SUMIF('ABC-XYZ분석 (2)'!C:C,표11[[#This Row],[SKU코드]],'ABC-XYZ분석 (2)'!X:X)/30</f>
        <v/>
      </c>
      <c r="I31" s="314" t="n">
        <v>30</v>
      </c>
      <c r="J31" s="314" t="n">
        <v>30</v>
      </c>
      <c r="K31" s="314">
        <f>SUMIF(안전재고!A:A,표11[[#This Row],[SKU코드]],안전재고!I:I)</f>
        <v/>
      </c>
      <c r="L31" s="314">
        <f>SUMIF(재고!C:C,공급물량!B31,재고!I:I)</f>
        <v/>
      </c>
      <c r="M31" s="568">
        <f>H31*I31*VLOOKUP(F31&amp;G31,{"AX",1;"AY",0.95;"AZ",0.85;"BX",0.95;"BY",0.85;"BZ",0.75;"CX",0.85;"CY",0.75;"CZ",0.65},2,0)+K31</f>
        <v/>
      </c>
      <c r="N31" s="569">
        <f>MAX(0,(표11[[#This Row],[적정재고]]-표11[[#This Row],[현재고]]))</f>
        <v/>
      </c>
      <c r="O31" s="314" t="n">
        <v>500</v>
      </c>
      <c r="P31" s="568">
        <f>CEILING(표11[[#This Row],[발주량]],표11[[#This Row],[MOQ]])</f>
        <v/>
      </c>
    </row>
    <row r="32">
      <c r="B32" s="158" t="inlineStr">
        <is>
          <t>ABC31</t>
        </is>
      </c>
      <c r="C32" s="327" t="n"/>
      <c r="D32" s="327" t="n"/>
      <c r="E32" s="328">
        <f>_xlfn.XLOOKUP(표11[[#This Row],[SKU코드]],'ABC-XYZ분석 (2)'!C:C,'ABC-XYZ분석 (2)'!I:I)</f>
        <v/>
      </c>
      <c r="F32" s="328">
        <f>_xlfn.XLOOKUP(표11[[#This Row],[SKU코드]],'ABC-XYZ분석 (2)'!C:C,'ABC-XYZ분석 (2)'!AC:AC)</f>
        <v/>
      </c>
      <c r="G32" s="312">
        <f>_xlfn.XLOOKUP(표11[[#This Row],[SKU코드]],'ABC-XYZ분석 (2)'!C:C,'ABC-XYZ분석 (2)'!AG:AG)</f>
        <v/>
      </c>
      <c r="H32" s="567">
        <f>SUMIF('ABC-XYZ분석 (2)'!C:C,표11[[#This Row],[SKU코드]],'ABC-XYZ분석 (2)'!X:X)/30</f>
        <v/>
      </c>
      <c r="I32" s="314" t="n">
        <v>30</v>
      </c>
      <c r="J32" s="314" t="n">
        <v>30</v>
      </c>
      <c r="K32" s="314">
        <f>SUMIF(안전재고!A:A,표11[[#This Row],[SKU코드]],안전재고!I:I)</f>
        <v/>
      </c>
      <c r="L32" s="314">
        <f>SUMIF(재고!C:C,공급물량!B32,재고!I:I)</f>
        <v/>
      </c>
      <c r="M32" s="568">
        <f>H32*I32*VLOOKUP(F32&amp;G32,{"AX",1;"AY",0.95;"AZ",0.85;"BX",0.95;"BY",0.85;"BZ",0.75;"CX",0.85;"CY",0.75;"CZ",0.65},2,0)+K32</f>
        <v/>
      </c>
      <c r="N32" s="569">
        <f>MAX(0,(표11[[#This Row],[적정재고]]-표11[[#This Row],[현재고]]))</f>
        <v/>
      </c>
      <c r="O32" s="314" t="n">
        <v>500</v>
      </c>
      <c r="P32" s="568">
        <f>CEILING(표11[[#This Row],[발주량]],표11[[#This Row],[MOQ]])</f>
        <v/>
      </c>
    </row>
    <row r="33">
      <c r="B33" s="158" t="inlineStr">
        <is>
          <t>ABC32</t>
        </is>
      </c>
      <c r="C33" s="327" t="n"/>
      <c r="D33" s="327" t="n"/>
      <c r="E33" s="328">
        <f>_xlfn.XLOOKUP(표11[[#This Row],[SKU코드]],'ABC-XYZ분석 (2)'!C:C,'ABC-XYZ분석 (2)'!I:I)</f>
        <v/>
      </c>
      <c r="F33" s="328">
        <f>_xlfn.XLOOKUP(표11[[#This Row],[SKU코드]],'ABC-XYZ분석 (2)'!C:C,'ABC-XYZ분석 (2)'!AC:AC)</f>
        <v/>
      </c>
      <c r="G33" s="312">
        <f>_xlfn.XLOOKUP(표11[[#This Row],[SKU코드]],'ABC-XYZ분석 (2)'!C:C,'ABC-XYZ분석 (2)'!AG:AG)</f>
        <v/>
      </c>
      <c r="H33" s="567">
        <f>SUMIF('ABC-XYZ분석 (2)'!C:C,표11[[#This Row],[SKU코드]],'ABC-XYZ분석 (2)'!X:X)/30</f>
        <v/>
      </c>
      <c r="I33" s="314" t="n">
        <v>30</v>
      </c>
      <c r="J33" s="314" t="n">
        <v>30</v>
      </c>
      <c r="K33" s="314">
        <f>SUMIF(안전재고!A:A,표11[[#This Row],[SKU코드]],안전재고!I:I)</f>
        <v/>
      </c>
      <c r="L33" s="314">
        <f>SUMIF(재고!C:C,공급물량!B33,재고!I:I)</f>
        <v/>
      </c>
      <c r="M33" s="568">
        <f>H33*I33*VLOOKUP(F33&amp;G33,{"AX",1;"AY",0.95;"AZ",0.85;"BX",0.95;"BY",0.85;"BZ",0.75;"CX",0.85;"CY",0.75;"CZ",0.65},2,0)+K33</f>
        <v/>
      </c>
      <c r="N33" s="569">
        <f>MAX(0,(표11[[#This Row],[적정재고]]-표11[[#This Row],[현재고]]))</f>
        <v/>
      </c>
      <c r="O33" s="314" t="n">
        <v>500</v>
      </c>
      <c r="P33" s="568">
        <f>CEILING(표11[[#This Row],[발주량]],표11[[#This Row],[MOQ]])</f>
        <v/>
      </c>
    </row>
    <row r="34">
      <c r="B34" s="158" t="inlineStr">
        <is>
          <t>ABC33</t>
        </is>
      </c>
      <c r="C34" s="327" t="n"/>
      <c r="D34" s="327" t="n"/>
      <c r="E34" s="328">
        <f>_xlfn.XLOOKUP(표11[[#This Row],[SKU코드]],'ABC-XYZ분석 (2)'!C:C,'ABC-XYZ분석 (2)'!I:I)</f>
        <v/>
      </c>
      <c r="F34" s="328">
        <f>_xlfn.XLOOKUP(표11[[#This Row],[SKU코드]],'ABC-XYZ분석 (2)'!C:C,'ABC-XYZ분석 (2)'!AC:AC)</f>
        <v/>
      </c>
      <c r="G34" s="312">
        <f>_xlfn.XLOOKUP(표11[[#This Row],[SKU코드]],'ABC-XYZ분석 (2)'!C:C,'ABC-XYZ분석 (2)'!AG:AG)</f>
        <v/>
      </c>
      <c r="H34" s="567">
        <f>SUMIF('ABC-XYZ분석 (2)'!C:C,표11[[#This Row],[SKU코드]],'ABC-XYZ분석 (2)'!X:X)/30</f>
        <v/>
      </c>
      <c r="I34" s="314" t="n">
        <v>30</v>
      </c>
      <c r="J34" s="314" t="n">
        <v>30</v>
      </c>
      <c r="K34" s="314">
        <f>SUMIF(안전재고!A:A,표11[[#This Row],[SKU코드]],안전재고!I:I)</f>
        <v/>
      </c>
      <c r="L34" s="314">
        <f>SUMIF(재고!C:C,공급물량!B34,재고!I:I)</f>
        <v/>
      </c>
      <c r="M34" s="568">
        <f>H34*I34*VLOOKUP(F34&amp;G34,{"AX",1;"AY",0.95;"AZ",0.85;"BX",0.95;"BY",0.85;"BZ",0.75;"CX",0.85;"CY",0.75;"CZ",0.65},2,0)+K34</f>
        <v/>
      </c>
      <c r="N34" s="569">
        <f>MAX(0,(표11[[#This Row],[적정재고]]-표11[[#This Row],[현재고]]))</f>
        <v/>
      </c>
      <c r="O34" s="314" t="n">
        <v>500</v>
      </c>
      <c r="P34" s="568">
        <f>CEILING(표11[[#This Row],[발주량]],표11[[#This Row],[MOQ]])</f>
        <v/>
      </c>
    </row>
    <row r="35">
      <c r="B35" s="158" t="inlineStr">
        <is>
          <t>ABC34</t>
        </is>
      </c>
      <c r="C35" s="327" t="n"/>
      <c r="D35" s="327" t="n"/>
      <c r="E35" s="328">
        <f>_xlfn.XLOOKUP(표11[[#This Row],[SKU코드]],'ABC-XYZ분석 (2)'!C:C,'ABC-XYZ분석 (2)'!I:I)</f>
        <v/>
      </c>
      <c r="F35" s="328">
        <f>_xlfn.XLOOKUP(표11[[#This Row],[SKU코드]],'ABC-XYZ분석 (2)'!C:C,'ABC-XYZ분석 (2)'!AC:AC)</f>
        <v/>
      </c>
      <c r="G35" s="312">
        <f>_xlfn.XLOOKUP(표11[[#This Row],[SKU코드]],'ABC-XYZ분석 (2)'!C:C,'ABC-XYZ분석 (2)'!AG:AG)</f>
        <v/>
      </c>
      <c r="H35" s="567">
        <f>SUMIF('ABC-XYZ분석 (2)'!C:C,표11[[#This Row],[SKU코드]],'ABC-XYZ분석 (2)'!X:X)/30</f>
        <v/>
      </c>
      <c r="I35" s="314" t="n">
        <v>30</v>
      </c>
      <c r="J35" s="314" t="n">
        <v>30</v>
      </c>
      <c r="K35" s="314">
        <f>SUMIF(안전재고!A:A,표11[[#This Row],[SKU코드]],안전재고!I:I)</f>
        <v/>
      </c>
      <c r="L35" s="314">
        <f>SUMIF(재고!C:C,공급물량!B35,재고!I:I)</f>
        <v/>
      </c>
      <c r="M35" s="568">
        <f>H35*I35*VLOOKUP(F35&amp;G35,{"AX",1;"AY",0.95;"AZ",0.85;"BX",0.95;"BY",0.85;"BZ",0.75;"CX",0.85;"CY",0.75;"CZ",0.65},2,0)+K35</f>
        <v/>
      </c>
      <c r="N35" s="569">
        <f>MAX(0,(표11[[#This Row],[적정재고]]-표11[[#This Row],[현재고]]))</f>
        <v/>
      </c>
      <c r="O35" s="314" t="n">
        <v>500</v>
      </c>
      <c r="P35" s="568">
        <f>CEILING(표11[[#This Row],[발주량]],표11[[#This Row],[MOQ]])</f>
        <v/>
      </c>
    </row>
    <row r="36">
      <c r="B36" s="158" t="inlineStr">
        <is>
          <t>ABC35</t>
        </is>
      </c>
      <c r="C36" s="327" t="n"/>
      <c r="D36" s="327" t="n"/>
      <c r="E36" s="328">
        <f>_xlfn.XLOOKUP(표11[[#This Row],[SKU코드]],'ABC-XYZ분석 (2)'!C:C,'ABC-XYZ분석 (2)'!I:I)</f>
        <v/>
      </c>
      <c r="F36" s="328">
        <f>_xlfn.XLOOKUP(표11[[#This Row],[SKU코드]],'ABC-XYZ분석 (2)'!C:C,'ABC-XYZ분석 (2)'!AC:AC)</f>
        <v/>
      </c>
      <c r="G36" s="312">
        <f>_xlfn.XLOOKUP(표11[[#This Row],[SKU코드]],'ABC-XYZ분석 (2)'!C:C,'ABC-XYZ분석 (2)'!AG:AG)</f>
        <v/>
      </c>
      <c r="H36" s="567">
        <f>SUMIF('ABC-XYZ분석 (2)'!C:C,표11[[#This Row],[SKU코드]],'ABC-XYZ분석 (2)'!X:X)/30</f>
        <v/>
      </c>
      <c r="I36" s="314" t="n">
        <v>30</v>
      </c>
      <c r="J36" s="314" t="n">
        <v>30</v>
      </c>
      <c r="K36" s="314">
        <f>SUMIF(안전재고!A:A,표11[[#This Row],[SKU코드]],안전재고!I:I)</f>
        <v/>
      </c>
      <c r="L36" s="314">
        <f>SUMIF(재고!C:C,공급물량!B36,재고!I:I)</f>
        <v/>
      </c>
      <c r="M36" s="568">
        <f>H36*I36*VLOOKUP(F36&amp;G36,{"AX",1;"AY",0.95;"AZ",0.85;"BX",0.95;"BY",0.85;"BZ",0.75;"CX",0.85;"CY",0.75;"CZ",0.65},2,0)+K36</f>
        <v/>
      </c>
      <c r="N36" s="569">
        <f>MAX(0,(표11[[#This Row],[적정재고]]-표11[[#This Row],[현재고]]))</f>
        <v/>
      </c>
      <c r="O36" s="314" t="n">
        <v>500</v>
      </c>
      <c r="P36" s="568">
        <f>CEILING(표11[[#This Row],[발주량]],표11[[#This Row],[MOQ]])</f>
        <v/>
      </c>
    </row>
    <row r="37">
      <c r="B37" s="158" t="inlineStr">
        <is>
          <t>ABC36</t>
        </is>
      </c>
      <c r="C37" s="327" t="n"/>
      <c r="D37" s="327" t="n"/>
      <c r="E37" s="328">
        <f>_xlfn.XLOOKUP(표11[[#This Row],[SKU코드]],'ABC-XYZ분석 (2)'!C:C,'ABC-XYZ분석 (2)'!I:I)</f>
        <v/>
      </c>
      <c r="F37" s="328">
        <f>_xlfn.XLOOKUP(표11[[#This Row],[SKU코드]],'ABC-XYZ분석 (2)'!C:C,'ABC-XYZ분석 (2)'!AC:AC)</f>
        <v/>
      </c>
      <c r="G37" s="312">
        <f>_xlfn.XLOOKUP(표11[[#This Row],[SKU코드]],'ABC-XYZ분석 (2)'!C:C,'ABC-XYZ분석 (2)'!AG:AG)</f>
        <v/>
      </c>
      <c r="H37" s="567">
        <f>SUMIF('ABC-XYZ분석 (2)'!C:C,표11[[#This Row],[SKU코드]],'ABC-XYZ분석 (2)'!X:X)/30</f>
        <v/>
      </c>
      <c r="I37" s="314" t="n">
        <v>30</v>
      </c>
      <c r="J37" s="314" t="n">
        <v>30</v>
      </c>
      <c r="K37" s="314">
        <f>SUMIF(안전재고!A:A,표11[[#This Row],[SKU코드]],안전재고!I:I)</f>
        <v/>
      </c>
      <c r="L37" s="314">
        <f>SUMIF(재고!C:C,공급물량!B37,재고!I:I)</f>
        <v/>
      </c>
      <c r="M37" s="568">
        <f>H37*I37*VLOOKUP(F37&amp;G37,{"AX",1;"AY",0.95;"AZ",0.85;"BX",0.95;"BY",0.85;"BZ",0.75;"CX",0.85;"CY",0.75;"CZ",0.65},2,0)+K37</f>
        <v/>
      </c>
      <c r="N37" s="569">
        <f>MAX(0,(표11[[#This Row],[적정재고]]-표11[[#This Row],[현재고]]))</f>
        <v/>
      </c>
      <c r="O37" s="314" t="n">
        <v>500</v>
      </c>
      <c r="P37" s="568">
        <f>CEILING(표11[[#This Row],[발주량]],표11[[#This Row],[MOQ]])</f>
        <v/>
      </c>
    </row>
    <row r="38">
      <c r="B38" s="158" t="inlineStr">
        <is>
          <t>ABC37</t>
        </is>
      </c>
      <c r="C38" s="327" t="n"/>
      <c r="D38" s="327" t="n"/>
      <c r="E38" s="328">
        <f>_xlfn.XLOOKUP(표11[[#This Row],[SKU코드]],'ABC-XYZ분석 (2)'!C:C,'ABC-XYZ분석 (2)'!I:I)</f>
        <v/>
      </c>
      <c r="F38" s="328">
        <f>_xlfn.XLOOKUP(표11[[#This Row],[SKU코드]],'ABC-XYZ분석 (2)'!C:C,'ABC-XYZ분석 (2)'!AC:AC)</f>
        <v/>
      </c>
      <c r="G38" s="312">
        <f>_xlfn.XLOOKUP(표11[[#This Row],[SKU코드]],'ABC-XYZ분석 (2)'!C:C,'ABC-XYZ분석 (2)'!AG:AG)</f>
        <v/>
      </c>
      <c r="H38" s="567">
        <f>SUMIF('ABC-XYZ분석 (2)'!C:C,표11[[#This Row],[SKU코드]],'ABC-XYZ분석 (2)'!X:X)/30</f>
        <v/>
      </c>
      <c r="I38" s="314" t="n">
        <v>30</v>
      </c>
      <c r="J38" s="314" t="n">
        <v>30</v>
      </c>
      <c r="K38" s="314">
        <f>SUMIF(안전재고!A:A,표11[[#This Row],[SKU코드]],안전재고!I:I)</f>
        <v/>
      </c>
      <c r="L38" s="314">
        <f>SUMIF(재고!C:C,공급물량!B38,재고!I:I)</f>
        <v/>
      </c>
      <c r="M38" s="568">
        <f>H38*I38*VLOOKUP(F38&amp;G38,{"AX",1;"AY",0.95;"AZ",0.85;"BX",0.95;"BY",0.85;"BZ",0.75;"CX",0.85;"CY",0.75;"CZ",0.65},2,0)+K38</f>
        <v/>
      </c>
      <c r="N38" s="569">
        <f>MAX(0,(표11[[#This Row],[적정재고]]-표11[[#This Row],[현재고]]))</f>
        <v/>
      </c>
      <c r="O38" s="314" t="n">
        <v>500</v>
      </c>
      <c r="P38" s="568">
        <f>CEILING(표11[[#This Row],[발주량]],표11[[#This Row],[MOQ]])</f>
        <v/>
      </c>
    </row>
    <row r="39">
      <c r="B39" s="158" t="inlineStr">
        <is>
          <t>ABC38</t>
        </is>
      </c>
      <c r="C39" s="327" t="n"/>
      <c r="D39" s="327" t="n"/>
      <c r="E39" s="328">
        <f>_xlfn.XLOOKUP(표11[[#This Row],[SKU코드]],'ABC-XYZ분석 (2)'!C:C,'ABC-XYZ분석 (2)'!I:I)</f>
        <v/>
      </c>
      <c r="F39" s="328">
        <f>_xlfn.XLOOKUP(표11[[#This Row],[SKU코드]],'ABC-XYZ분석 (2)'!C:C,'ABC-XYZ분석 (2)'!AC:AC)</f>
        <v/>
      </c>
      <c r="G39" s="312">
        <f>_xlfn.XLOOKUP(표11[[#This Row],[SKU코드]],'ABC-XYZ분석 (2)'!C:C,'ABC-XYZ분석 (2)'!AG:AG)</f>
        <v/>
      </c>
      <c r="H39" s="567">
        <f>SUMIF('ABC-XYZ분석 (2)'!C:C,표11[[#This Row],[SKU코드]],'ABC-XYZ분석 (2)'!X:X)/30</f>
        <v/>
      </c>
      <c r="I39" s="314" t="n">
        <v>30</v>
      </c>
      <c r="J39" s="314" t="n">
        <v>30</v>
      </c>
      <c r="K39" s="314">
        <f>SUMIF(안전재고!A:A,표11[[#This Row],[SKU코드]],안전재고!I:I)</f>
        <v/>
      </c>
      <c r="L39" s="314">
        <f>SUMIF(재고!C:C,공급물량!B39,재고!I:I)</f>
        <v/>
      </c>
      <c r="M39" s="568">
        <f>H39*I39*VLOOKUP(F39&amp;G39,{"AX",1;"AY",0.95;"AZ",0.85;"BX",0.95;"BY",0.85;"BZ",0.75;"CX",0.85;"CY",0.75;"CZ",0.65},2,0)+K39</f>
        <v/>
      </c>
      <c r="N39" s="569">
        <f>MAX(0,(표11[[#This Row],[적정재고]]-표11[[#This Row],[현재고]]))</f>
        <v/>
      </c>
      <c r="O39" s="314" t="n">
        <v>500</v>
      </c>
      <c r="P39" s="568">
        <f>CEILING(표11[[#This Row],[발주량]],표11[[#This Row],[MOQ]])</f>
        <v/>
      </c>
    </row>
    <row r="40">
      <c r="B40" s="158" t="inlineStr">
        <is>
          <t>ABC39</t>
        </is>
      </c>
      <c r="C40" s="327" t="n"/>
      <c r="D40" s="327" t="n"/>
      <c r="E40" s="328">
        <f>_xlfn.XLOOKUP(표11[[#This Row],[SKU코드]],'ABC-XYZ분석 (2)'!C:C,'ABC-XYZ분석 (2)'!I:I)</f>
        <v/>
      </c>
      <c r="F40" s="328">
        <f>_xlfn.XLOOKUP(표11[[#This Row],[SKU코드]],'ABC-XYZ분석 (2)'!C:C,'ABC-XYZ분석 (2)'!AC:AC)</f>
        <v/>
      </c>
      <c r="G40" s="312">
        <f>_xlfn.XLOOKUP(표11[[#This Row],[SKU코드]],'ABC-XYZ분석 (2)'!C:C,'ABC-XYZ분석 (2)'!AG:AG)</f>
        <v/>
      </c>
      <c r="H40" s="567">
        <f>SUMIF('ABC-XYZ분석 (2)'!C:C,표11[[#This Row],[SKU코드]],'ABC-XYZ분석 (2)'!X:X)/30</f>
        <v/>
      </c>
      <c r="I40" s="314" t="n">
        <v>30</v>
      </c>
      <c r="J40" s="314" t="n">
        <v>30</v>
      </c>
      <c r="K40" s="314">
        <f>SUMIF(안전재고!A:A,표11[[#This Row],[SKU코드]],안전재고!I:I)</f>
        <v/>
      </c>
      <c r="L40" s="314">
        <f>SUMIF(재고!C:C,공급물량!B40,재고!I:I)</f>
        <v/>
      </c>
      <c r="M40" s="568">
        <f>H40*I40*VLOOKUP(F40&amp;G40,{"AX",1;"AY",0.95;"AZ",0.85;"BX",0.95;"BY",0.85;"BZ",0.75;"CX",0.85;"CY",0.75;"CZ",0.65},2,0)+K40</f>
        <v/>
      </c>
      <c r="N40" s="569">
        <f>MAX(0,(표11[[#This Row],[적정재고]]-표11[[#This Row],[현재고]]))</f>
        <v/>
      </c>
      <c r="O40" s="314" t="n">
        <v>500</v>
      </c>
      <c r="P40" s="568">
        <f>CEILING(표11[[#This Row],[발주량]],표11[[#This Row],[MOQ]])</f>
        <v/>
      </c>
    </row>
    <row r="41">
      <c r="B41" s="158" t="inlineStr">
        <is>
          <t>ABC40</t>
        </is>
      </c>
      <c r="C41" s="327" t="n"/>
      <c r="D41" s="327" t="n"/>
      <c r="E41" s="328">
        <f>_xlfn.XLOOKUP(표11[[#This Row],[SKU코드]],'ABC-XYZ분석 (2)'!C:C,'ABC-XYZ분석 (2)'!I:I)</f>
        <v/>
      </c>
      <c r="F41" s="328">
        <f>_xlfn.XLOOKUP(표11[[#This Row],[SKU코드]],'ABC-XYZ분석 (2)'!C:C,'ABC-XYZ분석 (2)'!AC:AC)</f>
        <v/>
      </c>
      <c r="G41" s="312">
        <f>_xlfn.XLOOKUP(표11[[#This Row],[SKU코드]],'ABC-XYZ분석 (2)'!C:C,'ABC-XYZ분석 (2)'!AG:AG)</f>
        <v/>
      </c>
      <c r="H41" s="567">
        <f>SUMIF('ABC-XYZ분석 (2)'!C:C,표11[[#This Row],[SKU코드]],'ABC-XYZ분석 (2)'!X:X)/30</f>
        <v/>
      </c>
      <c r="I41" s="314" t="n">
        <v>30</v>
      </c>
      <c r="J41" s="314" t="n">
        <v>30</v>
      </c>
      <c r="K41" s="314">
        <f>SUMIF(안전재고!A:A,표11[[#This Row],[SKU코드]],안전재고!I:I)</f>
        <v/>
      </c>
      <c r="L41" s="314">
        <f>SUMIF(재고!C:C,공급물량!B41,재고!I:I)</f>
        <v/>
      </c>
      <c r="M41" s="568">
        <f>H41*I41*VLOOKUP(F41&amp;G41,{"AX",1;"AY",0.95;"AZ",0.85;"BX",0.95;"BY",0.85;"BZ",0.75;"CX",0.85;"CY",0.75;"CZ",0.65},2,0)+K41</f>
        <v/>
      </c>
      <c r="N41" s="569">
        <f>MAX(0,(표11[[#This Row],[적정재고]]-표11[[#This Row],[현재고]]))</f>
        <v/>
      </c>
      <c r="O41" s="314" t="n">
        <v>500</v>
      </c>
      <c r="P41" s="568">
        <f>CEILING(표11[[#This Row],[발주량]],표11[[#This Row],[MOQ]])</f>
        <v/>
      </c>
    </row>
    <row r="42">
      <c r="B42" s="158" t="inlineStr">
        <is>
          <t>ABC41</t>
        </is>
      </c>
      <c r="C42" s="327" t="n"/>
      <c r="D42" s="327" t="n"/>
      <c r="E42" s="328">
        <f>_xlfn.XLOOKUP(표11[[#This Row],[SKU코드]],'ABC-XYZ분석 (2)'!C:C,'ABC-XYZ분석 (2)'!I:I)</f>
        <v/>
      </c>
      <c r="F42" s="328">
        <f>_xlfn.XLOOKUP(표11[[#This Row],[SKU코드]],'ABC-XYZ분석 (2)'!C:C,'ABC-XYZ분석 (2)'!AC:AC)</f>
        <v/>
      </c>
      <c r="G42" s="312">
        <f>_xlfn.XLOOKUP(표11[[#This Row],[SKU코드]],'ABC-XYZ분석 (2)'!C:C,'ABC-XYZ분석 (2)'!AG:AG)</f>
        <v/>
      </c>
      <c r="H42" s="567">
        <f>SUMIF('ABC-XYZ분석 (2)'!C:C,표11[[#This Row],[SKU코드]],'ABC-XYZ분석 (2)'!X:X)/30</f>
        <v/>
      </c>
      <c r="I42" s="314" t="n">
        <v>30</v>
      </c>
      <c r="J42" s="314" t="n">
        <v>30</v>
      </c>
      <c r="K42" s="314">
        <f>SUMIF(안전재고!A:A,표11[[#This Row],[SKU코드]],안전재고!I:I)</f>
        <v/>
      </c>
      <c r="L42" s="314">
        <f>SUMIF(재고!C:C,공급물량!B42,재고!I:I)</f>
        <v/>
      </c>
      <c r="M42" s="568">
        <f>H42*I42*VLOOKUP(F42&amp;G42,{"AX",1;"AY",0.95;"AZ",0.85;"BX",0.95;"BY",0.85;"BZ",0.75;"CX",0.85;"CY",0.75;"CZ",0.65},2,0)+K42</f>
        <v/>
      </c>
      <c r="N42" s="569">
        <f>MAX(0,(표11[[#This Row],[적정재고]]-표11[[#This Row],[현재고]]))</f>
        <v/>
      </c>
      <c r="O42" s="314" t="n">
        <v>500</v>
      </c>
      <c r="P42" s="568">
        <f>CEILING(표11[[#This Row],[발주량]],표11[[#This Row],[MOQ]])</f>
        <v/>
      </c>
    </row>
    <row r="43">
      <c r="B43" s="158" t="inlineStr">
        <is>
          <t>ABC42</t>
        </is>
      </c>
      <c r="C43" s="327" t="n"/>
      <c r="D43" s="327" t="n"/>
      <c r="E43" s="328">
        <f>_xlfn.XLOOKUP(표11[[#This Row],[SKU코드]],'ABC-XYZ분석 (2)'!C:C,'ABC-XYZ분석 (2)'!I:I)</f>
        <v/>
      </c>
      <c r="F43" s="328">
        <f>_xlfn.XLOOKUP(표11[[#This Row],[SKU코드]],'ABC-XYZ분석 (2)'!C:C,'ABC-XYZ분석 (2)'!AC:AC)</f>
        <v/>
      </c>
      <c r="G43" s="312">
        <f>_xlfn.XLOOKUP(표11[[#This Row],[SKU코드]],'ABC-XYZ분석 (2)'!C:C,'ABC-XYZ분석 (2)'!AG:AG)</f>
        <v/>
      </c>
      <c r="H43" s="567">
        <f>SUMIF('ABC-XYZ분석 (2)'!C:C,표11[[#This Row],[SKU코드]],'ABC-XYZ분석 (2)'!X:X)/30</f>
        <v/>
      </c>
      <c r="I43" s="314" t="n">
        <v>30</v>
      </c>
      <c r="J43" s="314" t="n">
        <v>30</v>
      </c>
      <c r="K43" s="314">
        <f>SUMIF(안전재고!A:A,표11[[#This Row],[SKU코드]],안전재고!I:I)</f>
        <v/>
      </c>
      <c r="L43" s="314">
        <f>SUMIF(재고!C:C,공급물량!B43,재고!I:I)</f>
        <v/>
      </c>
      <c r="M43" s="568">
        <f>H43*I43*VLOOKUP(F43&amp;G43,{"AX",1;"AY",0.95;"AZ",0.85;"BX",0.95;"BY",0.85;"BZ",0.75;"CX",0.85;"CY",0.75;"CZ",0.65},2,0)+K43</f>
        <v/>
      </c>
      <c r="N43" s="569">
        <f>MAX(0,(표11[[#This Row],[적정재고]]-표11[[#This Row],[현재고]]))</f>
        <v/>
      </c>
      <c r="O43" s="314" t="n">
        <v>500</v>
      </c>
      <c r="P43" s="568">
        <f>CEILING(표11[[#This Row],[발주량]],표11[[#This Row],[MOQ]])</f>
        <v/>
      </c>
    </row>
    <row r="44">
      <c r="B44" s="158" t="inlineStr">
        <is>
          <t>ABC43</t>
        </is>
      </c>
      <c r="C44" s="327" t="n"/>
      <c r="D44" s="327" t="n"/>
      <c r="E44" s="328">
        <f>_xlfn.XLOOKUP(표11[[#This Row],[SKU코드]],'ABC-XYZ분석 (2)'!C:C,'ABC-XYZ분석 (2)'!I:I)</f>
        <v/>
      </c>
      <c r="F44" s="328">
        <f>_xlfn.XLOOKUP(표11[[#This Row],[SKU코드]],'ABC-XYZ분석 (2)'!C:C,'ABC-XYZ분석 (2)'!AC:AC)</f>
        <v/>
      </c>
      <c r="G44" s="312">
        <f>_xlfn.XLOOKUP(표11[[#This Row],[SKU코드]],'ABC-XYZ분석 (2)'!C:C,'ABC-XYZ분석 (2)'!AG:AG)</f>
        <v/>
      </c>
      <c r="H44" s="567">
        <f>SUMIF('ABC-XYZ분석 (2)'!C:C,표11[[#This Row],[SKU코드]],'ABC-XYZ분석 (2)'!X:X)/30</f>
        <v/>
      </c>
      <c r="I44" s="314" t="n">
        <v>30</v>
      </c>
      <c r="J44" s="314" t="n">
        <v>30</v>
      </c>
      <c r="K44" s="314">
        <f>SUMIF(안전재고!A:A,표11[[#This Row],[SKU코드]],안전재고!I:I)</f>
        <v/>
      </c>
      <c r="L44" s="314">
        <f>SUMIF(재고!C:C,공급물량!B44,재고!I:I)</f>
        <v/>
      </c>
      <c r="M44" s="568">
        <f>H44*I44*VLOOKUP(F44&amp;G44,{"AX",1;"AY",0.95;"AZ",0.85;"BX",0.95;"BY",0.85;"BZ",0.75;"CX",0.85;"CY",0.75;"CZ",0.65},2,0)+K44</f>
        <v/>
      </c>
      <c r="N44" s="569">
        <f>MAX(0,(표11[[#This Row],[적정재고]]-표11[[#This Row],[현재고]]))</f>
        <v/>
      </c>
      <c r="O44" s="314" t="n">
        <v>500</v>
      </c>
      <c r="P44" s="568">
        <f>CEILING(표11[[#This Row],[발주량]],표11[[#This Row],[MOQ]])</f>
        <v/>
      </c>
    </row>
    <row r="45">
      <c r="B45" s="158" t="inlineStr">
        <is>
          <t>ABC44</t>
        </is>
      </c>
      <c r="C45" s="327" t="n"/>
      <c r="D45" s="327" t="n"/>
      <c r="E45" s="328">
        <f>_xlfn.XLOOKUP(표11[[#This Row],[SKU코드]],'ABC-XYZ분석 (2)'!C:C,'ABC-XYZ분석 (2)'!I:I)</f>
        <v/>
      </c>
      <c r="F45" s="328">
        <f>_xlfn.XLOOKUP(표11[[#This Row],[SKU코드]],'ABC-XYZ분석 (2)'!C:C,'ABC-XYZ분석 (2)'!AC:AC)</f>
        <v/>
      </c>
      <c r="G45" s="312">
        <f>_xlfn.XLOOKUP(표11[[#This Row],[SKU코드]],'ABC-XYZ분석 (2)'!C:C,'ABC-XYZ분석 (2)'!AG:AG)</f>
        <v/>
      </c>
      <c r="H45" s="567">
        <f>SUMIF('ABC-XYZ분석 (2)'!C:C,표11[[#This Row],[SKU코드]],'ABC-XYZ분석 (2)'!X:X)/30</f>
        <v/>
      </c>
      <c r="I45" s="314" t="n">
        <v>30</v>
      </c>
      <c r="J45" s="314" t="n">
        <v>30</v>
      </c>
      <c r="K45" s="314">
        <f>SUMIF(안전재고!A:A,표11[[#This Row],[SKU코드]],안전재고!I:I)</f>
        <v/>
      </c>
      <c r="L45" s="314">
        <f>SUMIF(재고!C:C,공급물량!B45,재고!I:I)</f>
        <v/>
      </c>
      <c r="M45" s="568">
        <f>H45*I45*VLOOKUP(F45&amp;G45,{"AX",1;"AY",0.95;"AZ",0.85;"BX",0.95;"BY",0.85;"BZ",0.75;"CX",0.85;"CY",0.75;"CZ",0.65},2,0)+K45</f>
        <v/>
      </c>
      <c r="N45" s="569">
        <f>MAX(0,(표11[[#This Row],[적정재고]]-표11[[#This Row],[현재고]]))</f>
        <v/>
      </c>
      <c r="O45" s="314" t="n">
        <v>500</v>
      </c>
      <c r="P45" s="568">
        <f>CEILING(표11[[#This Row],[발주량]],표11[[#This Row],[MOQ]])</f>
        <v/>
      </c>
    </row>
    <row r="46">
      <c r="B46" s="158" t="inlineStr">
        <is>
          <t>ABC45</t>
        </is>
      </c>
      <c r="C46" s="327" t="n"/>
      <c r="D46" s="327" t="n"/>
      <c r="E46" s="328">
        <f>_xlfn.XLOOKUP(표11[[#This Row],[SKU코드]],'ABC-XYZ분석 (2)'!C:C,'ABC-XYZ분석 (2)'!I:I)</f>
        <v/>
      </c>
      <c r="F46" s="328">
        <f>_xlfn.XLOOKUP(표11[[#This Row],[SKU코드]],'ABC-XYZ분석 (2)'!C:C,'ABC-XYZ분석 (2)'!AC:AC)</f>
        <v/>
      </c>
      <c r="G46" s="312">
        <f>_xlfn.XLOOKUP(표11[[#This Row],[SKU코드]],'ABC-XYZ분석 (2)'!C:C,'ABC-XYZ분석 (2)'!AG:AG)</f>
        <v/>
      </c>
      <c r="H46" s="567">
        <f>SUMIF('ABC-XYZ분석 (2)'!C:C,표11[[#This Row],[SKU코드]],'ABC-XYZ분석 (2)'!X:X)/30</f>
        <v/>
      </c>
      <c r="I46" s="314" t="n">
        <v>30</v>
      </c>
      <c r="J46" s="314" t="n">
        <v>30</v>
      </c>
      <c r="K46" s="314">
        <f>SUMIF(안전재고!A:A,표11[[#This Row],[SKU코드]],안전재고!I:I)</f>
        <v/>
      </c>
      <c r="L46" s="314">
        <f>SUMIF(재고!C:C,공급물량!B46,재고!I:I)</f>
        <v/>
      </c>
      <c r="M46" s="568">
        <f>H46*I46*VLOOKUP(F46&amp;G46,{"AX",1;"AY",0.95;"AZ",0.85;"BX",0.95;"BY",0.85;"BZ",0.75;"CX",0.85;"CY",0.75;"CZ",0.65},2,0)+K46</f>
        <v/>
      </c>
      <c r="N46" s="569">
        <f>MAX(0,(표11[[#This Row],[적정재고]]-표11[[#This Row],[현재고]]))</f>
        <v/>
      </c>
      <c r="O46" s="314" t="n">
        <v>500</v>
      </c>
      <c r="P46" s="568">
        <f>CEILING(표11[[#This Row],[발주량]],표11[[#This Row],[MOQ]])</f>
        <v/>
      </c>
    </row>
    <row r="47">
      <c r="B47" s="158" t="inlineStr">
        <is>
          <t>ABC46</t>
        </is>
      </c>
      <c r="C47" s="327" t="n"/>
      <c r="D47" s="327" t="n"/>
      <c r="E47" s="328">
        <f>_xlfn.XLOOKUP(표11[[#This Row],[SKU코드]],'ABC-XYZ분석 (2)'!C:C,'ABC-XYZ분석 (2)'!I:I)</f>
        <v/>
      </c>
      <c r="F47" s="328">
        <f>_xlfn.XLOOKUP(표11[[#This Row],[SKU코드]],'ABC-XYZ분석 (2)'!C:C,'ABC-XYZ분석 (2)'!AC:AC)</f>
        <v/>
      </c>
      <c r="G47" s="312">
        <f>_xlfn.XLOOKUP(표11[[#This Row],[SKU코드]],'ABC-XYZ분석 (2)'!C:C,'ABC-XYZ분석 (2)'!AG:AG)</f>
        <v/>
      </c>
      <c r="H47" s="567">
        <f>SUMIF('ABC-XYZ분석 (2)'!C:C,표11[[#This Row],[SKU코드]],'ABC-XYZ분석 (2)'!X:X)/30</f>
        <v/>
      </c>
      <c r="I47" s="314" t="n">
        <v>30</v>
      </c>
      <c r="J47" s="314" t="n">
        <v>30</v>
      </c>
      <c r="K47" s="314">
        <f>SUMIF(안전재고!A:A,표11[[#This Row],[SKU코드]],안전재고!I:I)</f>
        <v/>
      </c>
      <c r="L47" s="314">
        <f>SUMIF(재고!C:C,공급물량!B47,재고!I:I)</f>
        <v/>
      </c>
      <c r="M47" s="568">
        <f>H47*I47*VLOOKUP(F47&amp;G47,{"AX",1;"AY",0.95;"AZ",0.85;"BX",0.95;"BY",0.85;"BZ",0.75;"CX",0.85;"CY",0.75;"CZ",0.65},2,0)+K47</f>
        <v/>
      </c>
      <c r="N47" s="569">
        <f>MAX(0,(표11[[#This Row],[적정재고]]-표11[[#This Row],[현재고]]))</f>
        <v/>
      </c>
      <c r="O47" s="314" t="n">
        <v>500</v>
      </c>
      <c r="P47" s="568">
        <f>CEILING(표11[[#This Row],[발주량]],표11[[#This Row],[MOQ]])</f>
        <v/>
      </c>
    </row>
    <row r="48">
      <c r="B48" s="158" t="inlineStr">
        <is>
          <t>ABC47</t>
        </is>
      </c>
      <c r="C48" s="327" t="n"/>
      <c r="D48" s="327" t="n"/>
      <c r="E48" s="328">
        <f>_xlfn.XLOOKUP(표11[[#This Row],[SKU코드]],'ABC-XYZ분석 (2)'!C:C,'ABC-XYZ분석 (2)'!I:I)</f>
        <v/>
      </c>
      <c r="F48" s="328">
        <f>_xlfn.XLOOKUP(표11[[#This Row],[SKU코드]],'ABC-XYZ분석 (2)'!C:C,'ABC-XYZ분석 (2)'!AC:AC)</f>
        <v/>
      </c>
      <c r="G48" s="312">
        <f>_xlfn.XLOOKUP(표11[[#This Row],[SKU코드]],'ABC-XYZ분석 (2)'!C:C,'ABC-XYZ분석 (2)'!AG:AG)</f>
        <v/>
      </c>
      <c r="H48" s="567">
        <f>SUMIF('ABC-XYZ분석 (2)'!C:C,표11[[#This Row],[SKU코드]],'ABC-XYZ분석 (2)'!X:X)/30</f>
        <v/>
      </c>
      <c r="I48" s="314" t="n">
        <v>30</v>
      </c>
      <c r="J48" s="314" t="n">
        <v>30</v>
      </c>
      <c r="K48" s="314">
        <f>SUMIF(안전재고!A:A,표11[[#This Row],[SKU코드]],안전재고!I:I)</f>
        <v/>
      </c>
      <c r="L48" s="314">
        <f>SUMIF(재고!C:C,공급물량!B48,재고!I:I)</f>
        <v/>
      </c>
      <c r="M48" s="568">
        <f>H48*I48*VLOOKUP(F48&amp;G48,{"AX",1;"AY",0.95;"AZ",0.85;"BX",0.95;"BY",0.85;"BZ",0.75;"CX",0.85;"CY",0.75;"CZ",0.65},2,0)+K48</f>
        <v/>
      </c>
      <c r="N48" s="569">
        <f>MAX(0,(표11[[#This Row],[적정재고]]-표11[[#This Row],[현재고]]))</f>
        <v/>
      </c>
      <c r="O48" s="314" t="n">
        <v>500</v>
      </c>
      <c r="P48" s="568">
        <f>CEILING(표11[[#This Row],[발주량]],표11[[#This Row],[MOQ]])</f>
        <v/>
      </c>
    </row>
    <row r="49">
      <c r="B49" s="158" t="inlineStr">
        <is>
          <t>ABC48</t>
        </is>
      </c>
      <c r="C49" s="327" t="n"/>
      <c r="D49" s="327" t="n"/>
      <c r="E49" s="328">
        <f>_xlfn.XLOOKUP(표11[[#This Row],[SKU코드]],'ABC-XYZ분석 (2)'!C:C,'ABC-XYZ분석 (2)'!I:I)</f>
        <v/>
      </c>
      <c r="F49" s="328">
        <f>_xlfn.XLOOKUP(표11[[#This Row],[SKU코드]],'ABC-XYZ분석 (2)'!C:C,'ABC-XYZ분석 (2)'!AC:AC)</f>
        <v/>
      </c>
      <c r="G49" s="312">
        <f>_xlfn.XLOOKUP(표11[[#This Row],[SKU코드]],'ABC-XYZ분석 (2)'!C:C,'ABC-XYZ분석 (2)'!AG:AG)</f>
        <v/>
      </c>
      <c r="H49" s="567">
        <f>SUMIF('ABC-XYZ분석 (2)'!C:C,표11[[#This Row],[SKU코드]],'ABC-XYZ분석 (2)'!X:X)/30</f>
        <v/>
      </c>
      <c r="I49" s="314" t="n">
        <v>30</v>
      </c>
      <c r="J49" s="314" t="n">
        <v>30</v>
      </c>
      <c r="K49" s="314">
        <f>SUMIF(안전재고!A:A,표11[[#This Row],[SKU코드]],안전재고!I:I)</f>
        <v/>
      </c>
      <c r="L49" s="314">
        <f>SUMIF(재고!C:C,공급물량!B49,재고!I:I)</f>
        <v/>
      </c>
      <c r="M49" s="568">
        <f>H49*I49*VLOOKUP(F49&amp;G49,{"AX",1;"AY",0.95;"AZ",0.85;"BX",0.95;"BY",0.85;"BZ",0.75;"CX",0.85;"CY",0.75;"CZ",0.65},2,0)+K49</f>
        <v/>
      </c>
      <c r="N49" s="569">
        <f>MAX(0,(표11[[#This Row],[적정재고]]-표11[[#This Row],[현재고]]))</f>
        <v/>
      </c>
      <c r="O49" s="314" t="n">
        <v>500</v>
      </c>
      <c r="P49" s="568">
        <f>CEILING(표11[[#This Row],[발주량]],표11[[#This Row],[MOQ]])</f>
        <v/>
      </c>
    </row>
    <row r="50">
      <c r="B50" s="158" t="inlineStr">
        <is>
          <t>ABC49</t>
        </is>
      </c>
      <c r="C50" s="327" t="n"/>
      <c r="D50" s="327" t="n"/>
      <c r="E50" s="328">
        <f>_xlfn.XLOOKUP(표11[[#This Row],[SKU코드]],'ABC-XYZ분석 (2)'!C:C,'ABC-XYZ분석 (2)'!I:I)</f>
        <v/>
      </c>
      <c r="F50" s="328">
        <f>_xlfn.XLOOKUP(표11[[#This Row],[SKU코드]],'ABC-XYZ분석 (2)'!C:C,'ABC-XYZ분석 (2)'!AC:AC)</f>
        <v/>
      </c>
      <c r="G50" s="312">
        <f>_xlfn.XLOOKUP(표11[[#This Row],[SKU코드]],'ABC-XYZ분석 (2)'!C:C,'ABC-XYZ분석 (2)'!AG:AG)</f>
        <v/>
      </c>
      <c r="H50" s="567">
        <f>SUMIF('ABC-XYZ분석 (2)'!C:C,표11[[#This Row],[SKU코드]],'ABC-XYZ분석 (2)'!X:X)/30</f>
        <v/>
      </c>
      <c r="I50" s="314" t="n">
        <v>30</v>
      </c>
      <c r="J50" s="314" t="n">
        <v>30</v>
      </c>
      <c r="K50" s="314">
        <f>SUMIF(안전재고!A:A,표11[[#This Row],[SKU코드]],안전재고!I:I)</f>
        <v/>
      </c>
      <c r="L50" s="314">
        <f>SUMIF(재고!C:C,공급물량!B50,재고!I:I)</f>
        <v/>
      </c>
      <c r="M50" s="568">
        <f>H50*I50*VLOOKUP(F50&amp;G50,{"AX",1;"AY",0.95;"AZ",0.85;"BX",0.95;"BY",0.85;"BZ",0.75;"CX",0.85;"CY",0.75;"CZ",0.65},2,0)+K50</f>
        <v/>
      </c>
      <c r="N50" s="569">
        <f>MAX(0,(표11[[#This Row],[적정재고]]-표11[[#This Row],[현재고]]))</f>
        <v/>
      </c>
      <c r="O50" s="314" t="n">
        <v>500</v>
      </c>
      <c r="P50" s="568">
        <f>CEILING(표11[[#This Row],[발주량]],표11[[#This Row],[MOQ]])</f>
        <v/>
      </c>
    </row>
    <row r="51">
      <c r="B51" s="158" t="inlineStr">
        <is>
          <t>ABC50</t>
        </is>
      </c>
      <c r="C51" s="327" t="n"/>
      <c r="D51" s="327" t="n"/>
      <c r="E51" s="328">
        <f>_xlfn.XLOOKUP(표11[[#This Row],[SKU코드]],'ABC-XYZ분석 (2)'!C:C,'ABC-XYZ분석 (2)'!I:I)</f>
        <v/>
      </c>
      <c r="F51" s="328">
        <f>_xlfn.XLOOKUP(표11[[#This Row],[SKU코드]],'ABC-XYZ분석 (2)'!C:C,'ABC-XYZ분석 (2)'!AC:AC)</f>
        <v/>
      </c>
      <c r="G51" s="312">
        <f>_xlfn.XLOOKUP(표11[[#This Row],[SKU코드]],'ABC-XYZ분석 (2)'!C:C,'ABC-XYZ분석 (2)'!AG:AG)</f>
        <v/>
      </c>
      <c r="H51" s="567">
        <f>SUMIF('ABC-XYZ분석 (2)'!C:C,표11[[#This Row],[SKU코드]],'ABC-XYZ분석 (2)'!X:X)/30</f>
        <v/>
      </c>
      <c r="I51" s="314" t="n">
        <v>30</v>
      </c>
      <c r="J51" s="314" t="n">
        <v>30</v>
      </c>
      <c r="K51" s="314">
        <f>SUMIF(안전재고!A:A,표11[[#This Row],[SKU코드]],안전재고!I:I)</f>
        <v/>
      </c>
      <c r="L51" s="314">
        <f>SUMIF(재고!C:C,공급물량!B51,재고!I:I)</f>
        <v/>
      </c>
      <c r="M51" s="568">
        <f>H51*I51*VLOOKUP(F51&amp;G51,{"AX",1;"AY",0.95;"AZ",0.85;"BX",0.95;"BY",0.85;"BZ",0.75;"CX",0.85;"CY",0.75;"CZ",0.65},2,0)+K51</f>
        <v/>
      </c>
      <c r="N51" s="569">
        <f>MAX(0,(표11[[#This Row],[적정재고]]-표11[[#This Row],[현재고]]))</f>
        <v/>
      </c>
      <c r="O51" s="314" t="n">
        <v>500</v>
      </c>
      <c r="P51" s="568">
        <f>CEILING(표11[[#This Row],[발주량]],표11[[#This Row],[MOQ]])</f>
        <v/>
      </c>
    </row>
    <row r="52">
      <c r="B52" s="158" t="inlineStr">
        <is>
          <t>ABC51</t>
        </is>
      </c>
      <c r="C52" s="327" t="n"/>
      <c r="D52" s="327" t="n"/>
      <c r="E52" s="328">
        <f>_xlfn.XLOOKUP(표11[[#This Row],[SKU코드]],'ABC-XYZ분석 (2)'!C:C,'ABC-XYZ분석 (2)'!I:I)</f>
        <v/>
      </c>
      <c r="F52" s="328">
        <f>_xlfn.XLOOKUP(표11[[#This Row],[SKU코드]],'ABC-XYZ분석 (2)'!C:C,'ABC-XYZ분석 (2)'!AC:AC)</f>
        <v/>
      </c>
      <c r="G52" s="312">
        <f>_xlfn.XLOOKUP(표11[[#This Row],[SKU코드]],'ABC-XYZ분석 (2)'!C:C,'ABC-XYZ분석 (2)'!AG:AG)</f>
        <v/>
      </c>
      <c r="H52" s="567">
        <f>SUMIF('ABC-XYZ분석 (2)'!C:C,표11[[#This Row],[SKU코드]],'ABC-XYZ분석 (2)'!X:X)/30</f>
        <v/>
      </c>
      <c r="I52" s="314" t="n">
        <v>30</v>
      </c>
      <c r="J52" s="314" t="n">
        <v>30</v>
      </c>
      <c r="K52" s="314">
        <f>SUMIF(안전재고!A:A,표11[[#This Row],[SKU코드]],안전재고!I:I)</f>
        <v/>
      </c>
      <c r="L52" s="314">
        <f>SUMIF(재고!C:C,공급물량!B52,재고!I:I)</f>
        <v/>
      </c>
      <c r="M52" s="568">
        <f>H52*I52*VLOOKUP(F52&amp;G52,{"AX",1;"AY",0.95;"AZ",0.85;"BX",0.95;"BY",0.85;"BZ",0.75;"CX",0.85;"CY",0.75;"CZ",0.65},2,0)+K52</f>
        <v/>
      </c>
      <c r="N52" s="569">
        <f>MAX(0,(표11[[#This Row],[적정재고]]-표11[[#This Row],[현재고]]))</f>
        <v/>
      </c>
      <c r="O52" s="314" t="n">
        <v>500</v>
      </c>
      <c r="P52" s="568">
        <f>CEILING(표11[[#This Row],[발주량]],표11[[#This Row],[MOQ]])</f>
        <v/>
      </c>
    </row>
    <row r="53">
      <c r="B53" s="158" t="inlineStr">
        <is>
          <t>ABC52</t>
        </is>
      </c>
      <c r="C53" s="327" t="n"/>
      <c r="D53" s="327" t="n"/>
      <c r="E53" s="328">
        <f>_xlfn.XLOOKUP(표11[[#This Row],[SKU코드]],'ABC-XYZ분석 (2)'!C:C,'ABC-XYZ분석 (2)'!I:I)</f>
        <v/>
      </c>
      <c r="F53" s="328">
        <f>_xlfn.XLOOKUP(표11[[#This Row],[SKU코드]],'ABC-XYZ분석 (2)'!C:C,'ABC-XYZ분석 (2)'!AC:AC)</f>
        <v/>
      </c>
      <c r="G53" s="312">
        <f>_xlfn.XLOOKUP(표11[[#This Row],[SKU코드]],'ABC-XYZ분석 (2)'!C:C,'ABC-XYZ분석 (2)'!AG:AG)</f>
        <v/>
      </c>
      <c r="H53" s="567">
        <f>SUMIF('ABC-XYZ분석 (2)'!C:C,표11[[#This Row],[SKU코드]],'ABC-XYZ분석 (2)'!X:X)/30</f>
        <v/>
      </c>
      <c r="I53" s="314" t="n">
        <v>30</v>
      </c>
      <c r="J53" s="314" t="n">
        <v>30</v>
      </c>
      <c r="K53" s="314">
        <f>SUMIF(안전재고!A:A,표11[[#This Row],[SKU코드]],안전재고!I:I)</f>
        <v/>
      </c>
      <c r="L53" s="314">
        <f>SUMIF(재고!C:C,공급물량!B53,재고!I:I)</f>
        <v/>
      </c>
      <c r="M53" s="568">
        <f>H53*I53*VLOOKUP(F53&amp;G53,{"AX",1;"AY",0.95;"AZ",0.85;"BX",0.95;"BY",0.85;"BZ",0.75;"CX",0.85;"CY",0.75;"CZ",0.65},2,0)+K53</f>
        <v/>
      </c>
      <c r="N53" s="569">
        <f>MAX(0,(표11[[#This Row],[적정재고]]-표11[[#This Row],[현재고]]))</f>
        <v/>
      </c>
      <c r="O53" s="314" t="n">
        <v>500</v>
      </c>
      <c r="P53" s="568">
        <f>CEILING(표11[[#This Row],[발주량]],표11[[#This Row],[MOQ]])</f>
        <v/>
      </c>
    </row>
    <row r="54">
      <c r="B54" s="158" t="inlineStr">
        <is>
          <t>ABC53</t>
        </is>
      </c>
      <c r="C54" s="327" t="n"/>
      <c r="D54" s="327" t="n"/>
      <c r="E54" s="328">
        <f>_xlfn.XLOOKUP(표11[[#This Row],[SKU코드]],'ABC-XYZ분석 (2)'!C:C,'ABC-XYZ분석 (2)'!I:I)</f>
        <v/>
      </c>
      <c r="F54" s="328">
        <f>_xlfn.XLOOKUP(표11[[#This Row],[SKU코드]],'ABC-XYZ분석 (2)'!C:C,'ABC-XYZ분석 (2)'!AC:AC)</f>
        <v/>
      </c>
      <c r="G54" s="312">
        <f>_xlfn.XLOOKUP(표11[[#This Row],[SKU코드]],'ABC-XYZ분석 (2)'!C:C,'ABC-XYZ분석 (2)'!AG:AG)</f>
        <v/>
      </c>
      <c r="H54" s="567">
        <f>SUMIF('ABC-XYZ분석 (2)'!C:C,표11[[#This Row],[SKU코드]],'ABC-XYZ분석 (2)'!X:X)/30</f>
        <v/>
      </c>
      <c r="I54" s="314" t="n">
        <v>30</v>
      </c>
      <c r="J54" s="314" t="n">
        <v>30</v>
      </c>
      <c r="K54" s="314">
        <f>SUMIF(안전재고!A:A,표11[[#This Row],[SKU코드]],안전재고!I:I)</f>
        <v/>
      </c>
      <c r="L54" s="314">
        <f>SUMIF(재고!C:C,공급물량!B54,재고!I:I)</f>
        <v/>
      </c>
      <c r="M54" s="568">
        <f>H54*I54*VLOOKUP(F54&amp;G54,{"AX",1;"AY",0.95;"AZ",0.85;"BX",0.95;"BY",0.85;"BZ",0.75;"CX",0.85;"CY",0.75;"CZ",0.65},2,0)+K54</f>
        <v/>
      </c>
      <c r="N54" s="569">
        <f>MAX(0,(표11[[#This Row],[적정재고]]-표11[[#This Row],[현재고]]))</f>
        <v/>
      </c>
      <c r="O54" s="314" t="n">
        <v>500</v>
      </c>
      <c r="P54" s="568">
        <f>CEILING(표11[[#This Row],[발주량]],표11[[#This Row],[MOQ]])</f>
        <v/>
      </c>
    </row>
    <row r="55">
      <c r="B55" s="158" t="inlineStr">
        <is>
          <t>ABC54</t>
        </is>
      </c>
      <c r="C55" s="327" t="n"/>
      <c r="D55" s="327" t="n"/>
      <c r="E55" s="328">
        <f>_xlfn.XLOOKUP(표11[[#This Row],[SKU코드]],'ABC-XYZ분석 (2)'!C:C,'ABC-XYZ분석 (2)'!I:I)</f>
        <v/>
      </c>
      <c r="F55" s="328">
        <f>_xlfn.XLOOKUP(표11[[#This Row],[SKU코드]],'ABC-XYZ분석 (2)'!C:C,'ABC-XYZ분석 (2)'!AC:AC)</f>
        <v/>
      </c>
      <c r="G55" s="312">
        <f>_xlfn.XLOOKUP(표11[[#This Row],[SKU코드]],'ABC-XYZ분석 (2)'!C:C,'ABC-XYZ분석 (2)'!AG:AG)</f>
        <v/>
      </c>
      <c r="H55" s="567">
        <f>SUMIF('ABC-XYZ분석 (2)'!C:C,표11[[#This Row],[SKU코드]],'ABC-XYZ분석 (2)'!X:X)/30</f>
        <v/>
      </c>
      <c r="I55" s="314" t="n">
        <v>30</v>
      </c>
      <c r="J55" s="314" t="n">
        <v>30</v>
      </c>
      <c r="K55" s="314">
        <f>SUMIF(안전재고!A:A,표11[[#This Row],[SKU코드]],안전재고!I:I)</f>
        <v/>
      </c>
      <c r="L55" s="314">
        <f>SUMIF(재고!C:C,공급물량!B55,재고!I:I)</f>
        <v/>
      </c>
      <c r="M55" s="568">
        <f>H55*I55*VLOOKUP(F55&amp;G55,{"AX",1;"AY",0.95;"AZ",0.85;"BX",0.95;"BY",0.85;"BZ",0.75;"CX",0.85;"CY",0.75;"CZ",0.65},2,0)+K55</f>
        <v/>
      </c>
      <c r="N55" s="569">
        <f>MAX(0,(표11[[#This Row],[적정재고]]-표11[[#This Row],[현재고]]))</f>
        <v/>
      </c>
      <c r="O55" s="314" t="n">
        <v>500</v>
      </c>
      <c r="P55" s="568">
        <f>CEILING(표11[[#This Row],[발주량]],표11[[#This Row],[MOQ]])</f>
        <v/>
      </c>
    </row>
    <row r="56">
      <c r="B56" s="158" t="inlineStr">
        <is>
          <t>ABC55</t>
        </is>
      </c>
      <c r="C56" s="327" t="n"/>
      <c r="D56" s="327" t="n"/>
      <c r="E56" s="328">
        <f>_xlfn.XLOOKUP(표11[[#This Row],[SKU코드]],'ABC-XYZ분석 (2)'!C:C,'ABC-XYZ분석 (2)'!I:I)</f>
        <v/>
      </c>
      <c r="F56" s="328">
        <f>_xlfn.XLOOKUP(표11[[#This Row],[SKU코드]],'ABC-XYZ분석 (2)'!C:C,'ABC-XYZ분석 (2)'!AC:AC)</f>
        <v/>
      </c>
      <c r="G56" s="312">
        <f>_xlfn.XLOOKUP(표11[[#This Row],[SKU코드]],'ABC-XYZ분석 (2)'!C:C,'ABC-XYZ분석 (2)'!AG:AG)</f>
        <v/>
      </c>
      <c r="H56" s="567">
        <f>SUMIF('ABC-XYZ분석 (2)'!C:C,표11[[#This Row],[SKU코드]],'ABC-XYZ분석 (2)'!X:X)/30</f>
        <v/>
      </c>
      <c r="I56" s="314" t="n">
        <v>30</v>
      </c>
      <c r="J56" s="314" t="n">
        <v>30</v>
      </c>
      <c r="K56" s="314">
        <f>SUMIF(안전재고!A:A,표11[[#This Row],[SKU코드]],안전재고!I:I)</f>
        <v/>
      </c>
      <c r="L56" s="314">
        <f>SUMIF(재고!C:C,공급물량!B56,재고!I:I)</f>
        <v/>
      </c>
      <c r="M56" s="568">
        <f>H56*I56*VLOOKUP(F56&amp;G56,{"AX",1;"AY",0.95;"AZ",0.85;"BX",0.95;"BY",0.85;"BZ",0.75;"CX",0.85;"CY",0.75;"CZ",0.65},2,0)+K56</f>
        <v/>
      </c>
      <c r="N56" s="569">
        <f>MAX(0,(표11[[#This Row],[적정재고]]-표11[[#This Row],[현재고]]))</f>
        <v/>
      </c>
      <c r="O56" s="314" t="n">
        <v>500</v>
      </c>
      <c r="P56" s="568">
        <f>CEILING(표11[[#This Row],[발주량]],표11[[#This Row],[MOQ]])</f>
        <v/>
      </c>
    </row>
    <row r="57">
      <c r="B57" s="158" t="inlineStr">
        <is>
          <t>ABC56</t>
        </is>
      </c>
      <c r="C57" s="327" t="n"/>
      <c r="D57" s="327" t="n"/>
      <c r="E57" s="328">
        <f>_xlfn.XLOOKUP(표11[[#This Row],[SKU코드]],'ABC-XYZ분석 (2)'!C:C,'ABC-XYZ분석 (2)'!I:I)</f>
        <v/>
      </c>
      <c r="F57" s="328">
        <f>_xlfn.XLOOKUP(표11[[#This Row],[SKU코드]],'ABC-XYZ분석 (2)'!C:C,'ABC-XYZ분석 (2)'!AC:AC)</f>
        <v/>
      </c>
      <c r="G57" s="312">
        <f>_xlfn.XLOOKUP(표11[[#This Row],[SKU코드]],'ABC-XYZ분석 (2)'!C:C,'ABC-XYZ분석 (2)'!AG:AG)</f>
        <v/>
      </c>
      <c r="H57" s="567">
        <f>SUMIF('ABC-XYZ분석 (2)'!C:C,표11[[#This Row],[SKU코드]],'ABC-XYZ분석 (2)'!X:X)/30</f>
        <v/>
      </c>
      <c r="I57" s="314" t="n">
        <v>30</v>
      </c>
      <c r="J57" s="314" t="n">
        <v>30</v>
      </c>
      <c r="K57" s="314">
        <f>SUMIF(안전재고!A:A,표11[[#This Row],[SKU코드]],안전재고!I:I)</f>
        <v/>
      </c>
      <c r="L57" s="314">
        <f>SUMIF(재고!C:C,공급물량!B57,재고!I:I)</f>
        <v/>
      </c>
      <c r="M57" s="568">
        <f>H57*I57*VLOOKUP(F57&amp;G57,{"AX",1;"AY",0.95;"AZ",0.85;"BX",0.95;"BY",0.85;"BZ",0.75;"CX",0.85;"CY",0.75;"CZ",0.65},2,0)+K57</f>
        <v/>
      </c>
      <c r="N57" s="569">
        <f>MAX(0,(표11[[#This Row],[적정재고]]-표11[[#This Row],[현재고]]))</f>
        <v/>
      </c>
      <c r="O57" s="314" t="n">
        <v>500</v>
      </c>
      <c r="P57" s="568">
        <f>CEILING(표11[[#This Row],[발주량]],표11[[#This Row],[MOQ]])</f>
        <v/>
      </c>
    </row>
    <row r="58">
      <c r="B58" s="158" t="inlineStr">
        <is>
          <t>ABC57</t>
        </is>
      </c>
      <c r="C58" s="327" t="n"/>
      <c r="D58" s="327" t="n"/>
      <c r="E58" s="328">
        <f>_xlfn.XLOOKUP(표11[[#This Row],[SKU코드]],'ABC-XYZ분석 (2)'!C:C,'ABC-XYZ분석 (2)'!I:I)</f>
        <v/>
      </c>
      <c r="F58" s="328">
        <f>_xlfn.XLOOKUP(표11[[#This Row],[SKU코드]],'ABC-XYZ분석 (2)'!C:C,'ABC-XYZ분석 (2)'!AC:AC)</f>
        <v/>
      </c>
      <c r="G58" s="312">
        <f>_xlfn.XLOOKUP(표11[[#This Row],[SKU코드]],'ABC-XYZ분석 (2)'!C:C,'ABC-XYZ분석 (2)'!AG:AG)</f>
        <v/>
      </c>
      <c r="H58" s="567">
        <f>SUMIF('ABC-XYZ분석 (2)'!C:C,표11[[#This Row],[SKU코드]],'ABC-XYZ분석 (2)'!X:X)/30</f>
        <v/>
      </c>
      <c r="I58" s="314" t="n">
        <v>30</v>
      </c>
      <c r="J58" s="314" t="n">
        <v>30</v>
      </c>
      <c r="K58" s="314">
        <f>SUMIF(안전재고!A:A,표11[[#This Row],[SKU코드]],안전재고!I:I)</f>
        <v/>
      </c>
      <c r="L58" s="314">
        <f>SUMIF(재고!C:C,공급물량!B58,재고!I:I)</f>
        <v/>
      </c>
      <c r="M58" s="568">
        <f>H58*I58*VLOOKUP(F58&amp;G58,{"AX",1;"AY",0.95;"AZ",0.85;"BX",0.95;"BY",0.85;"BZ",0.75;"CX",0.85;"CY",0.75;"CZ",0.65},2,0)+K58</f>
        <v/>
      </c>
      <c r="N58" s="569">
        <f>MAX(0,(표11[[#This Row],[적정재고]]-표11[[#This Row],[현재고]]))</f>
        <v/>
      </c>
      <c r="O58" s="314" t="n">
        <v>500</v>
      </c>
      <c r="P58" s="568">
        <f>CEILING(표11[[#This Row],[발주량]],표11[[#This Row],[MOQ]])</f>
        <v/>
      </c>
    </row>
    <row r="59">
      <c r="B59" s="158" t="inlineStr">
        <is>
          <t>ABC58</t>
        </is>
      </c>
      <c r="C59" s="327" t="n"/>
      <c r="D59" s="327" t="n"/>
      <c r="E59" s="328">
        <f>_xlfn.XLOOKUP(표11[[#This Row],[SKU코드]],'ABC-XYZ분석 (2)'!C:C,'ABC-XYZ분석 (2)'!I:I)</f>
        <v/>
      </c>
      <c r="F59" s="328">
        <f>_xlfn.XLOOKUP(표11[[#This Row],[SKU코드]],'ABC-XYZ분석 (2)'!C:C,'ABC-XYZ분석 (2)'!AC:AC)</f>
        <v/>
      </c>
      <c r="G59" s="312">
        <f>_xlfn.XLOOKUP(표11[[#This Row],[SKU코드]],'ABC-XYZ분석 (2)'!C:C,'ABC-XYZ분석 (2)'!AG:AG)</f>
        <v/>
      </c>
      <c r="H59" s="567">
        <f>SUMIF('ABC-XYZ분석 (2)'!C:C,표11[[#This Row],[SKU코드]],'ABC-XYZ분석 (2)'!X:X)/30</f>
        <v/>
      </c>
      <c r="I59" s="314" t="n">
        <v>30</v>
      </c>
      <c r="J59" s="314" t="n">
        <v>30</v>
      </c>
      <c r="K59" s="314">
        <f>SUMIF(안전재고!A:A,표11[[#This Row],[SKU코드]],안전재고!I:I)</f>
        <v/>
      </c>
      <c r="L59" s="314">
        <f>SUMIF(재고!C:C,공급물량!B59,재고!I:I)</f>
        <v/>
      </c>
      <c r="M59" s="568">
        <f>H59*I59*VLOOKUP(F59&amp;G59,{"AX",1;"AY",0.95;"AZ",0.85;"BX",0.95;"BY",0.85;"BZ",0.75;"CX",0.85;"CY",0.75;"CZ",0.65},2,0)+K59</f>
        <v/>
      </c>
      <c r="N59" s="569">
        <f>MAX(0,(표11[[#This Row],[적정재고]]-표11[[#This Row],[현재고]]))</f>
        <v/>
      </c>
      <c r="O59" s="314" t="n">
        <v>500</v>
      </c>
      <c r="P59" s="568">
        <f>CEILING(표11[[#This Row],[발주량]],표11[[#This Row],[MOQ]])</f>
        <v/>
      </c>
    </row>
    <row r="60">
      <c r="B60" s="158" t="inlineStr">
        <is>
          <t>ABC59</t>
        </is>
      </c>
      <c r="C60" s="327" t="n"/>
      <c r="D60" s="327" t="n"/>
      <c r="E60" s="328">
        <f>_xlfn.XLOOKUP(표11[[#This Row],[SKU코드]],'ABC-XYZ분석 (2)'!C:C,'ABC-XYZ분석 (2)'!I:I)</f>
        <v/>
      </c>
      <c r="F60" s="328">
        <f>_xlfn.XLOOKUP(표11[[#This Row],[SKU코드]],'ABC-XYZ분석 (2)'!C:C,'ABC-XYZ분석 (2)'!AC:AC)</f>
        <v/>
      </c>
      <c r="G60" s="312">
        <f>_xlfn.XLOOKUP(표11[[#This Row],[SKU코드]],'ABC-XYZ분석 (2)'!C:C,'ABC-XYZ분석 (2)'!AG:AG)</f>
        <v/>
      </c>
      <c r="H60" s="567">
        <f>SUMIF('ABC-XYZ분석 (2)'!C:C,표11[[#This Row],[SKU코드]],'ABC-XYZ분석 (2)'!X:X)/30</f>
        <v/>
      </c>
      <c r="I60" s="314" t="n">
        <v>30</v>
      </c>
      <c r="J60" s="314" t="n">
        <v>30</v>
      </c>
      <c r="K60" s="314">
        <f>SUMIF(안전재고!A:A,표11[[#This Row],[SKU코드]],안전재고!I:I)</f>
        <v/>
      </c>
      <c r="L60" s="314">
        <f>SUMIF(재고!C:C,공급물량!B60,재고!I:I)</f>
        <v/>
      </c>
      <c r="M60" s="568">
        <f>H60*I60*VLOOKUP(F60&amp;G60,{"AX",1;"AY",0.95;"AZ",0.85;"BX",0.95;"BY",0.85;"BZ",0.75;"CX",0.85;"CY",0.75;"CZ",0.65},2,0)+K60</f>
        <v/>
      </c>
      <c r="N60" s="569">
        <f>MAX(0,(표11[[#This Row],[적정재고]]-표11[[#This Row],[현재고]]))</f>
        <v/>
      </c>
      <c r="O60" s="314" t="n">
        <v>500</v>
      </c>
      <c r="P60" s="568">
        <f>CEILING(표11[[#This Row],[발주량]],표11[[#This Row],[MOQ]])</f>
        <v/>
      </c>
    </row>
    <row r="61">
      <c r="B61" s="158" t="inlineStr">
        <is>
          <t>ABC60</t>
        </is>
      </c>
      <c r="C61" s="327" t="n"/>
      <c r="D61" s="327" t="n"/>
      <c r="E61" s="328">
        <f>_xlfn.XLOOKUP(표11[[#This Row],[SKU코드]],'ABC-XYZ분석 (2)'!C:C,'ABC-XYZ분석 (2)'!I:I)</f>
        <v/>
      </c>
      <c r="F61" s="328">
        <f>_xlfn.XLOOKUP(표11[[#This Row],[SKU코드]],'ABC-XYZ분석 (2)'!C:C,'ABC-XYZ분석 (2)'!AC:AC)</f>
        <v/>
      </c>
      <c r="G61" s="312">
        <f>_xlfn.XLOOKUP(표11[[#This Row],[SKU코드]],'ABC-XYZ분석 (2)'!C:C,'ABC-XYZ분석 (2)'!AG:AG)</f>
        <v/>
      </c>
      <c r="H61" s="567">
        <f>SUMIF('ABC-XYZ분석 (2)'!C:C,표11[[#This Row],[SKU코드]],'ABC-XYZ분석 (2)'!X:X)/30</f>
        <v/>
      </c>
      <c r="I61" s="314" t="n">
        <v>30</v>
      </c>
      <c r="J61" s="314" t="n">
        <v>30</v>
      </c>
      <c r="K61" s="314">
        <f>SUMIF(안전재고!A:A,표11[[#This Row],[SKU코드]],안전재고!I:I)</f>
        <v/>
      </c>
      <c r="L61" s="314">
        <f>SUMIF(재고!C:C,공급물량!B61,재고!I:I)</f>
        <v/>
      </c>
      <c r="M61" s="568">
        <f>H61*I61*VLOOKUP(F61&amp;G61,{"AX",1;"AY",0.95;"AZ",0.85;"BX",0.95;"BY",0.85;"BZ",0.75;"CX",0.85;"CY",0.75;"CZ",0.65},2,0)+K61</f>
        <v/>
      </c>
      <c r="N61" s="569">
        <f>MAX(0,(표11[[#This Row],[적정재고]]-표11[[#This Row],[현재고]]))</f>
        <v/>
      </c>
      <c r="O61" s="314" t="n">
        <v>500</v>
      </c>
      <c r="P61" s="568">
        <f>CEILING(표11[[#This Row],[발주량]],표11[[#This Row],[MOQ]])</f>
        <v/>
      </c>
    </row>
    <row r="62">
      <c r="B62" s="158" t="inlineStr">
        <is>
          <t>ABC61</t>
        </is>
      </c>
      <c r="C62" s="327" t="n"/>
      <c r="D62" s="327" t="n"/>
      <c r="E62" s="328">
        <f>_xlfn.XLOOKUP(표11[[#This Row],[SKU코드]],'ABC-XYZ분석 (2)'!C:C,'ABC-XYZ분석 (2)'!I:I)</f>
        <v/>
      </c>
      <c r="F62" s="328">
        <f>_xlfn.XLOOKUP(표11[[#This Row],[SKU코드]],'ABC-XYZ분석 (2)'!C:C,'ABC-XYZ분석 (2)'!AC:AC)</f>
        <v/>
      </c>
      <c r="G62" s="312">
        <f>_xlfn.XLOOKUP(표11[[#This Row],[SKU코드]],'ABC-XYZ분석 (2)'!C:C,'ABC-XYZ분석 (2)'!AG:AG)</f>
        <v/>
      </c>
      <c r="H62" s="567">
        <f>SUMIF('ABC-XYZ분석 (2)'!C:C,표11[[#This Row],[SKU코드]],'ABC-XYZ분석 (2)'!X:X)/30</f>
        <v/>
      </c>
      <c r="I62" s="314" t="n">
        <v>30</v>
      </c>
      <c r="J62" s="314" t="n">
        <v>30</v>
      </c>
      <c r="K62" s="314">
        <f>SUMIF(안전재고!A:A,표11[[#This Row],[SKU코드]],안전재고!I:I)</f>
        <v/>
      </c>
      <c r="L62" s="314">
        <f>SUMIF(재고!C:C,공급물량!B62,재고!I:I)</f>
        <v/>
      </c>
      <c r="M62" s="568">
        <f>H62*I62*VLOOKUP(F62&amp;G62,{"AX",1;"AY",0.95;"AZ",0.85;"BX",0.95;"BY",0.85;"BZ",0.75;"CX",0.85;"CY",0.75;"CZ",0.65},2,0)+K62</f>
        <v/>
      </c>
      <c r="N62" s="569">
        <f>MAX(0,(표11[[#This Row],[적정재고]]-표11[[#This Row],[현재고]]))</f>
        <v/>
      </c>
      <c r="O62" s="314" t="n">
        <v>500</v>
      </c>
      <c r="P62" s="568">
        <f>CEILING(표11[[#This Row],[발주량]],표11[[#This Row],[MOQ]])</f>
        <v/>
      </c>
    </row>
    <row r="63">
      <c r="B63" s="158" t="inlineStr">
        <is>
          <t>ABC62</t>
        </is>
      </c>
      <c r="C63" s="327" t="n"/>
      <c r="D63" s="327" t="n"/>
      <c r="E63" s="328">
        <f>_xlfn.XLOOKUP(표11[[#This Row],[SKU코드]],'ABC-XYZ분석 (2)'!C:C,'ABC-XYZ분석 (2)'!I:I)</f>
        <v/>
      </c>
      <c r="F63" s="328">
        <f>_xlfn.XLOOKUP(표11[[#This Row],[SKU코드]],'ABC-XYZ분석 (2)'!C:C,'ABC-XYZ분석 (2)'!AC:AC)</f>
        <v/>
      </c>
      <c r="G63" s="312">
        <f>_xlfn.XLOOKUP(표11[[#This Row],[SKU코드]],'ABC-XYZ분석 (2)'!C:C,'ABC-XYZ분석 (2)'!AG:AG)</f>
        <v/>
      </c>
      <c r="H63" s="567">
        <f>SUMIF('ABC-XYZ분석 (2)'!C:C,표11[[#This Row],[SKU코드]],'ABC-XYZ분석 (2)'!X:X)/30</f>
        <v/>
      </c>
      <c r="I63" s="314" t="n">
        <v>30</v>
      </c>
      <c r="J63" s="314" t="n">
        <v>30</v>
      </c>
      <c r="K63" s="314">
        <f>SUMIF(안전재고!A:A,표11[[#This Row],[SKU코드]],안전재고!I:I)</f>
        <v/>
      </c>
      <c r="L63" s="314">
        <f>SUMIF(재고!C:C,공급물량!B63,재고!I:I)</f>
        <v/>
      </c>
      <c r="M63" s="568">
        <f>H63*I63*VLOOKUP(F63&amp;G63,{"AX",1;"AY",0.95;"AZ",0.85;"BX",0.95;"BY",0.85;"BZ",0.75;"CX",0.85;"CY",0.75;"CZ",0.65},2,0)+K63</f>
        <v/>
      </c>
      <c r="N63" s="569">
        <f>MAX(0,(표11[[#This Row],[적정재고]]-표11[[#This Row],[현재고]]))</f>
        <v/>
      </c>
      <c r="O63" s="314" t="n">
        <v>500</v>
      </c>
      <c r="P63" s="568">
        <f>CEILING(표11[[#This Row],[발주량]],표11[[#This Row],[MOQ]])</f>
        <v/>
      </c>
    </row>
    <row r="64">
      <c r="B64" s="158" t="inlineStr">
        <is>
          <t>ABC63</t>
        </is>
      </c>
      <c r="C64" s="327" t="n"/>
      <c r="D64" s="327" t="n"/>
      <c r="E64" s="328">
        <f>_xlfn.XLOOKUP(표11[[#This Row],[SKU코드]],'ABC-XYZ분석 (2)'!C:C,'ABC-XYZ분석 (2)'!I:I)</f>
        <v/>
      </c>
      <c r="F64" s="328">
        <f>_xlfn.XLOOKUP(표11[[#This Row],[SKU코드]],'ABC-XYZ분석 (2)'!C:C,'ABC-XYZ분석 (2)'!AC:AC)</f>
        <v/>
      </c>
      <c r="G64" s="312">
        <f>_xlfn.XLOOKUP(표11[[#This Row],[SKU코드]],'ABC-XYZ분석 (2)'!C:C,'ABC-XYZ분석 (2)'!AG:AG)</f>
        <v/>
      </c>
      <c r="H64" s="567">
        <f>SUMIF('ABC-XYZ분석 (2)'!C:C,표11[[#This Row],[SKU코드]],'ABC-XYZ분석 (2)'!X:X)/30</f>
        <v/>
      </c>
      <c r="I64" s="314" t="n">
        <v>30</v>
      </c>
      <c r="J64" s="314" t="n">
        <v>30</v>
      </c>
      <c r="K64" s="314">
        <f>SUMIF(안전재고!A:A,표11[[#This Row],[SKU코드]],안전재고!I:I)</f>
        <v/>
      </c>
      <c r="L64" s="314">
        <f>SUMIF(재고!C:C,공급물량!B64,재고!I:I)</f>
        <v/>
      </c>
      <c r="M64" s="568">
        <f>H64*I64*VLOOKUP(F64&amp;G64,{"AX",1;"AY",0.95;"AZ",0.85;"BX",0.95;"BY",0.85;"BZ",0.75;"CX",0.85;"CY",0.75;"CZ",0.65},2,0)+K64</f>
        <v/>
      </c>
      <c r="N64" s="569">
        <f>MAX(0,(표11[[#This Row],[적정재고]]-표11[[#This Row],[현재고]]))</f>
        <v/>
      </c>
      <c r="O64" s="314" t="n">
        <v>500</v>
      </c>
      <c r="P64" s="568">
        <f>CEILING(표11[[#This Row],[발주량]],표11[[#This Row],[MOQ]])</f>
        <v/>
      </c>
    </row>
    <row r="65">
      <c r="B65" s="158" t="inlineStr">
        <is>
          <t>ABC64</t>
        </is>
      </c>
      <c r="C65" s="327" t="n"/>
      <c r="D65" s="327" t="n"/>
      <c r="E65" s="328">
        <f>_xlfn.XLOOKUP(표11[[#This Row],[SKU코드]],'ABC-XYZ분석 (2)'!C:C,'ABC-XYZ분석 (2)'!I:I)</f>
        <v/>
      </c>
      <c r="F65" s="328">
        <f>_xlfn.XLOOKUP(표11[[#This Row],[SKU코드]],'ABC-XYZ분석 (2)'!C:C,'ABC-XYZ분석 (2)'!AC:AC)</f>
        <v/>
      </c>
      <c r="G65" s="312">
        <f>_xlfn.XLOOKUP(표11[[#This Row],[SKU코드]],'ABC-XYZ분석 (2)'!C:C,'ABC-XYZ분석 (2)'!AG:AG)</f>
        <v/>
      </c>
      <c r="H65" s="567">
        <f>SUMIF('ABC-XYZ분석 (2)'!C:C,표11[[#This Row],[SKU코드]],'ABC-XYZ분석 (2)'!X:X)/30</f>
        <v/>
      </c>
      <c r="I65" s="314" t="n">
        <v>30</v>
      </c>
      <c r="J65" s="314" t="n">
        <v>30</v>
      </c>
      <c r="K65" s="314">
        <f>SUMIF(안전재고!A:A,표11[[#This Row],[SKU코드]],안전재고!I:I)</f>
        <v/>
      </c>
      <c r="L65" s="314">
        <f>SUMIF(재고!C:C,공급물량!B65,재고!I:I)</f>
        <v/>
      </c>
      <c r="M65" s="568">
        <f>H65*I65*VLOOKUP(F65&amp;G65,{"AX",1;"AY",0.95;"AZ",0.85;"BX",0.95;"BY",0.85;"BZ",0.75;"CX",0.85;"CY",0.75;"CZ",0.65},2,0)+K65</f>
        <v/>
      </c>
      <c r="N65" s="569">
        <f>MAX(0,(표11[[#This Row],[적정재고]]-표11[[#This Row],[현재고]]))</f>
        <v/>
      </c>
      <c r="O65" s="314" t="n">
        <v>500</v>
      </c>
      <c r="P65" s="568">
        <f>CEILING(표11[[#This Row],[발주량]],표11[[#This Row],[MOQ]])</f>
        <v/>
      </c>
    </row>
    <row r="66">
      <c r="B66" s="158" t="inlineStr">
        <is>
          <t>ABC65</t>
        </is>
      </c>
      <c r="C66" s="327" t="n"/>
      <c r="D66" s="327" t="n"/>
      <c r="E66" s="328">
        <f>_xlfn.XLOOKUP(표11[[#This Row],[SKU코드]],'ABC-XYZ분석 (2)'!C:C,'ABC-XYZ분석 (2)'!I:I)</f>
        <v/>
      </c>
      <c r="F66" s="328">
        <f>_xlfn.XLOOKUP(표11[[#This Row],[SKU코드]],'ABC-XYZ분석 (2)'!C:C,'ABC-XYZ분석 (2)'!AC:AC)</f>
        <v/>
      </c>
      <c r="G66" s="312">
        <f>_xlfn.XLOOKUP(표11[[#This Row],[SKU코드]],'ABC-XYZ분석 (2)'!C:C,'ABC-XYZ분석 (2)'!AG:AG)</f>
        <v/>
      </c>
      <c r="H66" s="567">
        <f>SUMIF('ABC-XYZ분석 (2)'!C:C,표11[[#This Row],[SKU코드]],'ABC-XYZ분석 (2)'!X:X)/30</f>
        <v/>
      </c>
      <c r="I66" s="314" t="n">
        <v>30</v>
      </c>
      <c r="J66" s="314" t="n">
        <v>30</v>
      </c>
      <c r="K66" s="314">
        <f>SUMIF(안전재고!A:A,표11[[#This Row],[SKU코드]],안전재고!I:I)</f>
        <v/>
      </c>
      <c r="L66" s="314">
        <f>SUMIF(재고!C:C,공급물량!B66,재고!I:I)</f>
        <v/>
      </c>
      <c r="M66" s="568">
        <f>H66*I66*VLOOKUP(F66&amp;G66,{"AX",1;"AY",0.95;"AZ",0.85;"BX",0.95;"BY",0.85;"BZ",0.75;"CX",0.85;"CY",0.75;"CZ",0.65},2,0)+K66</f>
        <v/>
      </c>
      <c r="N66" s="569">
        <f>MAX(0,(표11[[#This Row],[적정재고]]-표11[[#This Row],[현재고]]))</f>
        <v/>
      </c>
      <c r="O66" s="314" t="n">
        <v>500</v>
      </c>
      <c r="P66" s="568">
        <f>CEILING(표11[[#This Row],[발주량]],표11[[#This Row],[MOQ]])</f>
        <v/>
      </c>
    </row>
    <row r="67">
      <c r="B67" s="158" t="inlineStr">
        <is>
          <t>ABC66</t>
        </is>
      </c>
      <c r="C67" s="327" t="n"/>
      <c r="D67" s="327" t="n"/>
      <c r="E67" s="328">
        <f>_xlfn.XLOOKUP(표11[[#This Row],[SKU코드]],'ABC-XYZ분석 (2)'!C:C,'ABC-XYZ분석 (2)'!I:I)</f>
        <v/>
      </c>
      <c r="F67" s="328">
        <f>_xlfn.XLOOKUP(표11[[#This Row],[SKU코드]],'ABC-XYZ분석 (2)'!C:C,'ABC-XYZ분석 (2)'!AC:AC)</f>
        <v/>
      </c>
      <c r="G67" s="312">
        <f>_xlfn.XLOOKUP(표11[[#This Row],[SKU코드]],'ABC-XYZ분석 (2)'!C:C,'ABC-XYZ분석 (2)'!AG:AG)</f>
        <v/>
      </c>
      <c r="H67" s="567">
        <f>SUMIF('ABC-XYZ분석 (2)'!C:C,표11[[#This Row],[SKU코드]],'ABC-XYZ분석 (2)'!X:X)/30</f>
        <v/>
      </c>
      <c r="I67" s="314" t="n">
        <v>30</v>
      </c>
      <c r="J67" s="314" t="n">
        <v>30</v>
      </c>
      <c r="K67" s="314">
        <f>SUMIF(안전재고!A:A,표11[[#This Row],[SKU코드]],안전재고!I:I)</f>
        <v/>
      </c>
      <c r="L67" s="314">
        <f>SUMIF(재고!C:C,공급물량!B67,재고!I:I)</f>
        <v/>
      </c>
      <c r="M67" s="568">
        <f>H67*I67*VLOOKUP(F67&amp;G67,{"AX",1;"AY",0.95;"AZ",0.85;"BX",0.95;"BY",0.85;"BZ",0.75;"CX",0.85;"CY",0.75;"CZ",0.65},2,0)+K67</f>
        <v/>
      </c>
      <c r="N67" s="569">
        <f>MAX(0,(표11[[#This Row],[적정재고]]-표11[[#This Row],[현재고]]))</f>
        <v/>
      </c>
      <c r="O67" s="314" t="n">
        <v>500</v>
      </c>
      <c r="P67" s="568">
        <f>CEILING(표11[[#This Row],[발주량]],표11[[#This Row],[MOQ]])</f>
        <v/>
      </c>
    </row>
    <row r="68">
      <c r="B68" s="158" t="inlineStr">
        <is>
          <t>ABC67</t>
        </is>
      </c>
      <c r="C68" s="327" t="n"/>
      <c r="D68" s="327" t="n"/>
      <c r="E68" s="328">
        <f>_xlfn.XLOOKUP(표11[[#This Row],[SKU코드]],'ABC-XYZ분석 (2)'!C:C,'ABC-XYZ분석 (2)'!I:I)</f>
        <v/>
      </c>
      <c r="F68" s="328">
        <f>_xlfn.XLOOKUP(표11[[#This Row],[SKU코드]],'ABC-XYZ분석 (2)'!C:C,'ABC-XYZ분석 (2)'!AC:AC)</f>
        <v/>
      </c>
      <c r="G68" s="312">
        <f>_xlfn.XLOOKUP(표11[[#This Row],[SKU코드]],'ABC-XYZ분석 (2)'!C:C,'ABC-XYZ분석 (2)'!AG:AG)</f>
        <v/>
      </c>
      <c r="H68" s="567">
        <f>SUMIF('ABC-XYZ분석 (2)'!C:C,표11[[#This Row],[SKU코드]],'ABC-XYZ분석 (2)'!X:X)/30</f>
        <v/>
      </c>
      <c r="I68" s="314" t="n">
        <v>30</v>
      </c>
      <c r="J68" s="314" t="n">
        <v>30</v>
      </c>
      <c r="K68" s="314">
        <f>SUMIF(안전재고!A:A,표11[[#This Row],[SKU코드]],안전재고!I:I)</f>
        <v/>
      </c>
      <c r="L68" s="314">
        <f>SUMIF(재고!C:C,공급물량!B68,재고!I:I)</f>
        <v/>
      </c>
      <c r="M68" s="568">
        <f>H68*I68*VLOOKUP(F68&amp;G68,{"AX",1;"AY",0.95;"AZ",0.85;"BX",0.95;"BY",0.85;"BZ",0.75;"CX",0.85;"CY",0.75;"CZ",0.65},2,0)+K68</f>
        <v/>
      </c>
      <c r="N68" s="569">
        <f>MAX(0,(표11[[#This Row],[적정재고]]-표11[[#This Row],[현재고]]))</f>
        <v/>
      </c>
      <c r="O68" s="314" t="n">
        <v>500</v>
      </c>
      <c r="P68" s="568">
        <f>CEILING(표11[[#This Row],[발주량]],표11[[#This Row],[MOQ]])</f>
        <v/>
      </c>
    </row>
    <row r="69">
      <c r="B69" s="158" t="inlineStr">
        <is>
          <t>ABC68</t>
        </is>
      </c>
      <c r="C69" s="327" t="n"/>
      <c r="D69" s="327" t="n"/>
      <c r="E69" s="328">
        <f>_xlfn.XLOOKUP(표11[[#This Row],[SKU코드]],'ABC-XYZ분석 (2)'!C:C,'ABC-XYZ분석 (2)'!I:I)</f>
        <v/>
      </c>
      <c r="F69" s="328">
        <f>_xlfn.XLOOKUP(표11[[#This Row],[SKU코드]],'ABC-XYZ분석 (2)'!C:C,'ABC-XYZ분석 (2)'!AC:AC)</f>
        <v/>
      </c>
      <c r="G69" s="312">
        <f>_xlfn.XLOOKUP(표11[[#This Row],[SKU코드]],'ABC-XYZ분석 (2)'!C:C,'ABC-XYZ분석 (2)'!AG:AG)</f>
        <v/>
      </c>
      <c r="H69" s="567">
        <f>SUMIF('ABC-XYZ분석 (2)'!C:C,표11[[#This Row],[SKU코드]],'ABC-XYZ분석 (2)'!X:X)/30</f>
        <v/>
      </c>
      <c r="I69" s="314" t="n">
        <v>30</v>
      </c>
      <c r="J69" s="314" t="n">
        <v>30</v>
      </c>
      <c r="K69" s="314">
        <f>SUMIF(안전재고!A:A,표11[[#This Row],[SKU코드]],안전재고!I:I)</f>
        <v/>
      </c>
      <c r="L69" s="314">
        <f>SUMIF(재고!C:C,공급물량!B69,재고!I:I)</f>
        <v/>
      </c>
      <c r="M69" s="568">
        <f>H69*I69*VLOOKUP(F69&amp;G69,{"AX",1;"AY",0.95;"AZ",0.85;"BX",0.95;"BY",0.85;"BZ",0.75;"CX",0.85;"CY",0.75;"CZ",0.65},2,0)+K69</f>
        <v/>
      </c>
      <c r="N69" s="569">
        <f>MAX(0,(표11[[#This Row],[적정재고]]-표11[[#This Row],[현재고]]))</f>
        <v/>
      </c>
      <c r="O69" s="314" t="n">
        <v>500</v>
      </c>
      <c r="P69" s="568">
        <f>CEILING(표11[[#This Row],[발주량]],표11[[#This Row],[MOQ]])</f>
        <v/>
      </c>
    </row>
    <row r="70">
      <c r="B70" s="158" t="inlineStr">
        <is>
          <t>ABC69</t>
        </is>
      </c>
      <c r="C70" s="327" t="n"/>
      <c r="D70" s="327" t="n"/>
      <c r="E70" s="328">
        <f>_xlfn.XLOOKUP(표11[[#This Row],[SKU코드]],'ABC-XYZ분석 (2)'!C:C,'ABC-XYZ분석 (2)'!I:I)</f>
        <v/>
      </c>
      <c r="F70" s="328">
        <f>_xlfn.XLOOKUP(표11[[#This Row],[SKU코드]],'ABC-XYZ분석 (2)'!C:C,'ABC-XYZ분석 (2)'!AC:AC)</f>
        <v/>
      </c>
      <c r="G70" s="312">
        <f>_xlfn.XLOOKUP(표11[[#This Row],[SKU코드]],'ABC-XYZ분석 (2)'!C:C,'ABC-XYZ분석 (2)'!AG:AG)</f>
        <v/>
      </c>
      <c r="H70" s="567">
        <f>SUMIF('ABC-XYZ분석 (2)'!C:C,표11[[#This Row],[SKU코드]],'ABC-XYZ분석 (2)'!X:X)/30</f>
        <v/>
      </c>
      <c r="I70" s="314" t="n">
        <v>30</v>
      </c>
      <c r="J70" s="314" t="n">
        <v>30</v>
      </c>
      <c r="K70" s="314">
        <f>SUMIF(안전재고!A:A,표11[[#This Row],[SKU코드]],안전재고!I:I)</f>
        <v/>
      </c>
      <c r="L70" s="314">
        <f>SUMIF(재고!C:C,공급물량!B70,재고!I:I)</f>
        <v/>
      </c>
      <c r="M70" s="568">
        <f>H70*I70*VLOOKUP(F70&amp;G70,{"AX",1;"AY",0.95;"AZ",0.85;"BX",0.95;"BY",0.85;"BZ",0.75;"CX",0.85;"CY",0.75;"CZ",0.65},2,0)+K70</f>
        <v/>
      </c>
      <c r="N70" s="569">
        <f>MAX(0,(표11[[#This Row],[적정재고]]-표11[[#This Row],[현재고]]))</f>
        <v/>
      </c>
      <c r="O70" s="314" t="n">
        <v>500</v>
      </c>
      <c r="P70" s="568">
        <f>CEILING(표11[[#This Row],[발주량]],표11[[#This Row],[MOQ]])</f>
        <v/>
      </c>
    </row>
    <row r="71">
      <c r="B71" s="158" t="inlineStr">
        <is>
          <t>ABC70</t>
        </is>
      </c>
      <c r="C71" s="327" t="n"/>
      <c r="D71" s="327" t="n"/>
      <c r="E71" s="328">
        <f>_xlfn.XLOOKUP(표11[[#This Row],[SKU코드]],'ABC-XYZ분석 (2)'!C:C,'ABC-XYZ분석 (2)'!I:I)</f>
        <v/>
      </c>
      <c r="F71" s="328">
        <f>_xlfn.XLOOKUP(표11[[#This Row],[SKU코드]],'ABC-XYZ분석 (2)'!C:C,'ABC-XYZ분석 (2)'!AC:AC)</f>
        <v/>
      </c>
      <c r="G71" s="312">
        <f>_xlfn.XLOOKUP(표11[[#This Row],[SKU코드]],'ABC-XYZ분석 (2)'!C:C,'ABC-XYZ분석 (2)'!AG:AG)</f>
        <v/>
      </c>
      <c r="H71" s="567">
        <f>SUMIF('ABC-XYZ분석 (2)'!C:C,표11[[#This Row],[SKU코드]],'ABC-XYZ분석 (2)'!X:X)/30</f>
        <v/>
      </c>
      <c r="I71" s="314" t="n">
        <v>30</v>
      </c>
      <c r="J71" s="314" t="n">
        <v>30</v>
      </c>
      <c r="K71" s="314">
        <f>SUMIF(안전재고!A:A,표11[[#This Row],[SKU코드]],안전재고!I:I)</f>
        <v/>
      </c>
      <c r="L71" s="314">
        <f>SUMIF(재고!C:C,공급물량!B71,재고!I:I)</f>
        <v/>
      </c>
      <c r="M71" s="568">
        <f>H71*I71*VLOOKUP(F71&amp;G71,{"AX",1;"AY",0.95;"AZ",0.85;"BX",0.95;"BY",0.85;"BZ",0.75;"CX",0.85;"CY",0.75;"CZ",0.65},2,0)+K71</f>
        <v/>
      </c>
      <c r="N71" s="569">
        <f>MAX(0,(표11[[#This Row],[적정재고]]-표11[[#This Row],[현재고]]))</f>
        <v/>
      </c>
      <c r="O71" s="314" t="n">
        <v>500</v>
      </c>
      <c r="P71" s="568">
        <f>CEILING(표11[[#This Row],[발주량]],표11[[#This Row],[MOQ]])</f>
        <v/>
      </c>
    </row>
    <row r="72">
      <c r="B72" s="158" t="inlineStr">
        <is>
          <t>ABC71</t>
        </is>
      </c>
      <c r="C72" s="327" t="n"/>
      <c r="D72" s="327" t="n"/>
      <c r="E72" s="328">
        <f>_xlfn.XLOOKUP(표11[[#This Row],[SKU코드]],'ABC-XYZ분석 (2)'!C:C,'ABC-XYZ분석 (2)'!I:I)</f>
        <v/>
      </c>
      <c r="F72" s="328">
        <f>_xlfn.XLOOKUP(표11[[#This Row],[SKU코드]],'ABC-XYZ분석 (2)'!C:C,'ABC-XYZ분석 (2)'!AC:AC)</f>
        <v/>
      </c>
      <c r="G72" s="312">
        <f>_xlfn.XLOOKUP(표11[[#This Row],[SKU코드]],'ABC-XYZ분석 (2)'!C:C,'ABC-XYZ분석 (2)'!AG:AG)</f>
        <v/>
      </c>
      <c r="H72" s="567">
        <f>SUMIF('ABC-XYZ분석 (2)'!C:C,표11[[#This Row],[SKU코드]],'ABC-XYZ분석 (2)'!X:X)/30</f>
        <v/>
      </c>
      <c r="I72" s="314" t="n">
        <v>30</v>
      </c>
      <c r="J72" s="314" t="n">
        <v>30</v>
      </c>
      <c r="K72" s="314">
        <f>SUMIF(안전재고!A:A,표11[[#This Row],[SKU코드]],안전재고!I:I)</f>
        <v/>
      </c>
      <c r="L72" s="314">
        <f>SUMIF(재고!C:C,공급물량!B72,재고!I:I)</f>
        <v/>
      </c>
      <c r="M72" s="568">
        <f>H72*I72*VLOOKUP(F72&amp;G72,{"AX",1;"AY",0.95;"AZ",0.85;"BX",0.95;"BY",0.85;"BZ",0.75;"CX",0.85;"CY",0.75;"CZ",0.65},2,0)+K72</f>
        <v/>
      </c>
      <c r="N72" s="569">
        <f>MAX(0,(표11[[#This Row],[적정재고]]-표11[[#This Row],[현재고]]))</f>
        <v/>
      </c>
      <c r="O72" s="314" t="n">
        <v>500</v>
      </c>
      <c r="P72" s="568">
        <f>CEILING(표11[[#This Row],[발주량]],표11[[#This Row],[MOQ]])</f>
        <v/>
      </c>
    </row>
    <row r="73">
      <c r="B73" s="158" t="inlineStr">
        <is>
          <t>ABC72</t>
        </is>
      </c>
      <c r="C73" s="327" t="n"/>
      <c r="D73" s="327" t="n"/>
      <c r="E73" s="328">
        <f>_xlfn.XLOOKUP(표11[[#This Row],[SKU코드]],'ABC-XYZ분석 (2)'!C:C,'ABC-XYZ분석 (2)'!I:I)</f>
        <v/>
      </c>
      <c r="F73" s="328">
        <f>_xlfn.XLOOKUP(표11[[#This Row],[SKU코드]],'ABC-XYZ분석 (2)'!C:C,'ABC-XYZ분석 (2)'!AC:AC)</f>
        <v/>
      </c>
      <c r="G73" s="312">
        <f>_xlfn.XLOOKUP(표11[[#This Row],[SKU코드]],'ABC-XYZ분석 (2)'!C:C,'ABC-XYZ분석 (2)'!AG:AG)</f>
        <v/>
      </c>
      <c r="H73" s="567">
        <f>SUMIF('ABC-XYZ분석 (2)'!C:C,표11[[#This Row],[SKU코드]],'ABC-XYZ분석 (2)'!X:X)/30</f>
        <v/>
      </c>
      <c r="I73" s="314" t="n">
        <v>30</v>
      </c>
      <c r="J73" s="314" t="n">
        <v>30</v>
      </c>
      <c r="K73" s="314">
        <f>SUMIF(안전재고!A:A,표11[[#This Row],[SKU코드]],안전재고!I:I)</f>
        <v/>
      </c>
      <c r="L73" s="314">
        <f>SUMIF(재고!C:C,공급물량!B73,재고!I:I)</f>
        <v/>
      </c>
      <c r="M73" s="568">
        <f>H73*I73*VLOOKUP(F73&amp;G73,{"AX",1;"AY",0.95;"AZ",0.85;"BX",0.95;"BY",0.85;"BZ",0.75;"CX",0.85;"CY",0.75;"CZ",0.65},2,0)+K73</f>
        <v/>
      </c>
      <c r="N73" s="569">
        <f>MAX(0,(표11[[#This Row],[적정재고]]-표11[[#This Row],[현재고]]))</f>
        <v/>
      </c>
      <c r="O73" s="314" t="n">
        <v>500</v>
      </c>
      <c r="P73" s="568">
        <f>CEILING(표11[[#This Row],[발주량]],표11[[#This Row],[MOQ]])</f>
        <v/>
      </c>
    </row>
    <row r="74">
      <c r="B74" s="158" t="inlineStr">
        <is>
          <t>ABC73</t>
        </is>
      </c>
      <c r="C74" s="327" t="n"/>
      <c r="D74" s="327" t="n"/>
      <c r="E74" s="328">
        <f>_xlfn.XLOOKUP(표11[[#This Row],[SKU코드]],'ABC-XYZ분석 (2)'!C:C,'ABC-XYZ분석 (2)'!I:I)</f>
        <v/>
      </c>
      <c r="F74" s="328">
        <f>_xlfn.XLOOKUP(표11[[#This Row],[SKU코드]],'ABC-XYZ분석 (2)'!C:C,'ABC-XYZ분석 (2)'!AC:AC)</f>
        <v/>
      </c>
      <c r="G74" s="312">
        <f>_xlfn.XLOOKUP(표11[[#This Row],[SKU코드]],'ABC-XYZ분석 (2)'!C:C,'ABC-XYZ분석 (2)'!AG:AG)</f>
        <v/>
      </c>
      <c r="H74" s="567">
        <f>SUMIF('ABC-XYZ분석 (2)'!C:C,표11[[#This Row],[SKU코드]],'ABC-XYZ분석 (2)'!X:X)/30</f>
        <v/>
      </c>
      <c r="I74" s="314" t="n">
        <v>30</v>
      </c>
      <c r="J74" s="314" t="n">
        <v>30</v>
      </c>
      <c r="K74" s="314">
        <f>SUMIF(안전재고!A:A,표11[[#This Row],[SKU코드]],안전재고!I:I)</f>
        <v/>
      </c>
      <c r="L74" s="314">
        <f>SUMIF(재고!C:C,공급물량!B74,재고!I:I)</f>
        <v/>
      </c>
      <c r="M74" s="568">
        <f>H74*I74*VLOOKUP(F74&amp;G74,{"AX",1;"AY",0.95;"AZ",0.85;"BX",0.95;"BY",0.85;"BZ",0.75;"CX",0.85;"CY",0.75;"CZ",0.65},2,0)+K74</f>
        <v/>
      </c>
      <c r="N74" s="569">
        <f>MAX(0,(표11[[#This Row],[적정재고]]-표11[[#This Row],[현재고]]))</f>
        <v/>
      </c>
      <c r="O74" s="314" t="n">
        <v>500</v>
      </c>
      <c r="P74" s="568">
        <f>CEILING(표11[[#This Row],[발주량]],표11[[#This Row],[MOQ]])</f>
        <v/>
      </c>
    </row>
    <row r="75">
      <c r="B75" s="158" t="inlineStr">
        <is>
          <t>ABC74</t>
        </is>
      </c>
      <c r="C75" s="327" t="n"/>
      <c r="D75" s="327" t="n"/>
      <c r="E75" s="328">
        <f>_xlfn.XLOOKUP(표11[[#This Row],[SKU코드]],'ABC-XYZ분석 (2)'!C:C,'ABC-XYZ분석 (2)'!I:I)</f>
        <v/>
      </c>
      <c r="F75" s="328">
        <f>_xlfn.XLOOKUP(표11[[#This Row],[SKU코드]],'ABC-XYZ분석 (2)'!C:C,'ABC-XYZ분석 (2)'!AC:AC)</f>
        <v/>
      </c>
      <c r="G75" s="312">
        <f>_xlfn.XLOOKUP(표11[[#This Row],[SKU코드]],'ABC-XYZ분석 (2)'!C:C,'ABC-XYZ분석 (2)'!AG:AG)</f>
        <v/>
      </c>
      <c r="H75" s="567">
        <f>SUMIF('ABC-XYZ분석 (2)'!C:C,표11[[#This Row],[SKU코드]],'ABC-XYZ분석 (2)'!X:X)/30</f>
        <v/>
      </c>
      <c r="I75" s="314" t="n">
        <v>30</v>
      </c>
      <c r="J75" s="314" t="n">
        <v>30</v>
      </c>
      <c r="K75" s="314">
        <f>SUMIF(안전재고!A:A,표11[[#This Row],[SKU코드]],안전재고!I:I)</f>
        <v/>
      </c>
      <c r="L75" s="314">
        <f>SUMIF(재고!C:C,공급물량!B75,재고!I:I)</f>
        <v/>
      </c>
      <c r="M75" s="568">
        <f>H75*I75*VLOOKUP(F75&amp;G75,{"AX",1;"AY",0.95;"AZ",0.85;"BX",0.95;"BY",0.85;"BZ",0.75;"CX",0.85;"CY",0.75;"CZ",0.65},2,0)+K75</f>
        <v/>
      </c>
      <c r="N75" s="569">
        <f>MAX(0,(표11[[#This Row],[적정재고]]-표11[[#This Row],[현재고]]))</f>
        <v/>
      </c>
      <c r="O75" s="314" t="n">
        <v>500</v>
      </c>
      <c r="P75" s="568">
        <f>CEILING(표11[[#This Row],[발주량]],표11[[#This Row],[MOQ]])</f>
        <v/>
      </c>
    </row>
    <row r="76">
      <c r="B76" s="158" t="inlineStr">
        <is>
          <t>ABC75</t>
        </is>
      </c>
      <c r="C76" s="327" t="n"/>
      <c r="D76" s="327" t="n"/>
      <c r="E76" s="328">
        <f>_xlfn.XLOOKUP(표11[[#This Row],[SKU코드]],'ABC-XYZ분석 (2)'!C:C,'ABC-XYZ분석 (2)'!I:I)</f>
        <v/>
      </c>
      <c r="F76" s="328">
        <f>_xlfn.XLOOKUP(표11[[#This Row],[SKU코드]],'ABC-XYZ분석 (2)'!C:C,'ABC-XYZ분석 (2)'!AC:AC)</f>
        <v/>
      </c>
      <c r="G76" s="312">
        <f>_xlfn.XLOOKUP(표11[[#This Row],[SKU코드]],'ABC-XYZ분석 (2)'!C:C,'ABC-XYZ분석 (2)'!AG:AG)</f>
        <v/>
      </c>
      <c r="H76" s="567">
        <f>SUMIF('ABC-XYZ분석 (2)'!C:C,표11[[#This Row],[SKU코드]],'ABC-XYZ분석 (2)'!X:X)/30</f>
        <v/>
      </c>
      <c r="I76" s="314" t="n">
        <v>30</v>
      </c>
      <c r="J76" s="314" t="n">
        <v>30</v>
      </c>
      <c r="K76" s="314">
        <f>SUMIF(안전재고!A:A,표11[[#This Row],[SKU코드]],안전재고!I:I)</f>
        <v/>
      </c>
      <c r="L76" s="314">
        <f>SUMIF(재고!C:C,공급물량!B76,재고!I:I)</f>
        <v/>
      </c>
      <c r="M76" s="568">
        <f>H76*I76*VLOOKUP(F76&amp;G76,{"AX",1;"AY",0.95;"AZ",0.85;"BX",0.95;"BY",0.85;"BZ",0.75;"CX",0.85;"CY",0.75;"CZ",0.65},2,0)+K76</f>
        <v/>
      </c>
      <c r="N76" s="569">
        <f>MAX(0,(표11[[#This Row],[적정재고]]-표11[[#This Row],[현재고]]))</f>
        <v/>
      </c>
      <c r="O76" s="314" t="n">
        <v>500</v>
      </c>
      <c r="P76" s="568">
        <f>CEILING(표11[[#This Row],[발주량]],표11[[#This Row],[MOQ]])</f>
        <v/>
      </c>
    </row>
    <row r="77">
      <c r="B77" s="158" t="inlineStr">
        <is>
          <t>ABC76</t>
        </is>
      </c>
      <c r="C77" s="327" t="n"/>
      <c r="D77" s="327" t="n"/>
      <c r="E77" s="328">
        <f>_xlfn.XLOOKUP(표11[[#This Row],[SKU코드]],'ABC-XYZ분석 (2)'!C:C,'ABC-XYZ분석 (2)'!I:I)</f>
        <v/>
      </c>
      <c r="F77" s="328">
        <f>_xlfn.XLOOKUP(표11[[#This Row],[SKU코드]],'ABC-XYZ분석 (2)'!C:C,'ABC-XYZ분석 (2)'!AC:AC)</f>
        <v/>
      </c>
      <c r="G77" s="312">
        <f>_xlfn.XLOOKUP(표11[[#This Row],[SKU코드]],'ABC-XYZ분석 (2)'!C:C,'ABC-XYZ분석 (2)'!AG:AG)</f>
        <v/>
      </c>
      <c r="H77" s="567">
        <f>SUMIF('ABC-XYZ분석 (2)'!C:C,표11[[#This Row],[SKU코드]],'ABC-XYZ분석 (2)'!X:X)/30</f>
        <v/>
      </c>
      <c r="I77" s="314" t="n">
        <v>30</v>
      </c>
      <c r="J77" s="314" t="n">
        <v>30</v>
      </c>
      <c r="K77" s="314">
        <f>SUMIF(안전재고!A:A,표11[[#This Row],[SKU코드]],안전재고!I:I)</f>
        <v/>
      </c>
      <c r="L77" s="314">
        <f>SUMIF(재고!C:C,공급물량!B77,재고!I:I)</f>
        <v/>
      </c>
      <c r="M77" s="568">
        <f>H77*I77*VLOOKUP(F77&amp;G77,{"AX",1;"AY",0.95;"AZ",0.85;"BX",0.95;"BY",0.85;"BZ",0.75;"CX",0.85;"CY",0.75;"CZ",0.65},2,0)+K77</f>
        <v/>
      </c>
      <c r="N77" s="569">
        <f>MAX(0,(표11[[#This Row],[적정재고]]-표11[[#This Row],[현재고]]))</f>
        <v/>
      </c>
      <c r="O77" s="314" t="n">
        <v>500</v>
      </c>
      <c r="P77" s="568">
        <f>CEILING(표11[[#This Row],[발주량]],표11[[#This Row],[MOQ]])</f>
        <v/>
      </c>
    </row>
    <row r="78">
      <c r="B78" s="158" t="inlineStr">
        <is>
          <t>ABC77</t>
        </is>
      </c>
      <c r="C78" s="327" t="n"/>
      <c r="D78" s="327" t="n"/>
      <c r="E78" s="328">
        <f>_xlfn.XLOOKUP(표11[[#This Row],[SKU코드]],'ABC-XYZ분석 (2)'!C:C,'ABC-XYZ분석 (2)'!I:I)</f>
        <v/>
      </c>
      <c r="F78" s="328">
        <f>_xlfn.XLOOKUP(표11[[#This Row],[SKU코드]],'ABC-XYZ분석 (2)'!C:C,'ABC-XYZ분석 (2)'!AC:AC)</f>
        <v/>
      </c>
      <c r="G78" s="312">
        <f>_xlfn.XLOOKUP(표11[[#This Row],[SKU코드]],'ABC-XYZ분석 (2)'!C:C,'ABC-XYZ분석 (2)'!AG:AG)</f>
        <v/>
      </c>
      <c r="H78" s="567">
        <f>SUMIF('ABC-XYZ분석 (2)'!C:C,표11[[#This Row],[SKU코드]],'ABC-XYZ분석 (2)'!X:X)/30</f>
        <v/>
      </c>
      <c r="I78" s="314" t="n">
        <v>30</v>
      </c>
      <c r="J78" s="314" t="n">
        <v>30</v>
      </c>
      <c r="K78" s="314">
        <f>SUMIF(안전재고!A:A,표11[[#This Row],[SKU코드]],안전재고!I:I)</f>
        <v/>
      </c>
      <c r="L78" s="314">
        <f>SUMIF(재고!C:C,공급물량!B78,재고!I:I)</f>
        <v/>
      </c>
      <c r="M78" s="568">
        <f>H78*I78*VLOOKUP(F78&amp;G78,{"AX",1;"AY",0.95;"AZ",0.85;"BX",0.95;"BY",0.85;"BZ",0.75;"CX",0.85;"CY",0.75;"CZ",0.65},2,0)+K78</f>
        <v/>
      </c>
      <c r="N78" s="569">
        <f>MAX(0,(표11[[#This Row],[적정재고]]-표11[[#This Row],[현재고]]))</f>
        <v/>
      </c>
      <c r="O78" s="314" t="n">
        <v>500</v>
      </c>
      <c r="P78" s="568">
        <f>CEILING(표11[[#This Row],[발주량]],표11[[#This Row],[MOQ]])</f>
        <v/>
      </c>
    </row>
    <row r="79">
      <c r="B79" s="158" t="inlineStr">
        <is>
          <t>ABC78</t>
        </is>
      </c>
      <c r="C79" s="327" t="n"/>
      <c r="D79" s="327" t="n"/>
      <c r="E79" s="328">
        <f>_xlfn.XLOOKUP(표11[[#This Row],[SKU코드]],'ABC-XYZ분석 (2)'!C:C,'ABC-XYZ분석 (2)'!I:I)</f>
        <v/>
      </c>
      <c r="F79" s="328">
        <f>_xlfn.XLOOKUP(표11[[#This Row],[SKU코드]],'ABC-XYZ분석 (2)'!C:C,'ABC-XYZ분석 (2)'!AC:AC)</f>
        <v/>
      </c>
      <c r="G79" s="312">
        <f>_xlfn.XLOOKUP(표11[[#This Row],[SKU코드]],'ABC-XYZ분석 (2)'!C:C,'ABC-XYZ분석 (2)'!AG:AG)</f>
        <v/>
      </c>
      <c r="H79" s="567">
        <f>SUMIF('ABC-XYZ분석 (2)'!C:C,표11[[#This Row],[SKU코드]],'ABC-XYZ분석 (2)'!X:X)/30</f>
        <v/>
      </c>
      <c r="I79" s="314" t="n">
        <v>30</v>
      </c>
      <c r="J79" s="314" t="n">
        <v>30</v>
      </c>
      <c r="K79" s="314">
        <f>SUMIF(안전재고!A:A,표11[[#This Row],[SKU코드]],안전재고!I:I)</f>
        <v/>
      </c>
      <c r="L79" s="314">
        <f>SUMIF(재고!C:C,공급물량!B79,재고!I:I)</f>
        <v/>
      </c>
      <c r="M79" s="568">
        <f>H79*I79*VLOOKUP(F79&amp;G79,{"AX",1;"AY",0.95;"AZ",0.85;"BX",0.95;"BY",0.85;"BZ",0.75;"CX",0.85;"CY",0.75;"CZ",0.65},2,0)+K79</f>
        <v/>
      </c>
      <c r="N79" s="569">
        <f>MAX(0,(표11[[#This Row],[적정재고]]-표11[[#This Row],[현재고]]))</f>
        <v/>
      </c>
      <c r="O79" s="314" t="n">
        <v>500</v>
      </c>
      <c r="P79" s="568">
        <f>CEILING(표11[[#This Row],[발주량]],표11[[#This Row],[MOQ]])</f>
        <v/>
      </c>
    </row>
    <row r="80">
      <c r="B80" s="158" t="inlineStr">
        <is>
          <t>ABC79</t>
        </is>
      </c>
      <c r="C80" s="327" t="n"/>
      <c r="D80" s="327" t="n"/>
      <c r="E80" s="328">
        <f>_xlfn.XLOOKUP(표11[[#This Row],[SKU코드]],'ABC-XYZ분석 (2)'!C:C,'ABC-XYZ분석 (2)'!I:I)</f>
        <v/>
      </c>
      <c r="F80" s="328">
        <f>_xlfn.XLOOKUP(표11[[#This Row],[SKU코드]],'ABC-XYZ분석 (2)'!C:C,'ABC-XYZ분석 (2)'!AC:AC)</f>
        <v/>
      </c>
      <c r="G80" s="312">
        <f>_xlfn.XLOOKUP(표11[[#This Row],[SKU코드]],'ABC-XYZ분석 (2)'!C:C,'ABC-XYZ분석 (2)'!AG:AG)</f>
        <v/>
      </c>
      <c r="H80" s="567">
        <f>SUMIF('ABC-XYZ분석 (2)'!C:C,표11[[#This Row],[SKU코드]],'ABC-XYZ분석 (2)'!X:X)/30</f>
        <v/>
      </c>
      <c r="I80" s="314" t="n">
        <v>30</v>
      </c>
      <c r="J80" s="314" t="n">
        <v>30</v>
      </c>
      <c r="K80" s="314">
        <f>SUMIF(안전재고!A:A,표11[[#This Row],[SKU코드]],안전재고!I:I)</f>
        <v/>
      </c>
      <c r="L80" s="314">
        <f>SUMIF(재고!C:C,공급물량!B80,재고!I:I)</f>
        <v/>
      </c>
      <c r="M80" s="568">
        <f>H80*I80*VLOOKUP(F80&amp;G80,{"AX",1;"AY",0.95;"AZ",0.85;"BX",0.95;"BY",0.85;"BZ",0.75;"CX",0.85;"CY",0.75;"CZ",0.65},2,0)+K80</f>
        <v/>
      </c>
      <c r="N80" s="569">
        <f>MAX(0,(표11[[#This Row],[적정재고]]-표11[[#This Row],[현재고]]))</f>
        <v/>
      </c>
      <c r="O80" s="314" t="n">
        <v>500</v>
      </c>
      <c r="P80" s="568">
        <f>CEILING(표11[[#This Row],[발주량]],표11[[#This Row],[MOQ]])</f>
        <v/>
      </c>
    </row>
    <row r="81">
      <c r="B81" s="158" t="inlineStr">
        <is>
          <t>ABC80</t>
        </is>
      </c>
      <c r="C81" s="327" t="n"/>
      <c r="D81" s="327" t="n"/>
      <c r="E81" s="328">
        <f>_xlfn.XLOOKUP(표11[[#This Row],[SKU코드]],'ABC-XYZ분석 (2)'!C:C,'ABC-XYZ분석 (2)'!I:I)</f>
        <v/>
      </c>
      <c r="F81" s="328">
        <f>_xlfn.XLOOKUP(표11[[#This Row],[SKU코드]],'ABC-XYZ분석 (2)'!C:C,'ABC-XYZ분석 (2)'!AC:AC)</f>
        <v/>
      </c>
      <c r="G81" s="312">
        <f>_xlfn.XLOOKUP(표11[[#This Row],[SKU코드]],'ABC-XYZ분석 (2)'!C:C,'ABC-XYZ분석 (2)'!AG:AG)</f>
        <v/>
      </c>
      <c r="H81" s="567">
        <f>SUMIF('ABC-XYZ분석 (2)'!C:C,표11[[#This Row],[SKU코드]],'ABC-XYZ분석 (2)'!X:X)/30</f>
        <v/>
      </c>
      <c r="I81" s="314" t="n">
        <v>30</v>
      </c>
      <c r="J81" s="314" t="n">
        <v>30</v>
      </c>
      <c r="K81" s="314">
        <f>SUMIF(안전재고!A:A,표11[[#This Row],[SKU코드]],안전재고!I:I)</f>
        <v/>
      </c>
      <c r="L81" s="314">
        <f>SUMIF(재고!C:C,공급물량!B81,재고!I:I)</f>
        <v/>
      </c>
      <c r="M81" s="568">
        <f>H81*I81*VLOOKUP(F81&amp;G81,{"AX",1;"AY",0.95;"AZ",0.85;"BX",0.95;"BY",0.85;"BZ",0.75;"CX",0.85;"CY",0.75;"CZ",0.65},2,0)+K81</f>
        <v/>
      </c>
      <c r="N81" s="569">
        <f>MAX(0,(표11[[#This Row],[적정재고]]-표11[[#This Row],[현재고]]))</f>
        <v/>
      </c>
      <c r="O81" s="314" t="n">
        <v>500</v>
      </c>
      <c r="P81" s="568">
        <f>CEILING(표11[[#This Row],[발주량]],표11[[#This Row],[MOQ]])</f>
        <v/>
      </c>
    </row>
    <row r="82">
      <c r="B82" s="158" t="inlineStr">
        <is>
          <t>ABC81</t>
        </is>
      </c>
      <c r="C82" s="327" t="n"/>
      <c r="D82" s="327" t="n"/>
      <c r="E82" s="328">
        <f>_xlfn.XLOOKUP(표11[[#This Row],[SKU코드]],'ABC-XYZ분석 (2)'!C:C,'ABC-XYZ분석 (2)'!I:I)</f>
        <v/>
      </c>
      <c r="F82" s="328">
        <f>_xlfn.XLOOKUP(표11[[#This Row],[SKU코드]],'ABC-XYZ분석 (2)'!C:C,'ABC-XYZ분석 (2)'!AC:AC)</f>
        <v/>
      </c>
      <c r="G82" s="312">
        <f>_xlfn.XLOOKUP(표11[[#This Row],[SKU코드]],'ABC-XYZ분석 (2)'!C:C,'ABC-XYZ분석 (2)'!AG:AG)</f>
        <v/>
      </c>
      <c r="H82" s="567">
        <f>SUMIF('ABC-XYZ분석 (2)'!C:C,표11[[#This Row],[SKU코드]],'ABC-XYZ분석 (2)'!X:X)/30</f>
        <v/>
      </c>
      <c r="I82" s="314" t="n">
        <v>30</v>
      </c>
      <c r="J82" s="314" t="n">
        <v>30</v>
      </c>
      <c r="K82" s="314">
        <f>SUMIF(안전재고!A:A,표11[[#This Row],[SKU코드]],안전재고!I:I)</f>
        <v/>
      </c>
      <c r="L82" s="314">
        <f>SUMIF(재고!C:C,공급물량!B82,재고!I:I)</f>
        <v/>
      </c>
      <c r="M82" s="568">
        <f>H82*I82*VLOOKUP(F82&amp;G82,{"AX",1;"AY",0.95;"AZ",0.85;"BX",0.95;"BY",0.85;"BZ",0.75;"CX",0.85;"CY",0.75;"CZ",0.65},2,0)+K82</f>
        <v/>
      </c>
      <c r="N82" s="569">
        <f>MAX(0,(표11[[#This Row],[적정재고]]-표11[[#This Row],[현재고]]))</f>
        <v/>
      </c>
      <c r="O82" s="314" t="n">
        <v>500</v>
      </c>
      <c r="P82" s="568">
        <f>CEILING(표11[[#This Row],[발주량]],표11[[#This Row],[MOQ]])</f>
        <v/>
      </c>
    </row>
    <row r="83">
      <c r="B83" s="158" t="inlineStr">
        <is>
          <t>ABC82</t>
        </is>
      </c>
      <c r="C83" s="327" t="n"/>
      <c r="D83" s="327" t="n"/>
      <c r="E83" s="328">
        <f>_xlfn.XLOOKUP(표11[[#This Row],[SKU코드]],'ABC-XYZ분석 (2)'!C:C,'ABC-XYZ분석 (2)'!I:I)</f>
        <v/>
      </c>
      <c r="F83" s="328">
        <f>_xlfn.XLOOKUP(표11[[#This Row],[SKU코드]],'ABC-XYZ분석 (2)'!C:C,'ABC-XYZ분석 (2)'!AC:AC)</f>
        <v/>
      </c>
      <c r="G83" s="312">
        <f>_xlfn.XLOOKUP(표11[[#This Row],[SKU코드]],'ABC-XYZ분석 (2)'!C:C,'ABC-XYZ분석 (2)'!AG:AG)</f>
        <v/>
      </c>
      <c r="H83" s="567">
        <f>SUMIF('ABC-XYZ분석 (2)'!C:C,표11[[#This Row],[SKU코드]],'ABC-XYZ분석 (2)'!X:X)/30</f>
        <v/>
      </c>
      <c r="I83" s="314" t="n">
        <v>30</v>
      </c>
      <c r="J83" s="314" t="n">
        <v>30</v>
      </c>
      <c r="K83" s="314">
        <f>SUMIF(안전재고!A:A,표11[[#This Row],[SKU코드]],안전재고!I:I)</f>
        <v/>
      </c>
      <c r="L83" s="314">
        <f>SUMIF(재고!C:C,공급물량!B83,재고!I:I)</f>
        <v/>
      </c>
      <c r="M83" s="568">
        <f>H83*I83*VLOOKUP(F83&amp;G83,{"AX",1;"AY",0.95;"AZ",0.85;"BX",0.95;"BY",0.85;"BZ",0.75;"CX",0.85;"CY",0.75;"CZ",0.65},2,0)+K83</f>
        <v/>
      </c>
      <c r="N83" s="569">
        <f>MAX(0,(표11[[#This Row],[적정재고]]-표11[[#This Row],[현재고]]))</f>
        <v/>
      </c>
      <c r="O83" s="314" t="n">
        <v>500</v>
      </c>
      <c r="P83" s="568">
        <f>CEILING(표11[[#This Row],[발주량]],표11[[#This Row],[MOQ]])</f>
        <v/>
      </c>
    </row>
    <row r="84">
      <c r="B84" s="158" t="inlineStr">
        <is>
          <t>ABC83</t>
        </is>
      </c>
      <c r="C84" s="327" t="n"/>
      <c r="D84" s="327" t="n"/>
      <c r="E84" s="328">
        <f>_xlfn.XLOOKUP(표11[[#This Row],[SKU코드]],'ABC-XYZ분석 (2)'!C:C,'ABC-XYZ분석 (2)'!I:I)</f>
        <v/>
      </c>
      <c r="F84" s="328">
        <f>_xlfn.XLOOKUP(표11[[#This Row],[SKU코드]],'ABC-XYZ분석 (2)'!C:C,'ABC-XYZ분석 (2)'!AC:AC)</f>
        <v/>
      </c>
      <c r="G84" s="312">
        <f>_xlfn.XLOOKUP(표11[[#This Row],[SKU코드]],'ABC-XYZ분석 (2)'!C:C,'ABC-XYZ분석 (2)'!AG:AG)</f>
        <v/>
      </c>
      <c r="H84" s="567">
        <f>SUMIF('ABC-XYZ분석 (2)'!C:C,표11[[#This Row],[SKU코드]],'ABC-XYZ분석 (2)'!X:X)/30</f>
        <v/>
      </c>
      <c r="I84" s="314" t="n">
        <v>30</v>
      </c>
      <c r="J84" s="314" t="n">
        <v>30</v>
      </c>
      <c r="K84" s="314">
        <f>SUMIF(안전재고!A:A,표11[[#This Row],[SKU코드]],안전재고!I:I)</f>
        <v/>
      </c>
      <c r="L84" s="314">
        <f>SUMIF(재고!C:C,공급물량!B84,재고!I:I)</f>
        <v/>
      </c>
      <c r="M84" s="568">
        <f>H84*I84*VLOOKUP(F84&amp;G84,{"AX",1;"AY",0.95;"AZ",0.85;"BX",0.95;"BY",0.85;"BZ",0.75;"CX",0.85;"CY",0.75;"CZ",0.65},2,0)+K84</f>
        <v/>
      </c>
      <c r="N84" s="569">
        <f>MAX(0,(표11[[#This Row],[적정재고]]-표11[[#This Row],[현재고]]))</f>
        <v/>
      </c>
      <c r="O84" s="314" t="n">
        <v>500</v>
      </c>
      <c r="P84" s="568">
        <f>CEILING(표11[[#This Row],[발주량]],표11[[#This Row],[MOQ]])</f>
        <v/>
      </c>
    </row>
    <row r="85">
      <c r="B85" s="158" t="inlineStr">
        <is>
          <t>ABC84</t>
        </is>
      </c>
      <c r="C85" s="327" t="n"/>
      <c r="D85" s="327" t="n"/>
      <c r="E85" s="328">
        <f>_xlfn.XLOOKUP(표11[[#This Row],[SKU코드]],'ABC-XYZ분석 (2)'!C:C,'ABC-XYZ분석 (2)'!I:I)</f>
        <v/>
      </c>
      <c r="F85" s="328">
        <f>_xlfn.XLOOKUP(표11[[#This Row],[SKU코드]],'ABC-XYZ분석 (2)'!C:C,'ABC-XYZ분석 (2)'!AC:AC)</f>
        <v/>
      </c>
      <c r="G85" s="312">
        <f>_xlfn.XLOOKUP(표11[[#This Row],[SKU코드]],'ABC-XYZ분석 (2)'!C:C,'ABC-XYZ분석 (2)'!AG:AG)</f>
        <v/>
      </c>
      <c r="H85" s="567">
        <f>SUMIF('ABC-XYZ분석 (2)'!C:C,표11[[#This Row],[SKU코드]],'ABC-XYZ분석 (2)'!X:X)/30</f>
        <v/>
      </c>
      <c r="I85" s="314" t="n">
        <v>30</v>
      </c>
      <c r="J85" s="314" t="n">
        <v>30</v>
      </c>
      <c r="K85" s="314">
        <f>SUMIF(안전재고!A:A,표11[[#This Row],[SKU코드]],안전재고!I:I)</f>
        <v/>
      </c>
      <c r="L85" s="314">
        <f>SUMIF(재고!C:C,공급물량!B85,재고!I:I)</f>
        <v/>
      </c>
      <c r="M85" s="568">
        <f>H85*I85*VLOOKUP(F85&amp;G85,{"AX",1;"AY",0.95;"AZ",0.85;"BX",0.95;"BY",0.85;"BZ",0.75;"CX",0.85;"CY",0.75;"CZ",0.65},2,0)+K85</f>
        <v/>
      </c>
      <c r="N85" s="569">
        <f>MAX(0,(표11[[#This Row],[적정재고]]-표11[[#This Row],[현재고]]))</f>
        <v/>
      </c>
      <c r="O85" s="314" t="n">
        <v>500</v>
      </c>
      <c r="P85" s="568">
        <f>CEILING(표11[[#This Row],[발주량]],표11[[#This Row],[MOQ]])</f>
        <v/>
      </c>
    </row>
    <row r="86">
      <c r="B86" s="158" t="inlineStr">
        <is>
          <t>ABC85</t>
        </is>
      </c>
      <c r="C86" s="327" t="n"/>
      <c r="D86" s="327" t="n"/>
      <c r="E86" s="328">
        <f>_xlfn.XLOOKUP(표11[[#This Row],[SKU코드]],'ABC-XYZ분석 (2)'!C:C,'ABC-XYZ분석 (2)'!I:I)</f>
        <v/>
      </c>
      <c r="F86" s="328">
        <f>_xlfn.XLOOKUP(표11[[#This Row],[SKU코드]],'ABC-XYZ분석 (2)'!C:C,'ABC-XYZ분석 (2)'!AC:AC)</f>
        <v/>
      </c>
      <c r="G86" s="312">
        <f>_xlfn.XLOOKUP(표11[[#This Row],[SKU코드]],'ABC-XYZ분석 (2)'!C:C,'ABC-XYZ분석 (2)'!AG:AG)</f>
        <v/>
      </c>
      <c r="H86" s="567">
        <f>SUMIF('ABC-XYZ분석 (2)'!C:C,표11[[#This Row],[SKU코드]],'ABC-XYZ분석 (2)'!X:X)/30</f>
        <v/>
      </c>
      <c r="I86" s="314" t="n">
        <v>30</v>
      </c>
      <c r="J86" s="314" t="n">
        <v>30</v>
      </c>
      <c r="K86" s="314">
        <f>SUMIF(안전재고!A:A,표11[[#This Row],[SKU코드]],안전재고!I:I)</f>
        <v/>
      </c>
      <c r="L86" s="314">
        <f>SUMIF(재고!C:C,공급물량!B86,재고!I:I)</f>
        <v/>
      </c>
      <c r="M86" s="568">
        <f>H86*I86*VLOOKUP(F86&amp;G86,{"AX",1;"AY",0.95;"AZ",0.85;"BX",0.95;"BY",0.85;"BZ",0.75;"CX",0.85;"CY",0.75;"CZ",0.65},2,0)+K86</f>
        <v/>
      </c>
      <c r="N86" s="569">
        <f>MAX(0,(표11[[#This Row],[적정재고]]-표11[[#This Row],[현재고]]))</f>
        <v/>
      </c>
      <c r="O86" s="314" t="n">
        <v>500</v>
      </c>
      <c r="P86" s="568">
        <f>CEILING(표11[[#This Row],[발주량]],표11[[#This Row],[MOQ]])</f>
        <v/>
      </c>
    </row>
    <row r="87">
      <c r="B87" s="158" t="inlineStr">
        <is>
          <t>ABC86</t>
        </is>
      </c>
      <c r="C87" s="327" t="n"/>
      <c r="D87" s="327" t="n"/>
      <c r="E87" s="328">
        <f>_xlfn.XLOOKUP(표11[[#This Row],[SKU코드]],'ABC-XYZ분석 (2)'!C:C,'ABC-XYZ분석 (2)'!I:I)</f>
        <v/>
      </c>
      <c r="F87" s="328">
        <f>_xlfn.XLOOKUP(표11[[#This Row],[SKU코드]],'ABC-XYZ분석 (2)'!C:C,'ABC-XYZ분석 (2)'!AC:AC)</f>
        <v/>
      </c>
      <c r="G87" s="312">
        <f>_xlfn.XLOOKUP(표11[[#This Row],[SKU코드]],'ABC-XYZ분석 (2)'!C:C,'ABC-XYZ분석 (2)'!AG:AG)</f>
        <v/>
      </c>
      <c r="H87" s="567">
        <f>SUMIF('ABC-XYZ분석 (2)'!C:C,표11[[#This Row],[SKU코드]],'ABC-XYZ분석 (2)'!X:X)/30</f>
        <v/>
      </c>
      <c r="I87" s="314" t="n">
        <v>30</v>
      </c>
      <c r="J87" s="314" t="n">
        <v>30</v>
      </c>
      <c r="K87" s="314">
        <f>SUMIF(안전재고!A:A,표11[[#This Row],[SKU코드]],안전재고!I:I)</f>
        <v/>
      </c>
      <c r="L87" s="314">
        <f>SUMIF(재고!C:C,공급물량!B87,재고!I:I)</f>
        <v/>
      </c>
      <c r="M87" s="568">
        <f>H87*I87*VLOOKUP(F87&amp;G87,{"AX",1;"AY",0.95;"AZ",0.85;"BX",0.95;"BY",0.85;"BZ",0.75;"CX",0.85;"CY",0.75;"CZ",0.65},2,0)+K87</f>
        <v/>
      </c>
      <c r="N87" s="569">
        <f>MAX(0,(표11[[#This Row],[적정재고]]-표11[[#This Row],[현재고]]))</f>
        <v/>
      </c>
      <c r="O87" s="314" t="n">
        <v>500</v>
      </c>
      <c r="P87" s="568">
        <f>CEILING(표11[[#This Row],[발주량]],표11[[#This Row],[MOQ]])</f>
        <v/>
      </c>
    </row>
    <row r="88">
      <c r="B88" s="158" t="inlineStr">
        <is>
          <t>ABC87</t>
        </is>
      </c>
      <c r="C88" s="327" t="n"/>
      <c r="D88" s="327" t="n"/>
      <c r="E88" s="328">
        <f>_xlfn.XLOOKUP(표11[[#This Row],[SKU코드]],'ABC-XYZ분석 (2)'!C:C,'ABC-XYZ분석 (2)'!I:I)</f>
        <v/>
      </c>
      <c r="F88" s="328">
        <f>_xlfn.XLOOKUP(표11[[#This Row],[SKU코드]],'ABC-XYZ분석 (2)'!C:C,'ABC-XYZ분석 (2)'!AC:AC)</f>
        <v/>
      </c>
      <c r="G88" s="312">
        <f>_xlfn.XLOOKUP(표11[[#This Row],[SKU코드]],'ABC-XYZ분석 (2)'!C:C,'ABC-XYZ분석 (2)'!AG:AG)</f>
        <v/>
      </c>
      <c r="H88" s="567">
        <f>SUMIF('ABC-XYZ분석 (2)'!C:C,표11[[#This Row],[SKU코드]],'ABC-XYZ분석 (2)'!X:X)/30</f>
        <v/>
      </c>
      <c r="I88" s="314" t="n">
        <v>30</v>
      </c>
      <c r="J88" s="314" t="n">
        <v>30</v>
      </c>
      <c r="K88" s="314">
        <f>SUMIF(안전재고!A:A,표11[[#This Row],[SKU코드]],안전재고!I:I)</f>
        <v/>
      </c>
      <c r="L88" s="314">
        <f>SUMIF(재고!C:C,공급물량!B88,재고!I:I)</f>
        <v/>
      </c>
      <c r="M88" s="568">
        <f>H88*I88*VLOOKUP(F88&amp;G88,{"AX",1;"AY",0.95;"AZ",0.85;"BX",0.95;"BY",0.85;"BZ",0.75;"CX",0.85;"CY",0.75;"CZ",0.65},2,0)+K88</f>
        <v/>
      </c>
      <c r="N88" s="569">
        <f>MAX(0,(표11[[#This Row],[적정재고]]-표11[[#This Row],[현재고]]))</f>
        <v/>
      </c>
      <c r="O88" s="314" t="n">
        <v>500</v>
      </c>
      <c r="P88" s="568">
        <f>CEILING(표11[[#This Row],[발주량]],표11[[#This Row],[MOQ]])</f>
        <v/>
      </c>
    </row>
    <row r="89">
      <c r="B89" s="158" t="inlineStr">
        <is>
          <t>ABC88</t>
        </is>
      </c>
      <c r="C89" s="327" t="n"/>
      <c r="D89" s="327" t="n"/>
      <c r="E89" s="328">
        <f>_xlfn.XLOOKUP(표11[[#This Row],[SKU코드]],'ABC-XYZ분석 (2)'!C:C,'ABC-XYZ분석 (2)'!I:I)</f>
        <v/>
      </c>
      <c r="F89" s="328">
        <f>_xlfn.XLOOKUP(표11[[#This Row],[SKU코드]],'ABC-XYZ분석 (2)'!C:C,'ABC-XYZ분석 (2)'!AC:AC)</f>
        <v/>
      </c>
      <c r="G89" s="312">
        <f>_xlfn.XLOOKUP(표11[[#This Row],[SKU코드]],'ABC-XYZ분석 (2)'!C:C,'ABC-XYZ분석 (2)'!AG:AG)</f>
        <v/>
      </c>
      <c r="H89" s="567">
        <f>SUMIF('ABC-XYZ분석 (2)'!C:C,표11[[#This Row],[SKU코드]],'ABC-XYZ분석 (2)'!X:X)/30</f>
        <v/>
      </c>
      <c r="I89" s="314" t="n">
        <v>30</v>
      </c>
      <c r="J89" s="314" t="n">
        <v>30</v>
      </c>
      <c r="K89" s="314">
        <f>SUMIF(안전재고!A:A,표11[[#This Row],[SKU코드]],안전재고!I:I)</f>
        <v/>
      </c>
      <c r="L89" s="314">
        <f>SUMIF(재고!C:C,공급물량!B89,재고!I:I)</f>
        <v/>
      </c>
      <c r="M89" s="568">
        <f>H89*I89*VLOOKUP(F89&amp;G89,{"AX",1;"AY",0.95;"AZ",0.85;"BX",0.95;"BY",0.85;"BZ",0.75;"CX",0.85;"CY",0.75;"CZ",0.65},2,0)+K89</f>
        <v/>
      </c>
      <c r="N89" s="569">
        <f>MAX(0,(표11[[#This Row],[적정재고]]-표11[[#This Row],[현재고]]))</f>
        <v/>
      </c>
      <c r="O89" s="314" t="n">
        <v>500</v>
      </c>
      <c r="P89" s="568">
        <f>CEILING(표11[[#This Row],[발주량]],표11[[#This Row],[MOQ]])</f>
        <v/>
      </c>
    </row>
    <row r="90">
      <c r="B90" s="158" t="inlineStr">
        <is>
          <t>ABC89</t>
        </is>
      </c>
      <c r="C90" s="327" t="n"/>
      <c r="D90" s="327" t="n"/>
      <c r="E90" s="328">
        <f>_xlfn.XLOOKUP(표11[[#This Row],[SKU코드]],'ABC-XYZ분석 (2)'!C:C,'ABC-XYZ분석 (2)'!I:I)</f>
        <v/>
      </c>
      <c r="F90" s="328">
        <f>_xlfn.XLOOKUP(표11[[#This Row],[SKU코드]],'ABC-XYZ분석 (2)'!C:C,'ABC-XYZ분석 (2)'!AC:AC)</f>
        <v/>
      </c>
      <c r="G90" s="312">
        <f>_xlfn.XLOOKUP(표11[[#This Row],[SKU코드]],'ABC-XYZ분석 (2)'!C:C,'ABC-XYZ분석 (2)'!AG:AG)</f>
        <v/>
      </c>
      <c r="H90" s="567">
        <f>SUMIF('ABC-XYZ분석 (2)'!C:C,표11[[#This Row],[SKU코드]],'ABC-XYZ분석 (2)'!X:X)/30</f>
        <v/>
      </c>
      <c r="I90" s="314" t="n">
        <v>30</v>
      </c>
      <c r="J90" s="314" t="n">
        <v>30</v>
      </c>
      <c r="K90" s="314">
        <f>SUMIF(안전재고!A:A,표11[[#This Row],[SKU코드]],안전재고!I:I)</f>
        <v/>
      </c>
      <c r="L90" s="314">
        <f>SUMIF(재고!C:C,공급물량!B90,재고!I:I)</f>
        <v/>
      </c>
      <c r="M90" s="568">
        <f>H90*I90*VLOOKUP(F90&amp;G90,{"AX",1;"AY",0.95;"AZ",0.85;"BX",0.95;"BY",0.85;"BZ",0.75;"CX",0.85;"CY",0.75;"CZ",0.65},2,0)+K90</f>
        <v/>
      </c>
      <c r="N90" s="569">
        <f>MAX(0,(표11[[#This Row],[적정재고]]-표11[[#This Row],[현재고]]))</f>
        <v/>
      </c>
      <c r="O90" s="314" t="n">
        <v>500</v>
      </c>
      <c r="P90" s="568">
        <f>CEILING(표11[[#This Row],[발주량]],표11[[#This Row],[MOQ]])</f>
        <v/>
      </c>
    </row>
    <row r="91">
      <c r="B91" s="158" t="inlineStr">
        <is>
          <t>ABC90</t>
        </is>
      </c>
      <c r="C91" s="327" t="n"/>
      <c r="D91" s="327" t="n"/>
      <c r="E91" s="328">
        <f>_xlfn.XLOOKUP(표11[[#This Row],[SKU코드]],'ABC-XYZ분석 (2)'!C:C,'ABC-XYZ분석 (2)'!I:I)</f>
        <v/>
      </c>
      <c r="F91" s="328">
        <f>_xlfn.XLOOKUP(표11[[#This Row],[SKU코드]],'ABC-XYZ분석 (2)'!C:C,'ABC-XYZ분석 (2)'!AC:AC)</f>
        <v/>
      </c>
      <c r="G91" s="312">
        <f>_xlfn.XLOOKUP(표11[[#This Row],[SKU코드]],'ABC-XYZ분석 (2)'!C:C,'ABC-XYZ분석 (2)'!AG:AG)</f>
        <v/>
      </c>
      <c r="H91" s="567">
        <f>SUMIF('ABC-XYZ분석 (2)'!C:C,표11[[#This Row],[SKU코드]],'ABC-XYZ분석 (2)'!X:X)/30</f>
        <v/>
      </c>
      <c r="I91" s="314" t="n">
        <v>30</v>
      </c>
      <c r="J91" s="314" t="n">
        <v>30</v>
      </c>
      <c r="K91" s="314">
        <f>SUMIF(안전재고!A:A,표11[[#This Row],[SKU코드]],안전재고!I:I)</f>
        <v/>
      </c>
      <c r="L91" s="314">
        <f>SUMIF(재고!C:C,공급물량!B91,재고!I:I)</f>
        <v/>
      </c>
      <c r="M91" s="568">
        <f>H91*I91*VLOOKUP(F91&amp;G91,{"AX",1;"AY",0.95;"AZ",0.85;"BX",0.95;"BY",0.85;"BZ",0.75;"CX",0.85;"CY",0.75;"CZ",0.65},2,0)+K91</f>
        <v/>
      </c>
      <c r="N91" s="569">
        <f>MAX(0,(표11[[#This Row],[적정재고]]-표11[[#This Row],[현재고]]))</f>
        <v/>
      </c>
      <c r="O91" s="314" t="n">
        <v>500</v>
      </c>
      <c r="P91" s="568">
        <f>CEILING(표11[[#This Row],[발주량]],표11[[#This Row],[MOQ]])</f>
        <v/>
      </c>
    </row>
    <row r="92">
      <c r="B92" s="158" t="inlineStr">
        <is>
          <t>ABC91</t>
        </is>
      </c>
      <c r="C92" s="327" t="n"/>
      <c r="D92" s="327" t="n"/>
      <c r="E92" s="328">
        <f>_xlfn.XLOOKUP(표11[[#This Row],[SKU코드]],'ABC-XYZ분석 (2)'!C:C,'ABC-XYZ분석 (2)'!I:I)</f>
        <v/>
      </c>
      <c r="F92" s="328">
        <f>_xlfn.XLOOKUP(표11[[#This Row],[SKU코드]],'ABC-XYZ분석 (2)'!C:C,'ABC-XYZ분석 (2)'!AC:AC)</f>
        <v/>
      </c>
      <c r="G92" s="312">
        <f>_xlfn.XLOOKUP(표11[[#This Row],[SKU코드]],'ABC-XYZ분석 (2)'!C:C,'ABC-XYZ분석 (2)'!AG:AG)</f>
        <v/>
      </c>
      <c r="H92" s="567">
        <f>SUMIF('ABC-XYZ분석 (2)'!C:C,표11[[#This Row],[SKU코드]],'ABC-XYZ분석 (2)'!X:X)/30</f>
        <v/>
      </c>
      <c r="I92" s="314" t="n">
        <v>30</v>
      </c>
      <c r="J92" s="314" t="n">
        <v>30</v>
      </c>
      <c r="K92" s="314">
        <f>SUMIF(안전재고!A:A,표11[[#This Row],[SKU코드]],안전재고!I:I)</f>
        <v/>
      </c>
      <c r="L92" s="314">
        <f>SUMIF(재고!C:C,공급물량!B92,재고!I:I)</f>
        <v/>
      </c>
      <c r="M92" s="568">
        <f>H92*I92*VLOOKUP(F92&amp;G92,{"AX",1;"AY",0.95;"AZ",0.85;"BX",0.95;"BY",0.85;"BZ",0.75;"CX",0.85;"CY",0.75;"CZ",0.65},2,0)+K92</f>
        <v/>
      </c>
      <c r="N92" s="569">
        <f>MAX(0,(표11[[#This Row],[적정재고]]-표11[[#This Row],[현재고]]))</f>
        <v/>
      </c>
      <c r="O92" s="314" t="n">
        <v>500</v>
      </c>
      <c r="P92" s="568">
        <f>CEILING(표11[[#This Row],[발주량]],표11[[#This Row],[MOQ]])</f>
        <v/>
      </c>
    </row>
    <row r="93">
      <c r="B93" s="158" t="inlineStr">
        <is>
          <t>ABC92</t>
        </is>
      </c>
      <c r="C93" s="327" t="n"/>
      <c r="D93" s="327" t="n"/>
      <c r="E93" s="328">
        <f>_xlfn.XLOOKUP(표11[[#This Row],[SKU코드]],'ABC-XYZ분석 (2)'!C:C,'ABC-XYZ분석 (2)'!I:I)</f>
        <v/>
      </c>
      <c r="F93" s="328">
        <f>_xlfn.XLOOKUP(표11[[#This Row],[SKU코드]],'ABC-XYZ분석 (2)'!C:C,'ABC-XYZ분석 (2)'!AC:AC)</f>
        <v/>
      </c>
      <c r="G93" s="312">
        <f>_xlfn.XLOOKUP(표11[[#This Row],[SKU코드]],'ABC-XYZ분석 (2)'!C:C,'ABC-XYZ분석 (2)'!AG:AG)</f>
        <v/>
      </c>
      <c r="H93" s="567">
        <f>SUMIF('ABC-XYZ분석 (2)'!C:C,표11[[#This Row],[SKU코드]],'ABC-XYZ분석 (2)'!X:X)/30</f>
        <v/>
      </c>
      <c r="I93" s="314" t="n">
        <v>30</v>
      </c>
      <c r="J93" s="314" t="n">
        <v>30</v>
      </c>
      <c r="K93" s="314">
        <f>SUMIF(안전재고!A:A,표11[[#This Row],[SKU코드]],안전재고!I:I)</f>
        <v/>
      </c>
      <c r="L93" s="314">
        <f>SUMIF(재고!C:C,공급물량!B93,재고!I:I)</f>
        <v/>
      </c>
      <c r="M93" s="568">
        <f>H93*I93*VLOOKUP(F93&amp;G93,{"AX",1;"AY",0.95;"AZ",0.85;"BX",0.95;"BY",0.85;"BZ",0.75;"CX",0.85;"CY",0.75;"CZ",0.65},2,0)+K93</f>
        <v/>
      </c>
      <c r="N93" s="569">
        <f>MAX(0,(표11[[#This Row],[적정재고]]-표11[[#This Row],[현재고]]))</f>
        <v/>
      </c>
      <c r="O93" s="314" t="n">
        <v>500</v>
      </c>
      <c r="P93" s="568">
        <f>CEILING(표11[[#This Row],[발주량]],표11[[#This Row],[MOQ]])</f>
        <v/>
      </c>
    </row>
    <row r="94">
      <c r="B94" s="158" t="inlineStr">
        <is>
          <t>ABC93</t>
        </is>
      </c>
      <c r="C94" s="327" t="n"/>
      <c r="D94" s="327" t="n"/>
      <c r="E94" s="328">
        <f>_xlfn.XLOOKUP(표11[[#This Row],[SKU코드]],'ABC-XYZ분석 (2)'!C:C,'ABC-XYZ분석 (2)'!I:I)</f>
        <v/>
      </c>
      <c r="F94" s="328">
        <f>_xlfn.XLOOKUP(표11[[#This Row],[SKU코드]],'ABC-XYZ분석 (2)'!C:C,'ABC-XYZ분석 (2)'!AC:AC)</f>
        <v/>
      </c>
      <c r="G94" s="312">
        <f>_xlfn.XLOOKUP(표11[[#This Row],[SKU코드]],'ABC-XYZ분석 (2)'!C:C,'ABC-XYZ분석 (2)'!AG:AG)</f>
        <v/>
      </c>
      <c r="H94" s="567">
        <f>SUMIF('ABC-XYZ분석 (2)'!C:C,표11[[#This Row],[SKU코드]],'ABC-XYZ분석 (2)'!X:X)/30</f>
        <v/>
      </c>
      <c r="I94" s="314" t="n">
        <v>30</v>
      </c>
      <c r="J94" s="314" t="n">
        <v>30</v>
      </c>
      <c r="K94" s="314">
        <f>SUMIF(안전재고!A:A,표11[[#This Row],[SKU코드]],안전재고!I:I)</f>
        <v/>
      </c>
      <c r="L94" s="314">
        <f>SUMIF(재고!C:C,공급물량!B94,재고!I:I)</f>
        <v/>
      </c>
      <c r="M94" s="568">
        <f>H94*I94*VLOOKUP(F94&amp;G94,{"AX",1;"AY",0.95;"AZ",0.85;"BX",0.95;"BY",0.85;"BZ",0.75;"CX",0.85;"CY",0.75;"CZ",0.65},2,0)+K94</f>
        <v/>
      </c>
      <c r="N94" s="569">
        <f>MAX(0,(표11[[#This Row],[적정재고]]-표11[[#This Row],[현재고]]))</f>
        <v/>
      </c>
      <c r="O94" s="314" t="n">
        <v>500</v>
      </c>
      <c r="P94" s="568">
        <f>CEILING(표11[[#This Row],[발주량]],표11[[#This Row],[MOQ]])</f>
        <v/>
      </c>
    </row>
    <row r="95">
      <c r="B95" s="158" t="inlineStr">
        <is>
          <t>ABC94</t>
        </is>
      </c>
      <c r="C95" s="327" t="n"/>
      <c r="D95" s="327" t="n"/>
      <c r="E95" s="328">
        <f>_xlfn.XLOOKUP(표11[[#This Row],[SKU코드]],'ABC-XYZ분석 (2)'!C:C,'ABC-XYZ분석 (2)'!I:I)</f>
        <v/>
      </c>
      <c r="F95" s="328">
        <f>_xlfn.XLOOKUP(표11[[#This Row],[SKU코드]],'ABC-XYZ분석 (2)'!C:C,'ABC-XYZ분석 (2)'!AC:AC)</f>
        <v/>
      </c>
      <c r="G95" s="312">
        <f>_xlfn.XLOOKUP(표11[[#This Row],[SKU코드]],'ABC-XYZ분석 (2)'!C:C,'ABC-XYZ분석 (2)'!AG:AG)</f>
        <v/>
      </c>
      <c r="H95" s="567">
        <f>SUMIF('ABC-XYZ분석 (2)'!C:C,표11[[#This Row],[SKU코드]],'ABC-XYZ분석 (2)'!X:X)/30</f>
        <v/>
      </c>
      <c r="I95" s="314" t="n">
        <v>30</v>
      </c>
      <c r="J95" s="314" t="n">
        <v>30</v>
      </c>
      <c r="K95" s="314">
        <f>SUMIF(안전재고!A:A,표11[[#This Row],[SKU코드]],안전재고!I:I)</f>
        <v/>
      </c>
      <c r="L95" s="314">
        <f>SUMIF(재고!C:C,공급물량!B95,재고!I:I)</f>
        <v/>
      </c>
      <c r="M95" s="568">
        <f>H95*I95*VLOOKUP(F95&amp;G95,{"AX",1;"AY",0.95;"AZ",0.85;"BX",0.95;"BY",0.85;"BZ",0.75;"CX",0.85;"CY",0.75;"CZ",0.65},2,0)+K95</f>
        <v/>
      </c>
      <c r="N95" s="569">
        <f>MAX(0,(표11[[#This Row],[적정재고]]-표11[[#This Row],[현재고]]))</f>
        <v/>
      </c>
      <c r="O95" s="314" t="n">
        <v>500</v>
      </c>
      <c r="P95" s="568">
        <f>CEILING(표11[[#This Row],[발주량]],표11[[#This Row],[MOQ]])</f>
        <v/>
      </c>
    </row>
    <row r="96">
      <c r="B96" s="158" t="inlineStr">
        <is>
          <t>ABC95</t>
        </is>
      </c>
      <c r="C96" s="327" t="n"/>
      <c r="D96" s="327" t="n"/>
      <c r="E96" s="328">
        <f>_xlfn.XLOOKUP(표11[[#This Row],[SKU코드]],'ABC-XYZ분석 (2)'!C:C,'ABC-XYZ분석 (2)'!I:I)</f>
        <v/>
      </c>
      <c r="F96" s="328">
        <f>_xlfn.XLOOKUP(표11[[#This Row],[SKU코드]],'ABC-XYZ분석 (2)'!C:C,'ABC-XYZ분석 (2)'!AC:AC)</f>
        <v/>
      </c>
      <c r="G96" s="312">
        <f>_xlfn.XLOOKUP(표11[[#This Row],[SKU코드]],'ABC-XYZ분석 (2)'!C:C,'ABC-XYZ분석 (2)'!AG:AG)</f>
        <v/>
      </c>
      <c r="H96" s="567">
        <f>SUMIF('ABC-XYZ분석 (2)'!C:C,표11[[#This Row],[SKU코드]],'ABC-XYZ분석 (2)'!X:X)/30</f>
        <v/>
      </c>
      <c r="I96" s="314" t="n">
        <v>30</v>
      </c>
      <c r="J96" s="314" t="n">
        <v>30</v>
      </c>
      <c r="K96" s="314">
        <f>SUMIF(안전재고!A:A,표11[[#This Row],[SKU코드]],안전재고!I:I)</f>
        <v/>
      </c>
      <c r="L96" s="314">
        <f>SUMIF(재고!C:C,공급물량!B96,재고!I:I)</f>
        <v/>
      </c>
      <c r="M96" s="568">
        <f>H96*I96*VLOOKUP(F96&amp;G96,{"AX",1;"AY",0.95;"AZ",0.85;"BX",0.95;"BY",0.85;"BZ",0.75;"CX",0.85;"CY",0.75;"CZ",0.65},2,0)+K96</f>
        <v/>
      </c>
      <c r="N96" s="569">
        <f>MAX(0,(표11[[#This Row],[적정재고]]-표11[[#This Row],[현재고]]))</f>
        <v/>
      </c>
      <c r="O96" s="314" t="n">
        <v>500</v>
      </c>
      <c r="P96" s="568">
        <f>CEILING(표11[[#This Row],[발주량]],표11[[#This Row],[MOQ]])</f>
        <v/>
      </c>
    </row>
    <row r="97">
      <c r="B97" s="158" t="inlineStr">
        <is>
          <t>ABC96</t>
        </is>
      </c>
      <c r="C97" s="327" t="n"/>
      <c r="D97" s="327" t="n"/>
      <c r="E97" s="328">
        <f>_xlfn.XLOOKUP(표11[[#This Row],[SKU코드]],'ABC-XYZ분석 (2)'!C:C,'ABC-XYZ분석 (2)'!I:I)</f>
        <v/>
      </c>
      <c r="F97" s="328">
        <f>_xlfn.XLOOKUP(표11[[#This Row],[SKU코드]],'ABC-XYZ분석 (2)'!C:C,'ABC-XYZ분석 (2)'!AC:AC)</f>
        <v/>
      </c>
      <c r="G97" s="312">
        <f>_xlfn.XLOOKUP(표11[[#This Row],[SKU코드]],'ABC-XYZ분석 (2)'!C:C,'ABC-XYZ분석 (2)'!AG:AG)</f>
        <v/>
      </c>
      <c r="H97" s="567">
        <f>SUMIF('ABC-XYZ분석 (2)'!C:C,표11[[#This Row],[SKU코드]],'ABC-XYZ분석 (2)'!X:X)/30</f>
        <v/>
      </c>
      <c r="I97" s="314" t="n">
        <v>30</v>
      </c>
      <c r="J97" s="314" t="n">
        <v>30</v>
      </c>
      <c r="K97" s="314">
        <f>SUMIF(안전재고!A:A,표11[[#This Row],[SKU코드]],안전재고!I:I)</f>
        <v/>
      </c>
      <c r="L97" s="314">
        <f>SUMIF(재고!C:C,공급물량!B97,재고!I:I)</f>
        <v/>
      </c>
      <c r="M97" s="568">
        <f>H97*I97*VLOOKUP(F97&amp;G97,{"AX",1;"AY",0.95;"AZ",0.85;"BX",0.95;"BY",0.85;"BZ",0.75;"CX",0.85;"CY",0.75;"CZ",0.65},2,0)+K97</f>
        <v/>
      </c>
      <c r="N97" s="569">
        <f>MAX(0,(표11[[#This Row],[적정재고]]-표11[[#This Row],[현재고]]))</f>
        <v/>
      </c>
      <c r="O97" s="314" t="n">
        <v>500</v>
      </c>
      <c r="P97" s="568">
        <f>CEILING(표11[[#This Row],[발주량]],표11[[#This Row],[MOQ]])</f>
        <v/>
      </c>
    </row>
    <row r="98">
      <c r="B98" s="158" t="inlineStr">
        <is>
          <t>ABC97</t>
        </is>
      </c>
      <c r="C98" s="327" t="n"/>
      <c r="D98" s="327" t="n"/>
      <c r="E98" s="328">
        <f>_xlfn.XLOOKUP(표11[[#This Row],[SKU코드]],'ABC-XYZ분석 (2)'!C:C,'ABC-XYZ분석 (2)'!I:I)</f>
        <v/>
      </c>
      <c r="F98" s="328">
        <f>_xlfn.XLOOKUP(표11[[#This Row],[SKU코드]],'ABC-XYZ분석 (2)'!C:C,'ABC-XYZ분석 (2)'!AC:AC)</f>
        <v/>
      </c>
      <c r="G98" s="312">
        <f>_xlfn.XLOOKUP(표11[[#This Row],[SKU코드]],'ABC-XYZ분석 (2)'!C:C,'ABC-XYZ분석 (2)'!AG:AG)</f>
        <v/>
      </c>
      <c r="H98" s="567">
        <f>SUMIF('ABC-XYZ분석 (2)'!C:C,표11[[#This Row],[SKU코드]],'ABC-XYZ분석 (2)'!X:X)/30</f>
        <v/>
      </c>
      <c r="I98" s="314" t="n">
        <v>30</v>
      </c>
      <c r="J98" s="314" t="n">
        <v>30</v>
      </c>
      <c r="K98" s="314">
        <f>SUMIF(안전재고!A:A,표11[[#This Row],[SKU코드]],안전재고!I:I)</f>
        <v/>
      </c>
      <c r="L98" s="314">
        <f>SUMIF(재고!C:C,공급물량!B98,재고!I:I)</f>
        <v/>
      </c>
      <c r="M98" s="568">
        <f>H98*I98*VLOOKUP(F98&amp;G98,{"AX",1;"AY",0.95;"AZ",0.85;"BX",0.95;"BY",0.85;"BZ",0.75;"CX",0.85;"CY",0.75;"CZ",0.65},2,0)+K98</f>
        <v/>
      </c>
      <c r="N98" s="569">
        <f>MAX(0,(표11[[#This Row],[적정재고]]-표11[[#This Row],[현재고]]))</f>
        <v/>
      </c>
      <c r="O98" s="314" t="n">
        <v>500</v>
      </c>
      <c r="P98" s="568">
        <f>CEILING(표11[[#This Row],[발주량]],표11[[#This Row],[MOQ]])</f>
        <v/>
      </c>
    </row>
    <row r="99">
      <c r="B99" s="158" t="inlineStr">
        <is>
          <t>ABC98</t>
        </is>
      </c>
      <c r="C99" s="327" t="n"/>
      <c r="D99" s="327" t="n"/>
      <c r="E99" s="328">
        <f>_xlfn.XLOOKUP(표11[[#This Row],[SKU코드]],'ABC-XYZ분석 (2)'!C:C,'ABC-XYZ분석 (2)'!I:I)</f>
        <v/>
      </c>
      <c r="F99" s="328">
        <f>_xlfn.XLOOKUP(표11[[#This Row],[SKU코드]],'ABC-XYZ분석 (2)'!C:C,'ABC-XYZ분석 (2)'!AC:AC)</f>
        <v/>
      </c>
      <c r="G99" s="312">
        <f>_xlfn.XLOOKUP(표11[[#This Row],[SKU코드]],'ABC-XYZ분석 (2)'!C:C,'ABC-XYZ분석 (2)'!AG:AG)</f>
        <v/>
      </c>
      <c r="H99" s="567">
        <f>SUMIF('ABC-XYZ분석 (2)'!C:C,표11[[#This Row],[SKU코드]],'ABC-XYZ분석 (2)'!X:X)/30</f>
        <v/>
      </c>
      <c r="I99" s="314" t="n">
        <v>30</v>
      </c>
      <c r="J99" s="314" t="n">
        <v>30</v>
      </c>
      <c r="K99" s="314">
        <f>SUMIF(안전재고!A:A,표11[[#This Row],[SKU코드]],안전재고!I:I)</f>
        <v/>
      </c>
      <c r="L99" s="314">
        <f>SUMIF(재고!C:C,공급물량!B99,재고!I:I)</f>
        <v/>
      </c>
      <c r="M99" s="568">
        <f>H99*I99*VLOOKUP(F99&amp;G99,{"AX",1;"AY",0.95;"AZ",0.85;"BX",0.95;"BY",0.85;"BZ",0.75;"CX",0.85;"CY",0.75;"CZ",0.65},2,0)+K99</f>
        <v/>
      </c>
      <c r="N99" s="569">
        <f>MAX(0,(표11[[#This Row],[적정재고]]-표11[[#This Row],[현재고]]))</f>
        <v/>
      </c>
      <c r="O99" s="314" t="n">
        <v>500</v>
      </c>
      <c r="P99" s="568">
        <f>CEILING(표11[[#This Row],[발주량]],표11[[#This Row],[MOQ]])</f>
        <v/>
      </c>
    </row>
    <row r="100">
      <c r="B100" s="158" t="inlineStr">
        <is>
          <t>ABC99</t>
        </is>
      </c>
      <c r="C100" s="327" t="n"/>
      <c r="D100" s="327" t="n"/>
      <c r="E100" s="328">
        <f>_xlfn.XLOOKUP(표11[[#This Row],[SKU코드]],'ABC-XYZ분석 (2)'!C:C,'ABC-XYZ분석 (2)'!I:I)</f>
        <v/>
      </c>
      <c r="F100" s="328">
        <f>_xlfn.XLOOKUP(표11[[#This Row],[SKU코드]],'ABC-XYZ분석 (2)'!C:C,'ABC-XYZ분석 (2)'!AC:AC)</f>
        <v/>
      </c>
      <c r="G100" s="312">
        <f>_xlfn.XLOOKUP(표11[[#This Row],[SKU코드]],'ABC-XYZ분석 (2)'!C:C,'ABC-XYZ분석 (2)'!AG:AG)</f>
        <v/>
      </c>
      <c r="H100" s="567">
        <f>SUMIF('ABC-XYZ분석 (2)'!C:C,표11[[#This Row],[SKU코드]],'ABC-XYZ분석 (2)'!X:X)/30</f>
        <v/>
      </c>
      <c r="I100" s="314" t="n">
        <v>30</v>
      </c>
      <c r="J100" s="314" t="n">
        <v>30</v>
      </c>
      <c r="K100" s="314">
        <f>SUMIF(안전재고!A:A,표11[[#This Row],[SKU코드]],안전재고!I:I)</f>
        <v/>
      </c>
      <c r="L100" s="314">
        <f>SUMIF(재고!C:C,공급물량!B100,재고!I:I)</f>
        <v/>
      </c>
      <c r="M100" s="568">
        <f>H100*I100*VLOOKUP(F100&amp;G100,{"AX",1;"AY",0.95;"AZ",0.85;"BX",0.95;"BY",0.85;"BZ",0.75;"CX",0.85;"CY",0.75;"CZ",0.65},2,0)+K100</f>
        <v/>
      </c>
      <c r="N100" s="569">
        <f>MAX(0,(표11[[#This Row],[적정재고]]-표11[[#This Row],[현재고]]))</f>
        <v/>
      </c>
      <c r="O100" s="314" t="n">
        <v>500</v>
      </c>
      <c r="P100" s="568">
        <f>CEILING(표11[[#This Row],[발주량]],표11[[#This Row],[MOQ]])</f>
        <v/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4"/>
  <sheetViews>
    <sheetView showGridLines="0" workbookViewId="0">
      <selection activeCell="I17" sqref="I17"/>
    </sheetView>
  </sheetViews>
  <sheetFormatPr baseColWidth="8" defaultRowHeight="16.5"/>
  <cols>
    <col width="11.125" bestFit="1" customWidth="1" style="480" min="1" max="1"/>
    <col width="7.5" customWidth="1" style="480" min="2" max="2"/>
    <col width="8.375" customWidth="1" style="480" min="3" max="3"/>
    <col width="11" customWidth="1" style="480" min="4" max="4"/>
    <col width="8.375" customWidth="1" style="480" min="5" max="6"/>
    <col width="10.25" customWidth="1" style="480" min="7" max="7"/>
    <col width="19" customWidth="1" style="480" min="8" max="9"/>
    <col width="12.125" customWidth="1" style="480" min="10" max="10"/>
  </cols>
  <sheetData>
    <row r="1">
      <c r="A1" s="474" t="inlineStr">
        <is>
          <t>발주일</t>
        </is>
      </c>
      <c r="B1" s="475" t="inlineStr">
        <is>
          <t>SKU#</t>
        </is>
      </c>
      <c r="C1" s="475" t="inlineStr">
        <is>
          <t>제품명</t>
        </is>
      </c>
      <c r="D1" s="475" t="inlineStr">
        <is>
          <t>ABC/XYZ</t>
        </is>
      </c>
      <c r="E1" s="475" t="inlineStr">
        <is>
          <t>현재고</t>
        </is>
      </c>
      <c r="F1" s="475" t="inlineStr">
        <is>
          <t>발주량</t>
        </is>
      </c>
      <c r="G1" s="475" t="inlineStr">
        <is>
          <t>구매원가</t>
        </is>
      </c>
      <c r="H1" s="475" t="inlineStr">
        <is>
          <t>발주 전 재고소진일</t>
        </is>
      </c>
      <c r="I1" s="475" t="inlineStr">
        <is>
          <t>발주 후 재고소진일</t>
        </is>
      </c>
      <c r="J1" s="475" t="inlineStr">
        <is>
          <t>예상입고일</t>
        </is>
      </c>
    </row>
    <row r="2">
      <c r="A2" s="256" t="n">
        <v>46058.49282747685</v>
      </c>
      <c r="B2" t="inlineStr">
        <is>
          <t>ABC3</t>
        </is>
      </c>
      <c r="D2" t="inlineStr">
        <is>
          <t>A/None</t>
        </is>
      </c>
      <c r="E2" t="n">
        <v>0</v>
      </c>
      <c r="F2" t="n">
        <v>97</v>
      </c>
      <c r="G2" t="n">
        <v>0</v>
      </c>
      <c r="H2" t="n">
        <v>0</v>
      </c>
      <c r="I2" t="n">
        <v>36.64444444444445</v>
      </c>
      <c r="J2" s="570" t="n">
        <v>46088.49282747685</v>
      </c>
    </row>
    <row r="3">
      <c r="A3" s="570" t="n">
        <v>46058.49283793981</v>
      </c>
      <c r="B3" t="inlineStr">
        <is>
          <t>ABC4</t>
        </is>
      </c>
      <c r="D3" t="inlineStr">
        <is>
          <t>A/None</t>
        </is>
      </c>
      <c r="E3" t="n">
        <v>0</v>
      </c>
      <c r="F3" t="n">
        <v>151</v>
      </c>
      <c r="G3" t="n">
        <v>0</v>
      </c>
      <c r="H3" t="n">
        <v>0</v>
      </c>
      <c r="I3" t="n">
        <v>36.91111111111111</v>
      </c>
      <c r="J3" s="570" t="n">
        <v>46088.49283793981</v>
      </c>
    </row>
    <row r="4">
      <c r="A4" s="570" t="n">
        <v>46058.49284681713</v>
      </c>
      <c r="B4" t="inlineStr">
        <is>
          <t>ABC5</t>
        </is>
      </c>
      <c r="D4" t="inlineStr">
        <is>
          <t>A/None</t>
        </is>
      </c>
      <c r="E4" t="n">
        <v>0</v>
      </c>
      <c r="F4" t="n">
        <v>208</v>
      </c>
      <c r="G4" t="n">
        <v>0</v>
      </c>
      <c r="H4" t="n">
        <v>0</v>
      </c>
      <c r="I4" t="n">
        <v>36.97777777777777</v>
      </c>
      <c r="J4" s="570" t="n">
        <v>46088.49284681713</v>
      </c>
    </row>
    <row r="5">
      <c r="A5" s="570" t="n">
        <v>46058.49285717592</v>
      </c>
      <c r="B5" t="inlineStr">
        <is>
          <t>ABC6</t>
        </is>
      </c>
      <c r="D5" t="inlineStr">
        <is>
          <t>A/None</t>
        </is>
      </c>
      <c r="E5" t="n">
        <v>0</v>
      </c>
      <c r="F5" t="n">
        <v>222</v>
      </c>
      <c r="G5" t="n">
        <v>0</v>
      </c>
      <c r="H5" t="n">
        <v>0</v>
      </c>
      <c r="I5" t="n">
        <v>37</v>
      </c>
      <c r="J5" s="570" t="n">
        <v>46088.49285717592</v>
      </c>
    </row>
    <row r="6">
      <c r="A6" s="570" t="n">
        <v>46058.49286635417</v>
      </c>
      <c r="B6" t="inlineStr">
        <is>
          <t>ABC7</t>
        </is>
      </c>
      <c r="D6" t="inlineStr">
        <is>
          <t>A/None</t>
        </is>
      </c>
      <c r="E6" t="n">
        <v>0</v>
      </c>
      <c r="F6" t="n">
        <v>185</v>
      </c>
      <c r="G6" t="n">
        <v>0</v>
      </c>
      <c r="H6" t="n">
        <v>0</v>
      </c>
      <c r="I6" t="n">
        <v>37</v>
      </c>
      <c r="J6" s="570" t="n">
        <v>46088.49286635417</v>
      </c>
    </row>
    <row r="7">
      <c r="A7" s="570" t="n">
        <v>46058.49287591435</v>
      </c>
      <c r="B7" t="inlineStr">
        <is>
          <t>ABC8</t>
        </is>
      </c>
      <c r="D7" t="inlineStr">
        <is>
          <t>A/None</t>
        </is>
      </c>
      <c r="E7" t="n">
        <v>0</v>
      </c>
      <c r="F7" t="n">
        <v>1</v>
      </c>
      <c r="G7" t="n">
        <v>0</v>
      </c>
      <c r="H7" t="n">
        <v>0</v>
      </c>
      <c r="I7" t="n">
        <v>34.27777777777778</v>
      </c>
      <c r="J7" s="570" t="n">
        <v>46088.49287591435</v>
      </c>
    </row>
    <row r="8">
      <c r="A8" s="570" t="n">
        <v>46058.49288491898</v>
      </c>
      <c r="B8" t="inlineStr">
        <is>
          <t>ABC9</t>
        </is>
      </c>
      <c r="D8" t="inlineStr">
        <is>
          <t>A/None</t>
        </is>
      </c>
      <c r="E8" t="n">
        <v>0</v>
      </c>
      <c r="F8" t="n">
        <v>302</v>
      </c>
      <c r="G8" t="n">
        <v>0</v>
      </c>
      <c r="H8" t="n">
        <v>0</v>
      </c>
      <c r="I8" t="n">
        <v>36.91111111111111</v>
      </c>
      <c r="J8" s="570" t="n">
        <v>46088.49288491898</v>
      </c>
    </row>
    <row r="9">
      <c r="A9" s="570" t="n">
        <v>46058.49289439815</v>
      </c>
      <c r="B9" t="inlineStr">
        <is>
          <t>ABC10</t>
        </is>
      </c>
      <c r="D9" t="inlineStr">
        <is>
          <t>A/None</t>
        </is>
      </c>
      <c r="E9" t="n">
        <v>0</v>
      </c>
      <c r="F9" t="n">
        <v>2</v>
      </c>
      <c r="G9" t="n">
        <v>0</v>
      </c>
      <c r="H9" t="n">
        <v>0</v>
      </c>
      <c r="I9" t="n">
        <v>32.06666666666666</v>
      </c>
      <c r="J9" s="570" t="n">
        <v>46088.49289439815</v>
      </c>
    </row>
    <row r="10">
      <c r="A10" s="570" t="n">
        <v>46058.49290371528</v>
      </c>
      <c r="B10" t="inlineStr">
        <is>
          <t>ABC15</t>
        </is>
      </c>
      <c r="D10" t="inlineStr">
        <is>
          <t>A/None</t>
        </is>
      </c>
      <c r="E10" t="n">
        <v>0</v>
      </c>
      <c r="F10" t="n">
        <v>302</v>
      </c>
      <c r="G10" t="n">
        <v>0</v>
      </c>
      <c r="H10" t="n">
        <v>0</v>
      </c>
      <c r="I10" t="n">
        <v>36.91111111111111</v>
      </c>
      <c r="J10" s="570" t="n">
        <v>46088.49290371528</v>
      </c>
    </row>
    <row r="11">
      <c r="A11" s="570" t="n">
        <v>46058.49291328704</v>
      </c>
      <c r="B11" t="inlineStr">
        <is>
          <t>ABC27</t>
        </is>
      </c>
      <c r="D11" t="inlineStr">
        <is>
          <t>A/None</t>
        </is>
      </c>
      <c r="E11" t="n">
        <v>5</v>
      </c>
      <c r="F11" t="n">
        <v>328</v>
      </c>
      <c r="G11" t="n">
        <v>0</v>
      </c>
      <c r="H11" t="n">
        <v>0</v>
      </c>
      <c r="I11" t="n">
        <v>37</v>
      </c>
      <c r="J11" s="570" t="n">
        <v>46088.49291328704</v>
      </c>
    </row>
    <row r="12">
      <c r="A12" t="inlineStr">
        <is>
          <t>2026-02-05</t>
        </is>
      </c>
      <c r="B12" t="inlineStr">
        <is>
          <t>ABC3</t>
        </is>
      </c>
      <c r="D12" t="inlineStr">
        <is>
          <t>A/None</t>
        </is>
      </c>
      <c r="E12" t="n">
        <v>0</v>
      </c>
      <c r="F12" t="n">
        <v>97</v>
      </c>
      <c r="G12" t="n">
        <v>11.33333333333333</v>
      </c>
      <c r="H12" t="n">
        <v>0</v>
      </c>
      <c r="I12" t="n">
        <v>36.64444444444445</v>
      </c>
      <c r="J12" t="inlineStr">
        <is>
          <t>2026-03-07</t>
        </is>
      </c>
    </row>
    <row r="13">
      <c r="A13" t="inlineStr">
        <is>
          <t>2026-02-05</t>
        </is>
      </c>
      <c r="B13" t="inlineStr">
        <is>
          <t>ABC4</t>
        </is>
      </c>
      <c r="D13" t="inlineStr">
        <is>
          <t>A/None</t>
        </is>
      </c>
      <c r="E13" t="n">
        <v>0</v>
      </c>
      <c r="F13" t="n">
        <v>151</v>
      </c>
      <c r="G13" t="n">
        <v>7.333333333333333</v>
      </c>
      <c r="H13" t="n">
        <v>0</v>
      </c>
      <c r="I13" t="n">
        <v>36.91111111111111</v>
      </c>
      <c r="J13" t="inlineStr">
        <is>
          <t>2026-03-07</t>
        </is>
      </c>
    </row>
    <row r="14">
      <c r="A14" t="inlineStr">
        <is>
          <t>2026-02-05</t>
        </is>
      </c>
      <c r="B14" t="inlineStr">
        <is>
          <t>ABC5</t>
        </is>
      </c>
      <c r="D14" t="inlineStr">
        <is>
          <t>A/None</t>
        </is>
      </c>
      <c r="E14" t="n">
        <v>0</v>
      </c>
      <c r="F14" t="n">
        <v>208</v>
      </c>
      <c r="G14" t="n">
        <v>5.333333333333333</v>
      </c>
      <c r="H14" t="n">
        <v>0</v>
      </c>
      <c r="I14" t="n">
        <v>36.97777777777777</v>
      </c>
      <c r="J14" t="inlineStr">
        <is>
          <t>2026-03-07</t>
        </is>
      </c>
    </row>
    <row r="15">
      <c r="A15" t="inlineStr">
        <is>
          <t>2026-02-05</t>
        </is>
      </c>
      <c r="B15" t="inlineStr">
        <is>
          <t>ABC6</t>
        </is>
      </c>
      <c r="D15" t="inlineStr">
        <is>
          <t>A/None</t>
        </is>
      </c>
      <c r="E15" t="n">
        <v>0</v>
      </c>
      <c r="F15" t="n">
        <v>222</v>
      </c>
      <c r="G15" t="n">
        <v>5</v>
      </c>
      <c r="H15" t="n">
        <v>0</v>
      </c>
      <c r="I15" t="n">
        <v>37</v>
      </c>
      <c r="J15" t="inlineStr">
        <is>
          <t>2026-03-07</t>
        </is>
      </c>
    </row>
    <row r="16">
      <c r="A16" t="inlineStr">
        <is>
          <t>2026-02-05</t>
        </is>
      </c>
      <c r="B16" t="inlineStr">
        <is>
          <t>ABC7</t>
        </is>
      </c>
      <c r="D16" t="inlineStr">
        <is>
          <t>A/None</t>
        </is>
      </c>
      <c r="E16" t="n">
        <v>0</v>
      </c>
      <c r="F16" t="n">
        <v>185</v>
      </c>
      <c r="G16" t="n">
        <v>6</v>
      </c>
      <c r="H16" t="n">
        <v>0</v>
      </c>
      <c r="I16" t="n">
        <v>37</v>
      </c>
      <c r="J16" t="inlineStr">
        <is>
          <t>2026-03-07</t>
        </is>
      </c>
    </row>
    <row r="17">
      <c r="A17" t="inlineStr">
        <is>
          <t>2026-02-05</t>
        </is>
      </c>
      <c r="B17" t="inlineStr">
        <is>
          <t>ABC8</t>
        </is>
      </c>
      <c r="D17" t="inlineStr">
        <is>
          <t>A/None</t>
        </is>
      </c>
      <c r="E17" t="n">
        <v>0</v>
      </c>
      <c r="F17" t="n">
        <v>1</v>
      </c>
      <c r="G17" t="n">
        <v>1028.333333333333</v>
      </c>
      <c r="H17" t="n">
        <v>0</v>
      </c>
      <c r="I17" t="n">
        <v>34.27777777777778</v>
      </c>
      <c r="J17" t="inlineStr">
        <is>
          <t>2026-03-07</t>
        </is>
      </c>
    </row>
    <row r="18">
      <c r="A18" t="inlineStr">
        <is>
          <t>2026-02-05</t>
        </is>
      </c>
      <c r="B18" t="inlineStr">
        <is>
          <t>ABC9</t>
        </is>
      </c>
      <c r="D18" t="inlineStr">
        <is>
          <t>A/None</t>
        </is>
      </c>
      <c r="E18" t="n">
        <v>0</v>
      </c>
      <c r="F18" t="n">
        <v>302</v>
      </c>
      <c r="G18" t="n">
        <v>3.666666666666667</v>
      </c>
      <c r="H18" t="n">
        <v>0</v>
      </c>
      <c r="I18" t="n">
        <v>36.91111111111111</v>
      </c>
      <c r="J18" t="inlineStr">
        <is>
          <t>2026-03-07</t>
        </is>
      </c>
    </row>
    <row r="19">
      <c r="A19" t="inlineStr">
        <is>
          <t>2026-02-05</t>
        </is>
      </c>
      <c r="B19" t="inlineStr">
        <is>
          <t>ABC10</t>
        </is>
      </c>
      <c r="D19" t="inlineStr">
        <is>
          <t>A/None</t>
        </is>
      </c>
      <c r="E19" t="n">
        <v>0</v>
      </c>
      <c r="F19" t="n">
        <v>2</v>
      </c>
      <c r="G19" t="n">
        <v>481</v>
      </c>
      <c r="H19" t="n">
        <v>0</v>
      </c>
      <c r="I19" t="n">
        <v>32.06666666666666</v>
      </c>
      <c r="J19" t="inlineStr">
        <is>
          <t>2026-03-07</t>
        </is>
      </c>
    </row>
    <row r="20">
      <c r="A20" t="inlineStr">
        <is>
          <t>2026-02-05</t>
        </is>
      </c>
      <c r="B20" t="inlineStr">
        <is>
          <t>ABC15</t>
        </is>
      </c>
      <c r="D20" t="inlineStr">
        <is>
          <t>A/None</t>
        </is>
      </c>
      <c r="E20" t="n">
        <v>0</v>
      </c>
      <c r="F20" t="n">
        <v>302</v>
      </c>
      <c r="G20" t="n">
        <v>3.666666666666667</v>
      </c>
      <c r="H20" t="n">
        <v>0</v>
      </c>
      <c r="I20" t="n">
        <v>36.91111111111111</v>
      </c>
      <c r="J20" t="inlineStr">
        <is>
          <t>2026-03-07</t>
        </is>
      </c>
    </row>
    <row r="21">
      <c r="A21" t="inlineStr">
        <is>
          <t>2026-02-05</t>
        </is>
      </c>
      <c r="B21" t="inlineStr">
        <is>
          <t>ABC33</t>
        </is>
      </c>
      <c r="D21" t="inlineStr">
        <is>
          <t>A/None</t>
        </is>
      </c>
      <c r="E21" t="n">
        <v>0</v>
      </c>
      <c r="F21" t="n">
        <v>2</v>
      </c>
      <c r="G21" t="n">
        <v>402.6666666666667</v>
      </c>
      <c r="H21" t="n">
        <v>0</v>
      </c>
      <c r="I21" t="n">
        <v>26.84444444444445</v>
      </c>
      <c r="J21" t="inlineStr">
        <is>
          <t>2026-03-07</t>
        </is>
      </c>
    </row>
    <row r="22">
      <c r="A22" t="inlineStr">
        <is>
          <t>2026-02-05</t>
        </is>
      </c>
      <c r="B22" t="inlineStr">
        <is>
          <t>ABC32</t>
        </is>
      </c>
      <c r="D22" t="inlineStr">
        <is>
          <t>A/None</t>
        </is>
      </c>
      <c r="E22" t="n">
        <v>0</v>
      </c>
      <c r="F22" t="n">
        <v>302</v>
      </c>
      <c r="G22" t="n">
        <v>3.666666666666667</v>
      </c>
      <c r="H22" t="n">
        <v>0</v>
      </c>
      <c r="I22" t="n">
        <v>36.91111111111111</v>
      </c>
      <c r="J22" t="inlineStr">
        <is>
          <t>2026-03-07</t>
        </is>
      </c>
    </row>
    <row r="23">
      <c r="A23" t="inlineStr">
        <is>
          <t>2026-02-05</t>
        </is>
      </c>
      <c r="B23" t="inlineStr">
        <is>
          <t>ABC31</t>
        </is>
      </c>
      <c r="D23" t="inlineStr">
        <is>
          <t>A/None</t>
        </is>
      </c>
      <c r="E23" t="n">
        <v>0</v>
      </c>
      <c r="F23" t="n">
        <v>333</v>
      </c>
      <c r="G23" t="n">
        <v>3.333333333333333</v>
      </c>
      <c r="H23" t="n">
        <v>0</v>
      </c>
      <c r="I23" t="n">
        <v>37</v>
      </c>
      <c r="J23" t="inlineStr">
        <is>
          <t>2026-03-07</t>
        </is>
      </c>
    </row>
    <row r="24">
      <c r="A24" t="inlineStr">
        <is>
          <t>2026-02-05</t>
        </is>
      </c>
      <c r="B24" t="inlineStr">
        <is>
          <t>ABC34</t>
        </is>
      </c>
      <c r="D24" t="inlineStr">
        <is>
          <t>A/None</t>
        </is>
      </c>
      <c r="E24" t="n">
        <v>0</v>
      </c>
      <c r="F24" t="n">
        <v>16</v>
      </c>
      <c r="G24" t="n">
        <v>68.33333333333333</v>
      </c>
      <c r="H24" t="n">
        <v>0</v>
      </c>
      <c r="I24" t="n">
        <v>36.44444444444444</v>
      </c>
      <c r="J24" t="inlineStr">
        <is>
          <t>2026-03-07</t>
        </is>
      </c>
    </row>
    <row r="25">
      <c r="A25" t="inlineStr">
        <is>
          <t>2026-02-05</t>
        </is>
      </c>
      <c r="B25" t="inlineStr">
        <is>
          <t>ABC37</t>
        </is>
      </c>
      <c r="D25" t="inlineStr">
        <is>
          <t>A/None</t>
        </is>
      </c>
      <c r="E25" t="n">
        <v>0</v>
      </c>
      <c r="F25" t="n">
        <v>5</v>
      </c>
      <c r="G25" t="n">
        <v>185.3333333333333</v>
      </c>
      <c r="H25" t="n">
        <v>0</v>
      </c>
      <c r="I25" t="n">
        <v>30.88888888888889</v>
      </c>
      <c r="J25" t="inlineStr">
        <is>
          <t>2026-03-07</t>
        </is>
      </c>
    </row>
    <row r="26">
      <c r="A26" t="inlineStr">
        <is>
          <t>2026-02-05</t>
        </is>
      </c>
      <c r="B26" t="inlineStr">
        <is>
          <t>ABC36</t>
        </is>
      </c>
      <c r="D26" t="inlineStr">
        <is>
          <t>A/None</t>
        </is>
      </c>
      <c r="E26" t="n">
        <v>0</v>
      </c>
      <c r="F26" t="n">
        <v>18</v>
      </c>
      <c r="G26" t="n">
        <v>60</v>
      </c>
      <c r="H26" t="n">
        <v>0</v>
      </c>
      <c r="I26" t="n">
        <v>36</v>
      </c>
      <c r="J26" t="inlineStr">
        <is>
          <t>2026-03-07</t>
        </is>
      </c>
    </row>
    <row r="27">
      <c r="A27" t="inlineStr">
        <is>
          <t>2026-02-05</t>
        </is>
      </c>
      <c r="B27" t="inlineStr">
        <is>
          <t>ABC35</t>
        </is>
      </c>
      <c r="D27" t="inlineStr">
        <is>
          <t>A/None</t>
        </is>
      </c>
      <c r="E27" t="n">
        <v>0</v>
      </c>
      <c r="F27" t="n">
        <v>3</v>
      </c>
      <c r="G27" t="n">
        <v>336.6666666666667</v>
      </c>
      <c r="H27" t="n">
        <v>0</v>
      </c>
      <c r="I27" t="n">
        <v>33.66666666666667</v>
      </c>
      <c r="J27" t="inlineStr">
        <is>
          <t>2026-03-07</t>
        </is>
      </c>
    </row>
    <row r="28">
      <c r="A28" t="inlineStr">
        <is>
          <t>2026-02-05</t>
        </is>
      </c>
      <c r="B28" t="inlineStr">
        <is>
          <t>ABC47</t>
        </is>
      </c>
      <c r="D28" t="inlineStr">
        <is>
          <t>B/None</t>
        </is>
      </c>
      <c r="E28" t="n">
        <v>0</v>
      </c>
      <c r="F28" t="n">
        <v>15</v>
      </c>
      <c r="G28" t="n">
        <v>70.33333333333333</v>
      </c>
      <c r="H28" t="n">
        <v>0</v>
      </c>
      <c r="I28" t="n">
        <v>35.16666666666666</v>
      </c>
      <c r="J28" t="inlineStr">
        <is>
          <t>2026-03-07</t>
        </is>
      </c>
    </row>
    <row r="29">
      <c r="A29" t="inlineStr">
        <is>
          <t>2026-02-05</t>
        </is>
      </c>
      <c r="B29" t="inlineStr">
        <is>
          <t>ABC50</t>
        </is>
      </c>
      <c r="D29" t="inlineStr">
        <is>
          <t>B/None</t>
        </is>
      </c>
      <c r="E29" t="n">
        <v>0</v>
      </c>
      <c r="F29" t="n">
        <v>6</v>
      </c>
      <c r="G29" t="n">
        <v>179.3333333333333</v>
      </c>
      <c r="H29" t="n">
        <v>0</v>
      </c>
      <c r="I29" t="n">
        <v>35.86666666666667</v>
      </c>
      <c r="J29" t="inlineStr">
        <is>
          <t>2026-03-07</t>
        </is>
      </c>
    </row>
    <row r="30">
      <c r="A30" t="inlineStr">
        <is>
          <t>2026-02-05</t>
        </is>
      </c>
      <c r="B30" t="inlineStr">
        <is>
          <t>ABC51</t>
        </is>
      </c>
      <c r="D30" t="inlineStr">
        <is>
          <t>B/None</t>
        </is>
      </c>
      <c r="E30" t="n">
        <v>0</v>
      </c>
      <c r="F30" t="n">
        <v>10</v>
      </c>
      <c r="G30" t="n">
        <v>111</v>
      </c>
      <c r="H30" t="n">
        <v>0</v>
      </c>
      <c r="I30" t="n">
        <v>37</v>
      </c>
      <c r="J30" t="inlineStr">
        <is>
          <t>2026-03-07</t>
        </is>
      </c>
    </row>
    <row r="31">
      <c r="A31" t="inlineStr">
        <is>
          <t>2026-02-05</t>
        </is>
      </c>
      <c r="B31" t="inlineStr">
        <is>
          <t>ABC38</t>
        </is>
      </c>
      <c r="D31" t="inlineStr">
        <is>
          <t>A/None</t>
        </is>
      </c>
      <c r="E31" t="n">
        <v>0</v>
      </c>
      <c r="F31" t="n">
        <v>4</v>
      </c>
      <c r="G31" t="n">
        <v>258.3333333333333</v>
      </c>
      <c r="H31" t="n">
        <v>0</v>
      </c>
      <c r="I31" t="n">
        <v>34.44444444444444</v>
      </c>
      <c r="J31" t="inlineStr">
        <is>
          <t>2026-03-07</t>
        </is>
      </c>
    </row>
    <row r="32">
      <c r="A32" t="inlineStr">
        <is>
          <t>2026-02-05</t>
        </is>
      </c>
      <c r="B32" t="inlineStr">
        <is>
          <t>ABC39</t>
        </is>
      </c>
      <c r="D32" t="inlineStr">
        <is>
          <t>A/None</t>
        </is>
      </c>
      <c r="E32" t="n">
        <v>0</v>
      </c>
      <c r="F32" t="n">
        <v>166</v>
      </c>
      <c r="G32" t="n">
        <v>6.666666666666667</v>
      </c>
      <c r="H32" t="n">
        <v>0</v>
      </c>
      <c r="I32" t="n">
        <v>36.88888888888889</v>
      </c>
      <c r="J32" t="inlineStr">
        <is>
          <t>2026-03-07</t>
        </is>
      </c>
    </row>
    <row r="33">
      <c r="A33" t="inlineStr">
        <is>
          <t>2026-02-05</t>
        </is>
      </c>
      <c r="B33" t="inlineStr">
        <is>
          <t>ABC43</t>
        </is>
      </c>
      <c r="D33" t="inlineStr">
        <is>
          <t>B/None</t>
        </is>
      </c>
      <c r="E33" t="n">
        <v>0</v>
      </c>
      <c r="F33" t="n">
        <v>6</v>
      </c>
      <c r="G33" t="n">
        <v>167.6666666666667</v>
      </c>
      <c r="H33" t="n">
        <v>0</v>
      </c>
      <c r="I33" t="n">
        <v>33.53333333333333</v>
      </c>
      <c r="J33" t="inlineStr">
        <is>
          <t>2026-03-07</t>
        </is>
      </c>
    </row>
    <row r="34">
      <c r="A34" t="inlineStr">
        <is>
          <t>2026-02-05</t>
        </is>
      </c>
      <c r="B34" t="inlineStr">
        <is>
          <t>ABC45</t>
        </is>
      </c>
      <c r="D34" t="inlineStr">
        <is>
          <t>B/None</t>
        </is>
      </c>
      <c r="E34" t="n">
        <v>0</v>
      </c>
      <c r="F34" t="n">
        <v>9</v>
      </c>
      <c r="G34" t="n">
        <v>114.3333333333333</v>
      </c>
      <c r="H34" t="n">
        <v>0</v>
      </c>
      <c r="I34" t="n">
        <v>34.3</v>
      </c>
      <c r="J34" t="inlineStr">
        <is>
          <t>2026-03-07</t>
        </is>
      </c>
    </row>
    <row r="35">
      <c r="A35" t="inlineStr">
        <is>
          <t>2026-02-05</t>
        </is>
      </c>
      <c r="B35" t="inlineStr">
        <is>
          <t>ABC46</t>
        </is>
      </c>
      <c r="D35" t="inlineStr">
        <is>
          <t>B/None</t>
        </is>
      </c>
      <c r="E35" t="n">
        <v>0</v>
      </c>
      <c r="F35" t="n">
        <v>10</v>
      </c>
      <c r="G35" t="n">
        <v>108.3333333333333</v>
      </c>
      <c r="H35" t="n">
        <v>0</v>
      </c>
      <c r="I35" t="n">
        <v>36.11111111111111</v>
      </c>
      <c r="J35" t="inlineStr">
        <is>
          <t>2026-03-07</t>
        </is>
      </c>
    </row>
    <row r="36">
      <c r="A36" t="inlineStr">
        <is>
          <t>2026-02-05</t>
        </is>
      </c>
      <c r="B36" t="inlineStr">
        <is>
          <t>ABC62</t>
        </is>
      </c>
      <c r="D36" t="inlineStr">
        <is>
          <t>B/None</t>
        </is>
      </c>
      <c r="E36" t="n">
        <v>0</v>
      </c>
      <c r="F36" t="n">
        <v>475</v>
      </c>
      <c r="G36" t="n">
        <v>2.333333333333333</v>
      </c>
      <c r="H36" t="n">
        <v>0</v>
      </c>
      <c r="I36" t="n">
        <v>36.94444444444445</v>
      </c>
      <c r="J36" t="inlineStr">
        <is>
          <t>2026-03-07</t>
        </is>
      </c>
    </row>
    <row r="37">
      <c r="A37" t="inlineStr">
        <is>
          <t>2026-02-05</t>
        </is>
      </c>
      <c r="B37" t="inlineStr">
        <is>
          <t>ABC63</t>
        </is>
      </c>
      <c r="D37" t="inlineStr">
        <is>
          <t>B/None</t>
        </is>
      </c>
      <c r="E37" t="n">
        <v>0</v>
      </c>
      <c r="F37" t="n">
        <v>5</v>
      </c>
      <c r="G37" t="n">
        <v>219</v>
      </c>
      <c r="H37" t="n">
        <v>0</v>
      </c>
      <c r="I37" t="n">
        <v>36.5</v>
      </c>
      <c r="J37" t="inlineStr">
        <is>
          <t>2026-03-07</t>
        </is>
      </c>
    </row>
    <row r="38">
      <c r="A38" t="inlineStr">
        <is>
          <t>2026-02-05</t>
        </is>
      </c>
      <c r="B38" t="inlineStr">
        <is>
          <t>ABC64</t>
        </is>
      </c>
      <c r="D38" t="inlineStr">
        <is>
          <t>B/None</t>
        </is>
      </c>
      <c r="E38" t="n">
        <v>0</v>
      </c>
      <c r="F38" t="n">
        <v>9</v>
      </c>
      <c r="G38" t="n">
        <v>112</v>
      </c>
      <c r="H38" t="n">
        <v>0</v>
      </c>
      <c r="I38" t="n">
        <v>33.6</v>
      </c>
      <c r="J38" t="inlineStr">
        <is>
          <t>2026-03-07</t>
        </is>
      </c>
    </row>
    <row r="39">
      <c r="A39" t="inlineStr">
        <is>
          <t>2026-02-05</t>
        </is>
      </c>
      <c r="B39" t="inlineStr">
        <is>
          <t>ABC61</t>
        </is>
      </c>
      <c r="D39" t="inlineStr">
        <is>
          <t>B/None</t>
        </is>
      </c>
      <c r="E39" t="n">
        <v>0</v>
      </c>
      <c r="F39" t="n">
        <v>95</v>
      </c>
      <c r="G39" t="n">
        <v>11.66666666666667</v>
      </c>
      <c r="H39" t="n">
        <v>0</v>
      </c>
      <c r="I39" t="n">
        <v>36.94444444444444</v>
      </c>
      <c r="J39" t="inlineStr">
        <is>
          <t>2026-03-07</t>
        </is>
      </c>
    </row>
    <row r="40">
      <c r="A40" t="inlineStr">
        <is>
          <t>2026-02-05</t>
        </is>
      </c>
      <c r="B40" t="inlineStr">
        <is>
          <t>ABC65</t>
        </is>
      </c>
      <c r="D40" t="inlineStr">
        <is>
          <t>B/None</t>
        </is>
      </c>
      <c r="E40" t="n">
        <v>0</v>
      </c>
      <c r="F40" t="n">
        <v>9</v>
      </c>
      <c r="G40" t="n">
        <v>123</v>
      </c>
      <c r="H40" t="n">
        <v>0</v>
      </c>
      <c r="I40" t="n">
        <v>36.9</v>
      </c>
      <c r="J40" t="inlineStr">
        <is>
          <t>2026-03-07</t>
        </is>
      </c>
    </row>
    <row r="41">
      <c r="A41" t="inlineStr">
        <is>
          <t>2026-02-05</t>
        </is>
      </c>
      <c r="B41" t="inlineStr">
        <is>
          <t>ABC68</t>
        </is>
      </c>
      <c r="D41" t="inlineStr">
        <is>
          <t>B/None</t>
        </is>
      </c>
      <c r="E41" t="n">
        <v>0</v>
      </c>
      <c r="F41" t="n">
        <v>4</v>
      </c>
      <c r="G41" t="n">
        <v>242.3333333333333</v>
      </c>
      <c r="H41" t="n">
        <v>0</v>
      </c>
      <c r="I41" t="n">
        <v>32.31111111111111</v>
      </c>
      <c r="J41" t="inlineStr">
        <is>
          <t>2026-03-07</t>
        </is>
      </c>
    </row>
    <row r="42">
      <c r="A42" t="inlineStr">
        <is>
          <t>2026-02-05</t>
        </is>
      </c>
      <c r="B42" t="inlineStr">
        <is>
          <t>ABC67</t>
        </is>
      </c>
      <c r="D42" t="inlineStr">
        <is>
          <t>B/None</t>
        </is>
      </c>
      <c r="E42" t="n">
        <v>0</v>
      </c>
      <c r="F42" t="n">
        <v>34</v>
      </c>
      <c r="G42" t="n">
        <v>32</v>
      </c>
      <c r="H42" t="n">
        <v>0</v>
      </c>
      <c r="I42" t="n">
        <v>36.26666666666667</v>
      </c>
      <c r="J42" t="inlineStr">
        <is>
          <t>2026-03-07</t>
        </is>
      </c>
    </row>
    <row r="43">
      <c r="A43" t="inlineStr">
        <is>
          <t>2026-02-05</t>
        </is>
      </c>
      <c r="B43" t="inlineStr">
        <is>
          <t>ABC66</t>
        </is>
      </c>
      <c r="D43" t="inlineStr">
        <is>
          <t>B/None</t>
        </is>
      </c>
      <c r="E43" t="n">
        <v>0</v>
      </c>
      <c r="F43" t="n">
        <v>1</v>
      </c>
      <c r="G43" t="n">
        <v>999.6666666666666</v>
      </c>
      <c r="H43" t="n">
        <v>0</v>
      </c>
      <c r="I43" t="n">
        <v>33.32222222222222</v>
      </c>
      <c r="J43" t="inlineStr">
        <is>
          <t>2026-03-07</t>
        </is>
      </c>
    </row>
    <row r="44">
      <c r="A44" t="inlineStr">
        <is>
          <t>2026-02-05</t>
        </is>
      </c>
      <c r="B44" t="inlineStr">
        <is>
          <t>ABC80</t>
        </is>
      </c>
      <c r="D44" t="inlineStr">
        <is>
          <t>C/None</t>
        </is>
      </c>
      <c r="E44" t="n">
        <v>0</v>
      </c>
      <c r="F44" t="n">
        <v>8</v>
      </c>
      <c r="G44" t="n">
        <v>125.3333333333333</v>
      </c>
      <c r="H44" t="n">
        <v>0</v>
      </c>
      <c r="I44" t="n">
        <v>33.42222222222222</v>
      </c>
      <c r="J44" t="inlineStr">
        <is>
          <t>2026-03-07</t>
        </is>
      </c>
    </row>
    <row r="45">
      <c r="A45" t="inlineStr">
        <is>
          <t>2026-02-05</t>
        </is>
      </c>
      <c r="B45" t="inlineStr">
        <is>
          <t>ABC91</t>
        </is>
      </c>
      <c r="D45" t="inlineStr">
        <is>
          <t>C/None</t>
        </is>
      </c>
      <c r="E45" t="n">
        <v>0</v>
      </c>
      <c r="F45" t="n">
        <v>12</v>
      </c>
      <c r="G45" t="n">
        <v>92</v>
      </c>
      <c r="H45" t="n">
        <v>0</v>
      </c>
      <c r="I45" t="n">
        <v>36.8</v>
      </c>
      <c r="J45" t="inlineStr">
        <is>
          <t>2026-03-07</t>
        </is>
      </c>
    </row>
    <row r="46">
      <c r="A46" t="inlineStr">
        <is>
          <t>2026-02-05</t>
        </is>
      </c>
      <c r="B46" t="inlineStr">
        <is>
          <t>ABC69</t>
        </is>
      </c>
      <c r="D46" t="inlineStr">
        <is>
          <t>B/None</t>
        </is>
      </c>
      <c r="E46" t="n">
        <v>0</v>
      </c>
      <c r="F46" t="n">
        <v>7</v>
      </c>
      <c r="G46" t="n">
        <v>143.6666666666667</v>
      </c>
      <c r="H46" t="n">
        <v>0</v>
      </c>
      <c r="I46" t="n">
        <v>33.52222222222222</v>
      </c>
      <c r="J46" t="inlineStr">
        <is>
          <t>2026-03-07</t>
        </is>
      </c>
    </row>
    <row r="47">
      <c r="A47" t="inlineStr">
        <is>
          <t>2026-02-05</t>
        </is>
      </c>
      <c r="B47" t="inlineStr">
        <is>
          <t>ABC13</t>
        </is>
      </c>
      <c r="D47" t="inlineStr">
        <is>
          <t>A/None</t>
        </is>
      </c>
      <c r="E47" t="n">
        <v>1</v>
      </c>
      <c r="F47" t="n">
        <v>13</v>
      </c>
      <c r="G47" t="n">
        <v>78.33333333333333</v>
      </c>
      <c r="H47" t="n">
        <v>2</v>
      </c>
      <c r="I47" t="n">
        <v>36.55555555555556</v>
      </c>
      <c r="J47" t="inlineStr">
        <is>
          <t>2026-03-07</t>
        </is>
      </c>
    </row>
    <row r="48">
      <c r="A48" t="inlineStr">
        <is>
          <t>2026-02-05</t>
        </is>
      </c>
      <c r="B48" t="inlineStr">
        <is>
          <t>ABC93</t>
        </is>
      </c>
      <c r="D48" t="inlineStr">
        <is>
          <t>C/None</t>
        </is>
      </c>
      <c r="E48" t="n">
        <v>1</v>
      </c>
      <c r="F48" t="n">
        <v>19</v>
      </c>
      <c r="G48" t="n">
        <v>53.33333333333334</v>
      </c>
      <c r="H48" t="n">
        <v>1</v>
      </c>
      <c r="I48" t="n">
        <v>35.55555555555556</v>
      </c>
      <c r="J48" t="inlineStr">
        <is>
          <t>2026-03-07</t>
        </is>
      </c>
    </row>
    <row r="49">
      <c r="A49" t="inlineStr">
        <is>
          <t>2026-02-05</t>
        </is>
      </c>
      <c r="B49" t="inlineStr">
        <is>
          <t>ABC92</t>
        </is>
      </c>
      <c r="D49" t="inlineStr">
        <is>
          <t>C/None</t>
        </is>
      </c>
      <c r="E49" t="n">
        <v>1</v>
      </c>
      <c r="F49" t="n">
        <v>13</v>
      </c>
      <c r="G49" t="n">
        <v>76.66666666666667</v>
      </c>
      <c r="H49" t="n">
        <v>2</v>
      </c>
      <c r="I49" t="n">
        <v>35.77777777777778</v>
      </c>
      <c r="J49" t="inlineStr">
        <is>
          <t>2026-03-07</t>
        </is>
      </c>
    </row>
    <row r="50">
      <c r="A50" t="inlineStr">
        <is>
          <t>2026-02-05</t>
        </is>
      </c>
      <c r="B50" t="inlineStr">
        <is>
          <t>ABC81</t>
        </is>
      </c>
      <c r="D50" t="inlineStr">
        <is>
          <t>C/None</t>
        </is>
      </c>
      <c r="E50" t="n">
        <v>1</v>
      </c>
      <c r="F50" t="n">
        <v>12</v>
      </c>
      <c r="G50" t="n">
        <v>82.33333333333333</v>
      </c>
      <c r="H50" t="n">
        <v>2</v>
      </c>
      <c r="I50" t="n">
        <v>35.67777777777778</v>
      </c>
      <c r="J50" t="inlineStr">
        <is>
          <t>2026-03-07</t>
        </is>
      </c>
    </row>
    <row r="51">
      <c r="A51" t="inlineStr">
        <is>
          <t>2026-02-05</t>
        </is>
      </c>
      <c r="B51" t="inlineStr">
        <is>
          <t>ABC27</t>
        </is>
      </c>
      <c r="D51" t="inlineStr">
        <is>
          <t>A/None</t>
        </is>
      </c>
      <c r="E51" t="n">
        <v>5</v>
      </c>
      <c r="F51" t="n">
        <v>328</v>
      </c>
      <c r="G51" t="n">
        <v>3.333333333333333</v>
      </c>
      <c r="H51" t="n">
        <v>0</v>
      </c>
      <c r="I51" t="n">
        <v>37</v>
      </c>
      <c r="J51" t="inlineStr">
        <is>
          <t>2026-03-07</t>
        </is>
      </c>
    </row>
    <row r="52">
      <c r="A52" t="inlineStr">
        <is>
          <t>2026-02-05</t>
        </is>
      </c>
      <c r="B52" t="inlineStr">
        <is>
          <t>ABC29</t>
        </is>
      </c>
      <c r="D52" t="inlineStr">
        <is>
          <t>A/None</t>
        </is>
      </c>
      <c r="E52" t="n">
        <v>11</v>
      </c>
      <c r="F52" t="n">
        <v>266</v>
      </c>
      <c r="G52" t="n">
        <v>4</v>
      </c>
      <c r="H52" t="n">
        <v>1</v>
      </c>
      <c r="I52" t="n">
        <v>36.93333333333333</v>
      </c>
      <c r="J52" t="inlineStr">
        <is>
          <t>2026-03-07</t>
        </is>
      </c>
    </row>
    <row r="53">
      <c r="A53" t="inlineStr">
        <is>
          <t>2026-02-05</t>
        </is>
      </c>
      <c r="B53" t="inlineStr">
        <is>
          <t>ABC3</t>
        </is>
      </c>
      <c r="D53" t="inlineStr">
        <is>
          <t>A/Z</t>
        </is>
      </c>
      <c r="E53" t="n">
        <v>0</v>
      </c>
      <c r="F53" t="n">
        <v>97</v>
      </c>
      <c r="G53" t="n">
        <v>11.33333333333333</v>
      </c>
      <c r="H53" t="n">
        <v>0</v>
      </c>
      <c r="I53" t="n">
        <v>36.64444444444445</v>
      </c>
      <c r="J53" t="inlineStr">
        <is>
          <t>2026-03-07</t>
        </is>
      </c>
    </row>
    <row r="54">
      <c r="A54" t="inlineStr">
        <is>
          <t>2026-02-05</t>
        </is>
      </c>
      <c r="B54" t="inlineStr">
        <is>
          <t>ABC4</t>
        </is>
      </c>
      <c r="D54" t="inlineStr">
        <is>
          <t>A/Z</t>
        </is>
      </c>
      <c r="E54" t="n">
        <v>0</v>
      </c>
      <c r="F54" t="n">
        <v>151</v>
      </c>
      <c r="G54" t="n">
        <v>7.333333333333333</v>
      </c>
      <c r="H54" t="n">
        <v>0</v>
      </c>
      <c r="I54" t="n">
        <v>36.91111111111111</v>
      </c>
      <c r="J54" t="inlineStr">
        <is>
          <t>2026-03-07</t>
        </is>
      </c>
    </row>
    <row r="55">
      <c r="A55" t="inlineStr">
        <is>
          <t>2026-02-05</t>
        </is>
      </c>
      <c r="B55" t="inlineStr">
        <is>
          <t>ABC5</t>
        </is>
      </c>
      <c r="D55" t="inlineStr">
        <is>
          <t>A/Z</t>
        </is>
      </c>
      <c r="E55" t="n">
        <v>0</v>
      </c>
      <c r="F55" t="n">
        <v>208</v>
      </c>
      <c r="G55" t="n">
        <v>5.333333333333333</v>
      </c>
      <c r="H55" t="n">
        <v>0</v>
      </c>
      <c r="I55" t="n">
        <v>36.97777777777777</v>
      </c>
      <c r="J55" t="inlineStr">
        <is>
          <t>2026-03-07</t>
        </is>
      </c>
    </row>
    <row r="56">
      <c r="A56" t="inlineStr">
        <is>
          <t>2026-02-05</t>
        </is>
      </c>
      <c r="B56" t="inlineStr">
        <is>
          <t>ABC6</t>
        </is>
      </c>
      <c r="D56" t="inlineStr">
        <is>
          <t>A/Z</t>
        </is>
      </c>
      <c r="E56" t="n">
        <v>0</v>
      </c>
      <c r="F56" t="n">
        <v>222</v>
      </c>
      <c r="G56" t="n">
        <v>5</v>
      </c>
      <c r="H56" t="n">
        <v>0</v>
      </c>
      <c r="I56" t="n">
        <v>37</v>
      </c>
      <c r="J56" t="inlineStr">
        <is>
          <t>2026-03-07</t>
        </is>
      </c>
    </row>
    <row r="57">
      <c r="A57" t="inlineStr">
        <is>
          <t>2026-02-05</t>
        </is>
      </c>
      <c r="B57" t="inlineStr">
        <is>
          <t>ABC7</t>
        </is>
      </c>
      <c r="D57" t="inlineStr">
        <is>
          <t>A/Z</t>
        </is>
      </c>
      <c r="E57" t="n">
        <v>0</v>
      </c>
      <c r="F57" t="n">
        <v>185</v>
      </c>
      <c r="G57" t="n">
        <v>6</v>
      </c>
      <c r="H57" t="n">
        <v>0</v>
      </c>
      <c r="I57" t="n">
        <v>37</v>
      </c>
      <c r="J57" t="inlineStr">
        <is>
          <t>2026-03-07</t>
        </is>
      </c>
    </row>
    <row r="58">
      <c r="A58" t="inlineStr">
        <is>
          <t>2026-02-05</t>
        </is>
      </c>
      <c r="B58" t="inlineStr">
        <is>
          <t>ABC8</t>
        </is>
      </c>
      <c r="D58" t="inlineStr">
        <is>
          <t>A/X</t>
        </is>
      </c>
      <c r="E58" t="n">
        <v>0</v>
      </c>
      <c r="F58" t="n">
        <v>1</v>
      </c>
      <c r="G58" t="n">
        <v>1028.333333333333</v>
      </c>
      <c r="H58" t="n">
        <v>0</v>
      </c>
      <c r="I58" t="n">
        <v>34.27777777777778</v>
      </c>
      <c r="J58" t="inlineStr">
        <is>
          <t>2026-03-07</t>
        </is>
      </c>
    </row>
    <row r="59">
      <c r="A59" t="inlineStr">
        <is>
          <t>2026-02-05</t>
        </is>
      </c>
      <c r="B59" t="inlineStr">
        <is>
          <t>ABC9</t>
        </is>
      </c>
      <c r="D59" t="inlineStr">
        <is>
          <t>A/Z</t>
        </is>
      </c>
      <c r="E59" t="n">
        <v>0</v>
      </c>
      <c r="F59" t="n">
        <v>302</v>
      </c>
      <c r="G59" t="n">
        <v>3.666666666666667</v>
      </c>
      <c r="H59" t="n">
        <v>0</v>
      </c>
      <c r="I59" t="n">
        <v>36.91111111111111</v>
      </c>
      <c r="J59" t="inlineStr">
        <is>
          <t>2026-03-07</t>
        </is>
      </c>
    </row>
    <row r="60">
      <c r="A60" t="inlineStr">
        <is>
          <t>2026-02-05</t>
        </is>
      </c>
      <c r="B60" t="inlineStr">
        <is>
          <t>ABC10</t>
        </is>
      </c>
      <c r="D60" t="inlineStr">
        <is>
          <t>A/X</t>
        </is>
      </c>
      <c r="E60" t="n">
        <v>0</v>
      </c>
      <c r="F60" t="n">
        <v>2</v>
      </c>
      <c r="G60" t="n">
        <v>481</v>
      </c>
      <c r="H60" t="n">
        <v>0</v>
      </c>
      <c r="I60" t="n">
        <v>32.06666666666666</v>
      </c>
      <c r="J60" t="inlineStr">
        <is>
          <t>2026-03-07</t>
        </is>
      </c>
    </row>
    <row r="61">
      <c r="A61" t="inlineStr">
        <is>
          <t>2026-02-05</t>
        </is>
      </c>
      <c r="B61" t="inlineStr">
        <is>
          <t>ABC15</t>
        </is>
      </c>
      <c r="D61" t="inlineStr">
        <is>
          <t>A/Z</t>
        </is>
      </c>
      <c r="E61" t="n">
        <v>0</v>
      </c>
      <c r="F61" t="n">
        <v>302</v>
      </c>
      <c r="G61" t="n">
        <v>3.666666666666667</v>
      </c>
      <c r="H61" t="n">
        <v>0</v>
      </c>
      <c r="I61" t="n">
        <v>36.91111111111111</v>
      </c>
      <c r="J61" t="inlineStr">
        <is>
          <t>2026-03-07</t>
        </is>
      </c>
    </row>
    <row r="62">
      <c r="A62" t="inlineStr">
        <is>
          <t>2026-02-05</t>
        </is>
      </c>
      <c r="B62" t="inlineStr">
        <is>
          <t>ABC33</t>
        </is>
      </c>
      <c r="D62" t="inlineStr">
        <is>
          <t>A/X</t>
        </is>
      </c>
      <c r="E62" t="n">
        <v>0</v>
      </c>
      <c r="F62" t="n">
        <v>2</v>
      </c>
      <c r="G62" t="n">
        <v>402.6666666666667</v>
      </c>
      <c r="H62" t="n">
        <v>0</v>
      </c>
      <c r="I62" t="n">
        <v>26.84444444444445</v>
      </c>
      <c r="J62" t="inlineStr">
        <is>
          <t>2026-03-07</t>
        </is>
      </c>
    </row>
    <row r="63">
      <c r="A63" t="inlineStr">
        <is>
          <t>2026-02-05</t>
        </is>
      </c>
      <c r="B63" t="inlineStr">
        <is>
          <t>ABC32</t>
        </is>
      </c>
      <c r="D63" t="inlineStr">
        <is>
          <t>A/Z</t>
        </is>
      </c>
      <c r="E63" t="n">
        <v>0</v>
      </c>
      <c r="F63" t="n">
        <v>302</v>
      </c>
      <c r="G63" t="n">
        <v>3.666666666666667</v>
      </c>
      <c r="H63" t="n">
        <v>0</v>
      </c>
      <c r="I63" t="n">
        <v>36.91111111111111</v>
      </c>
      <c r="J63" t="inlineStr">
        <is>
          <t>2026-03-07</t>
        </is>
      </c>
    </row>
    <row r="64">
      <c r="A64" t="inlineStr">
        <is>
          <t>2026-02-05</t>
        </is>
      </c>
      <c r="B64" t="inlineStr">
        <is>
          <t>ABC31</t>
        </is>
      </c>
      <c r="D64" t="inlineStr">
        <is>
          <t>A/Y</t>
        </is>
      </c>
      <c r="E64" t="n">
        <v>0</v>
      </c>
      <c r="F64" t="n">
        <v>333</v>
      </c>
      <c r="G64" t="n">
        <v>3.333333333333333</v>
      </c>
      <c r="H64" t="n">
        <v>0</v>
      </c>
      <c r="I64" t="n">
        <v>37</v>
      </c>
      <c r="J64" t="inlineStr">
        <is>
          <t>2026-03-07</t>
        </is>
      </c>
    </row>
    <row r="65">
      <c r="A65" t="inlineStr">
        <is>
          <t>2026-02-05</t>
        </is>
      </c>
      <c r="B65" t="inlineStr">
        <is>
          <t>ABC34</t>
        </is>
      </c>
      <c r="D65" t="inlineStr">
        <is>
          <t>A/Y</t>
        </is>
      </c>
      <c r="E65" t="n">
        <v>0</v>
      </c>
      <c r="F65" t="n">
        <v>16</v>
      </c>
      <c r="G65" t="n">
        <v>68.33333333333333</v>
      </c>
      <c r="H65" t="n">
        <v>0</v>
      </c>
      <c r="I65" t="n">
        <v>36.44444444444444</v>
      </c>
      <c r="J65" t="inlineStr">
        <is>
          <t>2026-03-07</t>
        </is>
      </c>
    </row>
    <row r="66">
      <c r="A66" t="inlineStr">
        <is>
          <t>2026-02-05</t>
        </is>
      </c>
      <c r="B66" t="inlineStr">
        <is>
          <t>ABC37</t>
        </is>
      </c>
      <c r="D66" t="inlineStr">
        <is>
          <t>A/Y</t>
        </is>
      </c>
      <c r="E66" t="n">
        <v>0</v>
      </c>
      <c r="F66" t="n">
        <v>5</v>
      </c>
      <c r="G66" t="n">
        <v>185.3333333333333</v>
      </c>
      <c r="H66" t="n">
        <v>0</v>
      </c>
      <c r="I66" t="n">
        <v>30.88888888888889</v>
      </c>
      <c r="J66" t="inlineStr">
        <is>
          <t>2026-03-07</t>
        </is>
      </c>
    </row>
    <row r="67">
      <c r="A67" t="inlineStr">
        <is>
          <t>2026-02-05</t>
        </is>
      </c>
      <c r="B67" t="inlineStr">
        <is>
          <t>ABC36</t>
        </is>
      </c>
      <c r="D67" t="inlineStr">
        <is>
          <t>A/X</t>
        </is>
      </c>
      <c r="E67" t="n">
        <v>0</v>
      </c>
      <c r="F67" t="n">
        <v>18</v>
      </c>
      <c r="G67" t="n">
        <v>60</v>
      </c>
      <c r="H67" t="n">
        <v>0</v>
      </c>
      <c r="I67" t="n">
        <v>36</v>
      </c>
      <c r="J67" t="inlineStr">
        <is>
          <t>2026-03-07</t>
        </is>
      </c>
    </row>
    <row r="68">
      <c r="A68" t="inlineStr">
        <is>
          <t>2026-02-05</t>
        </is>
      </c>
      <c r="B68" t="inlineStr">
        <is>
          <t>ABC35</t>
        </is>
      </c>
      <c r="D68" t="inlineStr">
        <is>
          <t>A/X</t>
        </is>
      </c>
      <c r="E68" t="n">
        <v>0</v>
      </c>
      <c r="F68" t="n">
        <v>3</v>
      </c>
      <c r="G68" t="n">
        <v>336.6666666666667</v>
      </c>
      <c r="H68" t="n">
        <v>0</v>
      </c>
      <c r="I68" t="n">
        <v>33.66666666666667</v>
      </c>
      <c r="J68" t="inlineStr">
        <is>
          <t>2026-03-07</t>
        </is>
      </c>
    </row>
    <row r="69">
      <c r="A69" t="inlineStr">
        <is>
          <t>2026-02-05</t>
        </is>
      </c>
      <c r="B69" t="inlineStr">
        <is>
          <t>ABC47</t>
        </is>
      </c>
      <c r="D69" t="inlineStr">
        <is>
          <t>B/X</t>
        </is>
      </c>
      <c r="E69" t="n">
        <v>0</v>
      </c>
      <c r="F69" t="n">
        <v>15</v>
      </c>
      <c r="G69" t="n">
        <v>70.33333333333333</v>
      </c>
      <c r="H69" t="n">
        <v>0</v>
      </c>
      <c r="I69" t="n">
        <v>35.16666666666666</v>
      </c>
      <c r="J69" t="inlineStr">
        <is>
          <t>2026-03-07</t>
        </is>
      </c>
    </row>
    <row r="70">
      <c r="A70" t="inlineStr">
        <is>
          <t>2026-02-05</t>
        </is>
      </c>
      <c r="B70" t="inlineStr">
        <is>
          <t>ABC50</t>
        </is>
      </c>
      <c r="D70" t="inlineStr">
        <is>
          <t>B/Y</t>
        </is>
      </c>
      <c r="E70" t="n">
        <v>0</v>
      </c>
      <c r="F70" t="n">
        <v>6</v>
      </c>
      <c r="G70" t="n">
        <v>179.3333333333333</v>
      </c>
      <c r="H70" t="n">
        <v>0</v>
      </c>
      <c r="I70" t="n">
        <v>35.86666666666667</v>
      </c>
      <c r="J70" t="inlineStr">
        <is>
          <t>2026-03-07</t>
        </is>
      </c>
    </row>
    <row r="71">
      <c r="A71" t="inlineStr">
        <is>
          <t>2026-02-05</t>
        </is>
      </c>
      <c r="B71" t="inlineStr">
        <is>
          <t>ABC51</t>
        </is>
      </c>
      <c r="D71" t="inlineStr">
        <is>
          <t>B/Y</t>
        </is>
      </c>
      <c r="E71" t="n">
        <v>0</v>
      </c>
      <c r="F71" t="n">
        <v>10</v>
      </c>
      <c r="G71" t="n">
        <v>111</v>
      </c>
      <c r="H71" t="n">
        <v>0</v>
      </c>
      <c r="I71" t="n">
        <v>37</v>
      </c>
      <c r="J71" t="inlineStr">
        <is>
          <t>2026-03-07</t>
        </is>
      </c>
    </row>
    <row r="72">
      <c r="A72" t="inlineStr">
        <is>
          <t>2026-02-05</t>
        </is>
      </c>
      <c r="B72" t="inlineStr">
        <is>
          <t>ABC38</t>
        </is>
      </c>
      <c r="D72" t="inlineStr">
        <is>
          <t>A/Y</t>
        </is>
      </c>
      <c r="E72" t="n">
        <v>0</v>
      </c>
      <c r="F72" t="n">
        <v>4</v>
      </c>
      <c r="G72" t="n">
        <v>258.3333333333333</v>
      </c>
      <c r="H72" t="n">
        <v>0</v>
      </c>
      <c r="I72" t="n">
        <v>34.44444444444444</v>
      </c>
      <c r="J72" t="inlineStr">
        <is>
          <t>2026-03-07</t>
        </is>
      </c>
    </row>
    <row r="73">
      <c r="A73" t="inlineStr">
        <is>
          <t>2026-02-05</t>
        </is>
      </c>
      <c r="B73" t="inlineStr">
        <is>
          <t>ABC39</t>
        </is>
      </c>
      <c r="D73" t="inlineStr">
        <is>
          <t>A/Y</t>
        </is>
      </c>
      <c r="E73" t="n">
        <v>0</v>
      </c>
      <c r="F73" t="n">
        <v>166</v>
      </c>
      <c r="G73" t="n">
        <v>6.666666666666667</v>
      </c>
      <c r="H73" t="n">
        <v>0</v>
      </c>
      <c r="I73" t="n">
        <v>36.88888888888889</v>
      </c>
      <c r="J73" t="inlineStr">
        <is>
          <t>2026-03-07</t>
        </is>
      </c>
    </row>
    <row r="74">
      <c r="A74" t="inlineStr">
        <is>
          <t>2026-02-05</t>
        </is>
      </c>
      <c r="B74" t="inlineStr">
        <is>
          <t>ABC43</t>
        </is>
      </c>
      <c r="D74" t="inlineStr">
        <is>
          <t>B/Y</t>
        </is>
      </c>
      <c r="E74" t="n">
        <v>0</v>
      </c>
      <c r="F74" t="n">
        <v>6</v>
      </c>
      <c r="G74" t="n">
        <v>167.6666666666667</v>
      </c>
      <c r="H74" t="n">
        <v>0</v>
      </c>
      <c r="I74" t="n">
        <v>33.53333333333333</v>
      </c>
      <c r="J74" t="inlineStr">
        <is>
          <t>2026-03-07</t>
        </is>
      </c>
    </row>
    <row r="75">
      <c r="A75" t="inlineStr">
        <is>
          <t>2026-02-05</t>
        </is>
      </c>
      <c r="B75" t="inlineStr">
        <is>
          <t>ABC45</t>
        </is>
      </c>
      <c r="D75" t="inlineStr">
        <is>
          <t>B/X</t>
        </is>
      </c>
      <c r="E75" t="n">
        <v>0</v>
      </c>
      <c r="F75" t="n">
        <v>9</v>
      </c>
      <c r="G75" t="n">
        <v>114.3333333333333</v>
      </c>
      <c r="H75" t="n">
        <v>0</v>
      </c>
      <c r="I75" t="n">
        <v>34.3</v>
      </c>
      <c r="J75" t="inlineStr">
        <is>
          <t>2026-03-07</t>
        </is>
      </c>
    </row>
    <row r="76">
      <c r="A76" t="inlineStr">
        <is>
          <t>2026-02-05</t>
        </is>
      </c>
      <c r="B76" t="inlineStr">
        <is>
          <t>ABC46</t>
        </is>
      </c>
      <c r="D76" t="inlineStr">
        <is>
          <t>B/Z</t>
        </is>
      </c>
      <c r="E76" t="n">
        <v>0</v>
      </c>
      <c r="F76" t="n">
        <v>10</v>
      </c>
      <c r="G76" t="n">
        <v>108.3333333333333</v>
      </c>
      <c r="H76" t="n">
        <v>0</v>
      </c>
      <c r="I76" t="n">
        <v>36.11111111111111</v>
      </c>
      <c r="J76" t="inlineStr">
        <is>
          <t>2026-03-07</t>
        </is>
      </c>
    </row>
    <row r="77">
      <c r="A77" t="inlineStr">
        <is>
          <t>2026-02-05</t>
        </is>
      </c>
      <c r="B77" t="inlineStr">
        <is>
          <t>ABC62</t>
        </is>
      </c>
      <c r="D77" t="inlineStr">
        <is>
          <t>B/Y</t>
        </is>
      </c>
      <c r="E77" t="n">
        <v>0</v>
      </c>
      <c r="F77" t="n">
        <v>475</v>
      </c>
      <c r="G77" t="n">
        <v>2.333333333333333</v>
      </c>
      <c r="H77" t="n">
        <v>0</v>
      </c>
      <c r="I77" t="n">
        <v>36.94444444444445</v>
      </c>
      <c r="J77" t="inlineStr">
        <is>
          <t>2026-03-07</t>
        </is>
      </c>
    </row>
    <row r="78">
      <c r="A78" t="inlineStr">
        <is>
          <t>2026-02-05</t>
        </is>
      </c>
      <c r="B78" t="inlineStr">
        <is>
          <t>ABC63</t>
        </is>
      </c>
      <c r="D78" t="inlineStr">
        <is>
          <t>B/Y</t>
        </is>
      </c>
      <c r="E78" t="n">
        <v>0</v>
      </c>
      <c r="F78" t="n">
        <v>5</v>
      </c>
      <c r="G78" t="n">
        <v>219</v>
      </c>
      <c r="H78" t="n">
        <v>0</v>
      </c>
      <c r="I78" t="n">
        <v>36.5</v>
      </c>
      <c r="J78" t="inlineStr">
        <is>
          <t>2026-03-07</t>
        </is>
      </c>
    </row>
    <row r="79">
      <c r="A79" t="inlineStr">
        <is>
          <t>2026-02-05</t>
        </is>
      </c>
      <c r="B79" t="inlineStr">
        <is>
          <t>ABC64</t>
        </is>
      </c>
      <c r="D79" t="inlineStr">
        <is>
          <t>B/Z</t>
        </is>
      </c>
      <c r="E79" t="n">
        <v>0</v>
      </c>
      <c r="F79" t="n">
        <v>9</v>
      </c>
      <c r="G79" t="n">
        <v>112</v>
      </c>
      <c r="H79" t="n">
        <v>0</v>
      </c>
      <c r="I79" t="n">
        <v>33.6</v>
      </c>
      <c r="J79" t="inlineStr">
        <is>
          <t>2026-03-07</t>
        </is>
      </c>
    </row>
    <row r="80">
      <c r="A80" t="inlineStr">
        <is>
          <t>2026-02-05</t>
        </is>
      </c>
      <c r="B80" t="inlineStr">
        <is>
          <t>ABC61</t>
        </is>
      </c>
      <c r="D80" t="inlineStr">
        <is>
          <t>B/Z</t>
        </is>
      </c>
      <c r="E80" t="n">
        <v>0</v>
      </c>
      <c r="F80" t="n">
        <v>95</v>
      </c>
      <c r="G80" t="n">
        <v>11.66666666666667</v>
      </c>
      <c r="H80" t="n">
        <v>0</v>
      </c>
      <c r="I80" t="n">
        <v>36.94444444444444</v>
      </c>
      <c r="J80" t="inlineStr">
        <is>
          <t>2026-03-07</t>
        </is>
      </c>
    </row>
    <row r="81">
      <c r="A81" t="inlineStr">
        <is>
          <t>2026-02-05</t>
        </is>
      </c>
      <c r="B81" t="inlineStr">
        <is>
          <t>ABC65</t>
        </is>
      </c>
      <c r="D81" t="inlineStr">
        <is>
          <t>B/X</t>
        </is>
      </c>
      <c r="E81" t="n">
        <v>0</v>
      </c>
      <c r="F81" t="n">
        <v>9</v>
      </c>
      <c r="G81" t="n">
        <v>123</v>
      </c>
      <c r="H81" t="n">
        <v>0</v>
      </c>
      <c r="I81" t="n">
        <v>36.9</v>
      </c>
      <c r="J81" t="inlineStr">
        <is>
          <t>2026-03-07</t>
        </is>
      </c>
    </row>
    <row r="82">
      <c r="A82" t="inlineStr">
        <is>
          <t>2026-02-05</t>
        </is>
      </c>
      <c r="B82" t="inlineStr">
        <is>
          <t>ABC68</t>
        </is>
      </c>
      <c r="D82" t="inlineStr">
        <is>
          <t>B/Y</t>
        </is>
      </c>
      <c r="E82" t="n">
        <v>0</v>
      </c>
      <c r="F82" t="n">
        <v>4</v>
      </c>
      <c r="G82" t="n">
        <v>242.3333333333333</v>
      </c>
      <c r="H82" t="n">
        <v>0</v>
      </c>
      <c r="I82" t="n">
        <v>32.31111111111111</v>
      </c>
      <c r="J82" t="inlineStr">
        <is>
          <t>2026-03-07</t>
        </is>
      </c>
    </row>
    <row r="83">
      <c r="A83" t="inlineStr">
        <is>
          <t>2026-02-05</t>
        </is>
      </c>
      <c r="B83" t="inlineStr">
        <is>
          <t>ABC67</t>
        </is>
      </c>
      <c r="D83" t="inlineStr">
        <is>
          <t>B/Z</t>
        </is>
      </c>
      <c r="E83" t="n">
        <v>0</v>
      </c>
      <c r="F83" t="n">
        <v>34</v>
      </c>
      <c r="G83" t="n">
        <v>32</v>
      </c>
      <c r="H83" t="n">
        <v>0</v>
      </c>
      <c r="I83" t="n">
        <v>36.26666666666667</v>
      </c>
      <c r="J83" t="inlineStr">
        <is>
          <t>2026-03-07</t>
        </is>
      </c>
    </row>
    <row r="84">
      <c r="A84" t="inlineStr">
        <is>
          <t>2026-02-05</t>
        </is>
      </c>
      <c r="B84" t="inlineStr">
        <is>
          <t>ABC66</t>
        </is>
      </c>
      <c r="D84" t="inlineStr">
        <is>
          <t>B/Z</t>
        </is>
      </c>
      <c r="E84" t="n">
        <v>0</v>
      </c>
      <c r="F84" t="n">
        <v>1</v>
      </c>
      <c r="G84" t="n">
        <v>999.6666666666666</v>
      </c>
      <c r="H84" t="n">
        <v>0</v>
      </c>
      <c r="I84" t="n">
        <v>33.32222222222222</v>
      </c>
      <c r="J84" t="inlineStr">
        <is>
          <t>2026-03-07</t>
        </is>
      </c>
    </row>
    <row r="85">
      <c r="A85" t="inlineStr">
        <is>
          <t>2026-02-05</t>
        </is>
      </c>
      <c r="B85" t="inlineStr">
        <is>
          <t>ABC80</t>
        </is>
      </c>
      <c r="D85" t="inlineStr">
        <is>
          <t>C/Z</t>
        </is>
      </c>
      <c r="E85" t="n">
        <v>0</v>
      </c>
      <c r="F85" t="n">
        <v>8</v>
      </c>
      <c r="G85" t="n">
        <v>125.3333333333333</v>
      </c>
      <c r="H85" t="n">
        <v>0</v>
      </c>
      <c r="I85" t="n">
        <v>33.42222222222222</v>
      </c>
      <c r="J85" t="inlineStr">
        <is>
          <t>2026-03-07</t>
        </is>
      </c>
    </row>
    <row r="86">
      <c r="A86" t="inlineStr">
        <is>
          <t>2026-02-05</t>
        </is>
      </c>
      <c r="B86" t="inlineStr">
        <is>
          <t>ABC91</t>
        </is>
      </c>
      <c r="D86" t="inlineStr">
        <is>
          <t>C/Y</t>
        </is>
      </c>
      <c r="E86" t="n">
        <v>0</v>
      </c>
      <c r="F86" t="n">
        <v>12</v>
      </c>
      <c r="G86" t="n">
        <v>92</v>
      </c>
      <c r="H86" t="n">
        <v>0</v>
      </c>
      <c r="I86" t="n">
        <v>36.8</v>
      </c>
      <c r="J86" t="inlineStr">
        <is>
          <t>2026-03-07</t>
        </is>
      </c>
    </row>
    <row r="87">
      <c r="A87" t="inlineStr">
        <is>
          <t>2026-02-05</t>
        </is>
      </c>
      <c r="B87" t="inlineStr">
        <is>
          <t>ABC69</t>
        </is>
      </c>
      <c r="D87" t="inlineStr">
        <is>
          <t>B/Y</t>
        </is>
      </c>
      <c r="E87" t="n">
        <v>0</v>
      </c>
      <c r="F87" t="n">
        <v>7</v>
      </c>
      <c r="G87" t="n">
        <v>143.6666666666667</v>
      </c>
      <c r="H87" t="n">
        <v>0</v>
      </c>
      <c r="I87" t="n">
        <v>33.52222222222222</v>
      </c>
      <c r="J87" t="inlineStr">
        <is>
          <t>2026-03-07</t>
        </is>
      </c>
    </row>
    <row r="88">
      <c r="A88" t="inlineStr">
        <is>
          <t>2026-02-05</t>
        </is>
      </c>
      <c r="B88" t="inlineStr">
        <is>
          <t>ABC13</t>
        </is>
      </c>
      <c r="D88" t="inlineStr">
        <is>
          <t>A/Z</t>
        </is>
      </c>
      <c r="E88" t="n">
        <v>1</v>
      </c>
      <c r="F88" t="n">
        <v>13</v>
      </c>
      <c r="G88" t="n">
        <v>78.33333333333333</v>
      </c>
      <c r="H88" t="n">
        <v>2</v>
      </c>
      <c r="I88" t="n">
        <v>36.55555555555556</v>
      </c>
      <c r="J88" t="inlineStr">
        <is>
          <t>2026-03-07</t>
        </is>
      </c>
    </row>
    <row r="89">
      <c r="A89" t="inlineStr">
        <is>
          <t>2026-02-05</t>
        </is>
      </c>
      <c r="B89" t="inlineStr">
        <is>
          <t>ABC93</t>
        </is>
      </c>
      <c r="D89" t="inlineStr">
        <is>
          <t>C/Z</t>
        </is>
      </c>
      <c r="E89" t="n">
        <v>1</v>
      </c>
      <c r="F89" t="n">
        <v>19</v>
      </c>
      <c r="G89" t="n">
        <v>53.33333333333334</v>
      </c>
      <c r="H89" t="n">
        <v>1</v>
      </c>
      <c r="I89" t="n">
        <v>35.55555555555556</v>
      </c>
      <c r="J89" t="inlineStr">
        <is>
          <t>2026-03-07</t>
        </is>
      </c>
    </row>
    <row r="90">
      <c r="A90" t="inlineStr">
        <is>
          <t>2026-02-05</t>
        </is>
      </c>
      <c r="B90" t="inlineStr">
        <is>
          <t>ABC92</t>
        </is>
      </c>
      <c r="D90" t="inlineStr">
        <is>
          <t>C/Z</t>
        </is>
      </c>
      <c r="E90" t="n">
        <v>1</v>
      </c>
      <c r="F90" t="n">
        <v>13</v>
      </c>
      <c r="G90" t="n">
        <v>76.66666666666667</v>
      </c>
      <c r="H90" t="n">
        <v>2</v>
      </c>
      <c r="I90" t="n">
        <v>35.77777777777778</v>
      </c>
      <c r="J90" t="inlineStr">
        <is>
          <t>2026-03-07</t>
        </is>
      </c>
    </row>
    <row r="91">
      <c r="A91" t="inlineStr">
        <is>
          <t>2026-02-05</t>
        </is>
      </c>
      <c r="B91" t="inlineStr">
        <is>
          <t>ABC81</t>
        </is>
      </c>
      <c r="D91" t="inlineStr">
        <is>
          <t>C/Y</t>
        </is>
      </c>
      <c r="E91" t="n">
        <v>1</v>
      </c>
      <c r="F91" t="n">
        <v>12</v>
      </c>
      <c r="G91" t="n">
        <v>82.33333333333333</v>
      </c>
      <c r="H91" t="n">
        <v>2</v>
      </c>
      <c r="I91" t="n">
        <v>35.67777777777778</v>
      </c>
      <c r="J91" t="inlineStr">
        <is>
          <t>2026-03-07</t>
        </is>
      </c>
    </row>
    <row r="92">
      <c r="A92" t="inlineStr">
        <is>
          <t>2026-02-05</t>
        </is>
      </c>
      <c r="B92" t="inlineStr">
        <is>
          <t>ABC27</t>
        </is>
      </c>
      <c r="D92" t="inlineStr">
        <is>
          <t>A/Z</t>
        </is>
      </c>
      <c r="E92" t="n">
        <v>5</v>
      </c>
      <c r="F92" t="n">
        <v>328</v>
      </c>
      <c r="G92" t="n">
        <v>3.333333333333333</v>
      </c>
      <c r="H92" t="n">
        <v>0</v>
      </c>
      <c r="I92" t="n">
        <v>37</v>
      </c>
      <c r="J92" t="inlineStr">
        <is>
          <t>2026-03-07</t>
        </is>
      </c>
    </row>
    <row r="93">
      <c r="A93" t="inlineStr">
        <is>
          <t>2026-02-05</t>
        </is>
      </c>
      <c r="B93" t="inlineStr">
        <is>
          <t>ABC29</t>
        </is>
      </c>
      <c r="D93" t="inlineStr">
        <is>
          <t>A/Z</t>
        </is>
      </c>
      <c r="E93" t="n">
        <v>11</v>
      </c>
      <c r="F93" t="n">
        <v>266</v>
      </c>
      <c r="G93" t="n">
        <v>4</v>
      </c>
      <c r="H93" t="n">
        <v>1</v>
      </c>
      <c r="I93" t="n">
        <v>36.93333333333333</v>
      </c>
      <c r="J93" t="inlineStr">
        <is>
          <t>2026-03-07</t>
        </is>
      </c>
    </row>
    <row r="94">
      <c r="A94" t="inlineStr">
        <is>
          <t>2026-02-05</t>
        </is>
      </c>
      <c r="B94" t="inlineStr">
        <is>
          <t>ABC3</t>
        </is>
      </c>
      <c r="D94" t="inlineStr">
        <is>
          <t>A/Z</t>
        </is>
      </c>
      <c r="E94" t="n">
        <v>0</v>
      </c>
      <c r="F94" t="n">
        <v>97</v>
      </c>
      <c r="G94" t="n">
        <v>11.33333333333333</v>
      </c>
      <c r="H94" t="n">
        <v>0</v>
      </c>
      <c r="I94" t="n">
        <v>36.64444444444445</v>
      </c>
      <c r="J94" t="inlineStr">
        <is>
          <t>2026-03-07</t>
        </is>
      </c>
    </row>
    <row r="95">
      <c r="A95" t="inlineStr">
        <is>
          <t>2026-02-05</t>
        </is>
      </c>
      <c r="B95" t="inlineStr">
        <is>
          <t>ABC4</t>
        </is>
      </c>
      <c r="D95" t="inlineStr">
        <is>
          <t>A/Z</t>
        </is>
      </c>
      <c r="E95" t="n">
        <v>0</v>
      </c>
      <c r="F95" t="n">
        <v>151</v>
      </c>
      <c r="G95" t="n">
        <v>7.333333333333333</v>
      </c>
      <c r="H95" t="n">
        <v>0</v>
      </c>
      <c r="I95" t="n">
        <v>36.91111111111111</v>
      </c>
      <c r="J95" t="inlineStr">
        <is>
          <t>2026-03-07</t>
        </is>
      </c>
    </row>
    <row r="96">
      <c r="A96" t="inlineStr">
        <is>
          <t>2026-02-05</t>
        </is>
      </c>
      <c r="B96" t="inlineStr">
        <is>
          <t>ABC5</t>
        </is>
      </c>
      <c r="D96" t="inlineStr">
        <is>
          <t>A/Z</t>
        </is>
      </c>
      <c r="E96" t="n">
        <v>0</v>
      </c>
      <c r="F96" t="n">
        <v>208</v>
      </c>
      <c r="G96" t="n">
        <v>5.333333333333333</v>
      </c>
      <c r="H96" t="n">
        <v>0</v>
      </c>
      <c r="I96" t="n">
        <v>36.97777777777777</v>
      </c>
      <c r="J96" t="inlineStr">
        <is>
          <t>2026-03-07</t>
        </is>
      </c>
    </row>
    <row r="97">
      <c r="A97" t="inlineStr">
        <is>
          <t>2026-02-05</t>
        </is>
      </c>
      <c r="B97" t="inlineStr">
        <is>
          <t>ABC6</t>
        </is>
      </c>
      <c r="D97" t="inlineStr">
        <is>
          <t>A/Z</t>
        </is>
      </c>
      <c r="E97" t="n">
        <v>0</v>
      </c>
      <c r="F97" t="n">
        <v>222</v>
      </c>
      <c r="G97" t="n">
        <v>5</v>
      </c>
      <c r="H97" t="n">
        <v>0</v>
      </c>
      <c r="I97" t="n">
        <v>37</v>
      </c>
      <c r="J97" t="inlineStr">
        <is>
          <t>2026-03-07</t>
        </is>
      </c>
    </row>
    <row r="98">
      <c r="A98" t="inlineStr">
        <is>
          <t>2026-02-05</t>
        </is>
      </c>
      <c r="B98" t="inlineStr">
        <is>
          <t>ABC7</t>
        </is>
      </c>
      <c r="D98" t="inlineStr">
        <is>
          <t>A/Z</t>
        </is>
      </c>
      <c r="E98" t="n">
        <v>0</v>
      </c>
      <c r="F98" t="n">
        <v>185</v>
      </c>
      <c r="G98" t="n">
        <v>6</v>
      </c>
      <c r="H98" t="n">
        <v>0</v>
      </c>
      <c r="I98" t="n">
        <v>37</v>
      </c>
      <c r="J98" t="inlineStr">
        <is>
          <t>2026-03-07</t>
        </is>
      </c>
    </row>
    <row r="99">
      <c r="A99" t="inlineStr">
        <is>
          <t>2026-02-05</t>
        </is>
      </c>
      <c r="B99" t="inlineStr">
        <is>
          <t>ABC8</t>
        </is>
      </c>
      <c r="D99" t="inlineStr">
        <is>
          <t>A/X</t>
        </is>
      </c>
      <c r="E99" t="n">
        <v>0</v>
      </c>
      <c r="F99" t="n">
        <v>1</v>
      </c>
      <c r="G99" t="n">
        <v>1028.333333333333</v>
      </c>
      <c r="H99" t="n">
        <v>0</v>
      </c>
      <c r="I99" t="n">
        <v>34.27777777777778</v>
      </c>
      <c r="J99" t="inlineStr">
        <is>
          <t>2026-03-07</t>
        </is>
      </c>
    </row>
    <row r="100">
      <c r="A100" t="inlineStr">
        <is>
          <t>2026-02-05</t>
        </is>
      </c>
      <c r="B100" t="inlineStr">
        <is>
          <t>ABC9</t>
        </is>
      </c>
      <c r="D100" t="inlineStr">
        <is>
          <t>A/Z</t>
        </is>
      </c>
      <c r="E100" t="n">
        <v>0</v>
      </c>
      <c r="F100" t="n">
        <v>302</v>
      </c>
      <c r="G100" t="n">
        <v>3.666666666666667</v>
      </c>
      <c r="H100" t="n">
        <v>0</v>
      </c>
      <c r="I100" t="n">
        <v>36.91111111111111</v>
      </c>
      <c r="J100" t="inlineStr">
        <is>
          <t>2026-03-07</t>
        </is>
      </c>
    </row>
    <row r="101">
      <c r="A101" t="inlineStr">
        <is>
          <t>2026-02-05</t>
        </is>
      </c>
      <c r="B101" t="inlineStr">
        <is>
          <t>ABC10</t>
        </is>
      </c>
      <c r="D101" t="inlineStr">
        <is>
          <t>A/X</t>
        </is>
      </c>
      <c r="E101" t="n">
        <v>0</v>
      </c>
      <c r="F101" t="n">
        <v>2</v>
      </c>
      <c r="G101" t="n">
        <v>481</v>
      </c>
      <c r="H101" t="n">
        <v>0</v>
      </c>
      <c r="I101" t="n">
        <v>32.06666666666666</v>
      </c>
      <c r="J101" t="inlineStr">
        <is>
          <t>2026-03-07</t>
        </is>
      </c>
    </row>
    <row r="102">
      <c r="A102" t="inlineStr">
        <is>
          <t>2026-02-05</t>
        </is>
      </c>
      <c r="B102" t="inlineStr">
        <is>
          <t>ABC15</t>
        </is>
      </c>
      <c r="D102" t="inlineStr">
        <is>
          <t>A/Z</t>
        </is>
      </c>
      <c r="E102" t="n">
        <v>0</v>
      </c>
      <c r="F102" t="n">
        <v>302</v>
      </c>
      <c r="G102" t="n">
        <v>3.666666666666667</v>
      </c>
      <c r="H102" t="n">
        <v>0</v>
      </c>
      <c r="I102" t="n">
        <v>36.91111111111111</v>
      </c>
      <c r="J102" t="inlineStr">
        <is>
          <t>2026-03-07</t>
        </is>
      </c>
    </row>
    <row r="103">
      <c r="A103" t="inlineStr">
        <is>
          <t>2026-02-05</t>
        </is>
      </c>
      <c r="B103" t="inlineStr">
        <is>
          <t>ABC33</t>
        </is>
      </c>
      <c r="D103" t="inlineStr">
        <is>
          <t>A/X</t>
        </is>
      </c>
      <c r="E103" t="n">
        <v>0</v>
      </c>
      <c r="F103" t="n">
        <v>2</v>
      </c>
      <c r="G103" t="n">
        <v>402.6666666666667</v>
      </c>
      <c r="H103" t="n">
        <v>0</v>
      </c>
      <c r="I103" t="n">
        <v>26.84444444444445</v>
      </c>
      <c r="J103" t="inlineStr">
        <is>
          <t>2026-03-07</t>
        </is>
      </c>
    </row>
    <row r="104">
      <c r="A104" t="inlineStr">
        <is>
          <t>2026-02-05</t>
        </is>
      </c>
      <c r="B104" t="inlineStr">
        <is>
          <t>ABC32</t>
        </is>
      </c>
      <c r="D104" t="inlineStr">
        <is>
          <t>A/Z</t>
        </is>
      </c>
      <c r="E104" t="n">
        <v>0</v>
      </c>
      <c r="F104" t="n">
        <v>302</v>
      </c>
      <c r="G104" t="n">
        <v>3.666666666666667</v>
      </c>
      <c r="H104" t="n">
        <v>0</v>
      </c>
      <c r="I104" t="n">
        <v>36.91111111111111</v>
      </c>
      <c r="J104" t="inlineStr">
        <is>
          <t>2026-03-07</t>
        </is>
      </c>
    </row>
    <row r="105">
      <c r="A105" t="inlineStr">
        <is>
          <t>2026-02-05</t>
        </is>
      </c>
      <c r="B105" t="inlineStr">
        <is>
          <t>ABC31</t>
        </is>
      </c>
      <c r="D105" t="inlineStr">
        <is>
          <t>A/Y</t>
        </is>
      </c>
      <c r="E105" t="n">
        <v>0</v>
      </c>
      <c r="F105" t="n">
        <v>333</v>
      </c>
      <c r="G105" t="n">
        <v>3.333333333333333</v>
      </c>
      <c r="H105" t="n">
        <v>0</v>
      </c>
      <c r="I105" t="n">
        <v>37</v>
      </c>
      <c r="J105" t="inlineStr">
        <is>
          <t>2026-03-07</t>
        </is>
      </c>
    </row>
    <row r="106">
      <c r="A106" t="inlineStr">
        <is>
          <t>2026-02-05</t>
        </is>
      </c>
      <c r="B106" t="inlineStr">
        <is>
          <t>ABC34</t>
        </is>
      </c>
      <c r="D106" t="inlineStr">
        <is>
          <t>A/Y</t>
        </is>
      </c>
      <c r="E106" t="n">
        <v>0</v>
      </c>
      <c r="F106" t="n">
        <v>16</v>
      </c>
      <c r="G106" t="n">
        <v>68.33333333333333</v>
      </c>
      <c r="H106" t="n">
        <v>0</v>
      </c>
      <c r="I106" t="n">
        <v>36.44444444444444</v>
      </c>
      <c r="J106" t="inlineStr">
        <is>
          <t>2026-03-07</t>
        </is>
      </c>
    </row>
    <row r="107">
      <c r="A107" t="inlineStr">
        <is>
          <t>2026-02-05</t>
        </is>
      </c>
      <c r="B107" t="inlineStr">
        <is>
          <t>ABC37</t>
        </is>
      </c>
      <c r="D107" t="inlineStr">
        <is>
          <t>A/Y</t>
        </is>
      </c>
      <c r="E107" t="n">
        <v>0</v>
      </c>
      <c r="F107" t="n">
        <v>5</v>
      </c>
      <c r="G107" t="n">
        <v>185.3333333333333</v>
      </c>
      <c r="H107" t="n">
        <v>0</v>
      </c>
      <c r="I107" t="n">
        <v>30.88888888888889</v>
      </c>
      <c r="J107" t="inlineStr">
        <is>
          <t>2026-03-07</t>
        </is>
      </c>
    </row>
    <row r="108">
      <c r="A108" t="inlineStr">
        <is>
          <t>2026-02-05</t>
        </is>
      </c>
      <c r="B108" t="inlineStr">
        <is>
          <t>ABC36</t>
        </is>
      </c>
      <c r="D108" t="inlineStr">
        <is>
          <t>A/X</t>
        </is>
      </c>
      <c r="E108" t="n">
        <v>0</v>
      </c>
      <c r="F108" t="n">
        <v>18</v>
      </c>
      <c r="G108" t="n">
        <v>60</v>
      </c>
      <c r="H108" t="n">
        <v>0</v>
      </c>
      <c r="I108" t="n">
        <v>36</v>
      </c>
      <c r="J108" t="inlineStr">
        <is>
          <t>2026-03-07</t>
        </is>
      </c>
    </row>
    <row r="109">
      <c r="A109" t="inlineStr">
        <is>
          <t>2026-02-05</t>
        </is>
      </c>
      <c r="B109" t="inlineStr">
        <is>
          <t>ABC35</t>
        </is>
      </c>
      <c r="D109" t="inlineStr">
        <is>
          <t>A/X</t>
        </is>
      </c>
      <c r="E109" t="n">
        <v>0</v>
      </c>
      <c r="F109" t="n">
        <v>3</v>
      </c>
      <c r="G109" t="n">
        <v>336.6666666666667</v>
      </c>
      <c r="H109" t="n">
        <v>0</v>
      </c>
      <c r="I109" t="n">
        <v>33.66666666666667</v>
      </c>
      <c r="J109" t="inlineStr">
        <is>
          <t>2026-03-07</t>
        </is>
      </c>
    </row>
    <row r="110">
      <c r="A110" t="inlineStr">
        <is>
          <t>2026-02-05</t>
        </is>
      </c>
      <c r="B110" t="inlineStr">
        <is>
          <t>ABC47</t>
        </is>
      </c>
      <c r="D110" t="inlineStr">
        <is>
          <t>B/X</t>
        </is>
      </c>
      <c r="E110" t="n">
        <v>0</v>
      </c>
      <c r="F110" t="n">
        <v>15</v>
      </c>
      <c r="G110" t="n">
        <v>70.33333333333333</v>
      </c>
      <c r="H110" t="n">
        <v>0</v>
      </c>
      <c r="I110" t="n">
        <v>35.16666666666666</v>
      </c>
      <c r="J110" t="inlineStr">
        <is>
          <t>2026-03-07</t>
        </is>
      </c>
    </row>
    <row r="111">
      <c r="A111" t="inlineStr">
        <is>
          <t>2026-02-05</t>
        </is>
      </c>
      <c r="B111" t="inlineStr">
        <is>
          <t>ABC50</t>
        </is>
      </c>
      <c r="D111" t="inlineStr">
        <is>
          <t>B/Y</t>
        </is>
      </c>
      <c r="E111" t="n">
        <v>0</v>
      </c>
      <c r="F111" t="n">
        <v>6</v>
      </c>
      <c r="G111" t="n">
        <v>179.3333333333333</v>
      </c>
      <c r="H111" t="n">
        <v>0</v>
      </c>
      <c r="I111" t="n">
        <v>35.86666666666667</v>
      </c>
      <c r="J111" t="inlineStr">
        <is>
          <t>2026-03-07</t>
        </is>
      </c>
    </row>
    <row r="112">
      <c r="A112" t="inlineStr">
        <is>
          <t>2026-02-05</t>
        </is>
      </c>
      <c r="B112" t="inlineStr">
        <is>
          <t>ABC51</t>
        </is>
      </c>
      <c r="D112" t="inlineStr">
        <is>
          <t>B/Y</t>
        </is>
      </c>
      <c r="E112" t="n">
        <v>0</v>
      </c>
      <c r="F112" t="n">
        <v>10</v>
      </c>
      <c r="G112" t="n">
        <v>111</v>
      </c>
      <c r="H112" t="n">
        <v>0</v>
      </c>
      <c r="I112" t="n">
        <v>37</v>
      </c>
      <c r="J112" t="inlineStr">
        <is>
          <t>2026-03-07</t>
        </is>
      </c>
    </row>
    <row r="113">
      <c r="A113" t="inlineStr">
        <is>
          <t>2026-02-05</t>
        </is>
      </c>
      <c r="B113" t="inlineStr">
        <is>
          <t>ABC38</t>
        </is>
      </c>
      <c r="D113" t="inlineStr">
        <is>
          <t>A/Y</t>
        </is>
      </c>
      <c r="E113" t="n">
        <v>0</v>
      </c>
      <c r="F113" t="n">
        <v>4</v>
      </c>
      <c r="G113" t="n">
        <v>258.3333333333333</v>
      </c>
      <c r="H113" t="n">
        <v>0</v>
      </c>
      <c r="I113" t="n">
        <v>34.44444444444444</v>
      </c>
      <c r="J113" t="inlineStr">
        <is>
          <t>2026-03-07</t>
        </is>
      </c>
    </row>
    <row r="114">
      <c r="A114" t="inlineStr">
        <is>
          <t>2026-02-05</t>
        </is>
      </c>
      <c r="B114" t="inlineStr">
        <is>
          <t>ABC39</t>
        </is>
      </c>
      <c r="D114" t="inlineStr">
        <is>
          <t>A/Y</t>
        </is>
      </c>
      <c r="E114" t="n">
        <v>0</v>
      </c>
      <c r="F114" t="n">
        <v>166</v>
      </c>
      <c r="G114" t="n">
        <v>6.666666666666667</v>
      </c>
      <c r="H114" t="n">
        <v>0</v>
      </c>
      <c r="I114" t="n">
        <v>36.88888888888889</v>
      </c>
      <c r="J114" t="inlineStr">
        <is>
          <t>2026-03-07</t>
        </is>
      </c>
    </row>
    <row r="115">
      <c r="A115" t="inlineStr">
        <is>
          <t>2026-02-05</t>
        </is>
      </c>
      <c r="B115" t="inlineStr">
        <is>
          <t>ABC43</t>
        </is>
      </c>
      <c r="D115" t="inlineStr">
        <is>
          <t>B/Y</t>
        </is>
      </c>
      <c r="E115" t="n">
        <v>0</v>
      </c>
      <c r="F115" t="n">
        <v>6</v>
      </c>
      <c r="G115" t="n">
        <v>167.6666666666667</v>
      </c>
      <c r="H115" t="n">
        <v>0</v>
      </c>
      <c r="I115" t="n">
        <v>33.53333333333333</v>
      </c>
      <c r="J115" t="inlineStr">
        <is>
          <t>2026-03-07</t>
        </is>
      </c>
    </row>
    <row r="116">
      <c r="A116" t="inlineStr">
        <is>
          <t>2026-02-05</t>
        </is>
      </c>
      <c r="B116" t="inlineStr">
        <is>
          <t>ABC45</t>
        </is>
      </c>
      <c r="D116" t="inlineStr">
        <is>
          <t>B/X</t>
        </is>
      </c>
      <c r="E116" t="n">
        <v>0</v>
      </c>
      <c r="F116" t="n">
        <v>9</v>
      </c>
      <c r="G116" t="n">
        <v>114.3333333333333</v>
      </c>
      <c r="H116" t="n">
        <v>0</v>
      </c>
      <c r="I116" t="n">
        <v>34.3</v>
      </c>
      <c r="J116" t="inlineStr">
        <is>
          <t>2026-03-07</t>
        </is>
      </c>
    </row>
    <row r="117">
      <c r="A117" t="inlineStr">
        <is>
          <t>2026-02-05</t>
        </is>
      </c>
      <c r="B117" t="inlineStr">
        <is>
          <t>ABC46</t>
        </is>
      </c>
      <c r="D117" t="inlineStr">
        <is>
          <t>B/Z</t>
        </is>
      </c>
      <c r="E117" t="n">
        <v>0</v>
      </c>
      <c r="F117" t="n">
        <v>10</v>
      </c>
      <c r="G117" t="n">
        <v>108.3333333333333</v>
      </c>
      <c r="H117" t="n">
        <v>0</v>
      </c>
      <c r="I117" t="n">
        <v>36.11111111111111</v>
      </c>
      <c r="J117" t="inlineStr">
        <is>
          <t>2026-03-07</t>
        </is>
      </c>
    </row>
    <row r="118">
      <c r="A118" t="inlineStr">
        <is>
          <t>2026-02-05</t>
        </is>
      </c>
      <c r="B118" t="inlineStr">
        <is>
          <t>ABC62</t>
        </is>
      </c>
      <c r="D118" t="inlineStr">
        <is>
          <t>B/Y</t>
        </is>
      </c>
      <c r="E118" t="n">
        <v>0</v>
      </c>
      <c r="F118" t="n">
        <v>475</v>
      </c>
      <c r="G118" t="n">
        <v>2.333333333333333</v>
      </c>
      <c r="H118" t="n">
        <v>0</v>
      </c>
      <c r="I118" t="n">
        <v>36.94444444444445</v>
      </c>
      <c r="J118" t="inlineStr">
        <is>
          <t>2026-03-07</t>
        </is>
      </c>
    </row>
    <row r="119">
      <c r="A119" t="inlineStr">
        <is>
          <t>2026-02-05</t>
        </is>
      </c>
      <c r="B119" t="inlineStr">
        <is>
          <t>ABC63</t>
        </is>
      </c>
      <c r="D119" t="inlineStr">
        <is>
          <t>B/Y</t>
        </is>
      </c>
      <c r="E119" t="n">
        <v>0</v>
      </c>
      <c r="F119" t="n">
        <v>5</v>
      </c>
      <c r="G119" t="n">
        <v>219</v>
      </c>
      <c r="H119" t="n">
        <v>0</v>
      </c>
      <c r="I119" t="n">
        <v>36.5</v>
      </c>
      <c r="J119" t="inlineStr">
        <is>
          <t>2026-03-07</t>
        </is>
      </c>
    </row>
    <row r="120">
      <c r="A120" t="inlineStr">
        <is>
          <t>2026-02-05</t>
        </is>
      </c>
      <c r="B120" t="inlineStr">
        <is>
          <t>ABC64</t>
        </is>
      </c>
      <c r="D120" t="inlineStr">
        <is>
          <t>B/Z</t>
        </is>
      </c>
      <c r="E120" t="n">
        <v>0</v>
      </c>
      <c r="F120" t="n">
        <v>9</v>
      </c>
      <c r="G120" t="n">
        <v>112</v>
      </c>
      <c r="H120" t="n">
        <v>0</v>
      </c>
      <c r="I120" t="n">
        <v>33.6</v>
      </c>
      <c r="J120" t="inlineStr">
        <is>
          <t>2026-03-07</t>
        </is>
      </c>
    </row>
    <row r="121">
      <c r="A121" t="inlineStr">
        <is>
          <t>2026-02-05</t>
        </is>
      </c>
      <c r="B121" t="inlineStr">
        <is>
          <t>ABC61</t>
        </is>
      </c>
      <c r="D121" t="inlineStr">
        <is>
          <t>B/Z</t>
        </is>
      </c>
      <c r="E121" t="n">
        <v>0</v>
      </c>
      <c r="F121" t="n">
        <v>95</v>
      </c>
      <c r="G121" t="n">
        <v>11.66666666666667</v>
      </c>
      <c r="H121" t="n">
        <v>0</v>
      </c>
      <c r="I121" t="n">
        <v>36.94444444444444</v>
      </c>
      <c r="J121" t="inlineStr">
        <is>
          <t>2026-03-07</t>
        </is>
      </c>
    </row>
    <row r="122">
      <c r="A122" t="inlineStr">
        <is>
          <t>2026-02-05</t>
        </is>
      </c>
      <c r="B122" t="inlineStr">
        <is>
          <t>ABC65</t>
        </is>
      </c>
      <c r="D122" t="inlineStr">
        <is>
          <t>B/X</t>
        </is>
      </c>
      <c r="E122" t="n">
        <v>0</v>
      </c>
      <c r="F122" t="n">
        <v>9</v>
      </c>
      <c r="G122" t="n">
        <v>123</v>
      </c>
      <c r="H122" t="n">
        <v>0</v>
      </c>
      <c r="I122" t="n">
        <v>36.9</v>
      </c>
      <c r="J122" t="inlineStr">
        <is>
          <t>2026-03-07</t>
        </is>
      </c>
    </row>
    <row r="123">
      <c r="A123" t="inlineStr">
        <is>
          <t>2026-02-05</t>
        </is>
      </c>
      <c r="B123" t="inlineStr">
        <is>
          <t>ABC68</t>
        </is>
      </c>
      <c r="D123" t="inlineStr">
        <is>
          <t>B/Y</t>
        </is>
      </c>
      <c r="E123" t="n">
        <v>0</v>
      </c>
      <c r="F123" t="n">
        <v>4</v>
      </c>
      <c r="G123" t="n">
        <v>242.3333333333333</v>
      </c>
      <c r="H123" t="n">
        <v>0</v>
      </c>
      <c r="I123" t="n">
        <v>32.31111111111111</v>
      </c>
      <c r="J123" t="inlineStr">
        <is>
          <t>2026-03-07</t>
        </is>
      </c>
    </row>
    <row r="124">
      <c r="A124" t="inlineStr">
        <is>
          <t>2026-02-05</t>
        </is>
      </c>
      <c r="B124" t="inlineStr">
        <is>
          <t>ABC67</t>
        </is>
      </c>
      <c r="D124" t="inlineStr">
        <is>
          <t>B/Z</t>
        </is>
      </c>
      <c r="E124" t="n">
        <v>0</v>
      </c>
      <c r="F124" t="n">
        <v>34</v>
      </c>
      <c r="G124" t="n">
        <v>32</v>
      </c>
      <c r="H124" t="n">
        <v>0</v>
      </c>
      <c r="I124" t="n">
        <v>36.26666666666667</v>
      </c>
      <c r="J124" t="inlineStr">
        <is>
          <t>2026-03-07</t>
        </is>
      </c>
    </row>
    <row r="125">
      <c r="A125" t="inlineStr">
        <is>
          <t>2026-02-05</t>
        </is>
      </c>
      <c r="B125" t="inlineStr">
        <is>
          <t>ABC66</t>
        </is>
      </c>
      <c r="D125" t="inlineStr">
        <is>
          <t>B/Z</t>
        </is>
      </c>
      <c r="E125" t="n">
        <v>0</v>
      </c>
      <c r="F125" t="n">
        <v>1</v>
      </c>
      <c r="G125" t="n">
        <v>999.6666666666666</v>
      </c>
      <c r="H125" t="n">
        <v>0</v>
      </c>
      <c r="I125" t="n">
        <v>33.32222222222222</v>
      </c>
      <c r="J125" t="inlineStr">
        <is>
          <t>2026-03-07</t>
        </is>
      </c>
    </row>
    <row r="126">
      <c r="A126" t="inlineStr">
        <is>
          <t>2026-02-05</t>
        </is>
      </c>
      <c r="B126" t="inlineStr">
        <is>
          <t>ABC80</t>
        </is>
      </c>
      <c r="D126" t="inlineStr">
        <is>
          <t>C/Z</t>
        </is>
      </c>
      <c r="E126" t="n">
        <v>0</v>
      </c>
      <c r="F126" t="n">
        <v>8</v>
      </c>
      <c r="G126" t="n">
        <v>125.3333333333333</v>
      </c>
      <c r="H126" t="n">
        <v>0</v>
      </c>
      <c r="I126" t="n">
        <v>33.42222222222222</v>
      </c>
      <c r="J126" t="inlineStr">
        <is>
          <t>2026-03-07</t>
        </is>
      </c>
    </row>
    <row r="127">
      <c r="A127" t="inlineStr">
        <is>
          <t>2026-02-05</t>
        </is>
      </c>
      <c r="B127" t="inlineStr">
        <is>
          <t>ABC91</t>
        </is>
      </c>
      <c r="D127" t="inlineStr">
        <is>
          <t>C/Y</t>
        </is>
      </c>
      <c r="E127" t="n">
        <v>0</v>
      </c>
      <c r="F127" t="n">
        <v>12</v>
      </c>
      <c r="G127" t="n">
        <v>92</v>
      </c>
      <c r="H127" t="n">
        <v>0</v>
      </c>
      <c r="I127" t="n">
        <v>36.8</v>
      </c>
      <c r="J127" t="inlineStr">
        <is>
          <t>2026-03-07</t>
        </is>
      </c>
    </row>
    <row r="128">
      <c r="A128" t="inlineStr">
        <is>
          <t>2026-02-05</t>
        </is>
      </c>
      <c r="B128" t="inlineStr">
        <is>
          <t>ABC69</t>
        </is>
      </c>
      <c r="D128" t="inlineStr">
        <is>
          <t>B/Y</t>
        </is>
      </c>
      <c r="E128" t="n">
        <v>0</v>
      </c>
      <c r="F128" t="n">
        <v>7</v>
      </c>
      <c r="G128" t="n">
        <v>143.6666666666667</v>
      </c>
      <c r="H128" t="n">
        <v>0</v>
      </c>
      <c r="I128" t="n">
        <v>33.52222222222222</v>
      </c>
      <c r="J128" t="inlineStr">
        <is>
          <t>2026-03-07</t>
        </is>
      </c>
    </row>
    <row r="129">
      <c r="A129" t="inlineStr">
        <is>
          <t>2026-02-05</t>
        </is>
      </c>
      <c r="B129" t="inlineStr">
        <is>
          <t>ABC13</t>
        </is>
      </c>
      <c r="D129" t="inlineStr">
        <is>
          <t>A/Z</t>
        </is>
      </c>
      <c r="E129" t="n">
        <v>1</v>
      </c>
      <c r="F129" t="n">
        <v>13</v>
      </c>
      <c r="G129" t="n">
        <v>78.33333333333333</v>
      </c>
      <c r="H129" t="n">
        <v>2</v>
      </c>
      <c r="I129" t="n">
        <v>36.55555555555556</v>
      </c>
      <c r="J129" t="inlineStr">
        <is>
          <t>2026-03-07</t>
        </is>
      </c>
    </row>
    <row r="130">
      <c r="A130" t="inlineStr">
        <is>
          <t>2026-02-05</t>
        </is>
      </c>
      <c r="B130" t="inlineStr">
        <is>
          <t>ABC93</t>
        </is>
      </c>
      <c r="D130" t="inlineStr">
        <is>
          <t>C/Z</t>
        </is>
      </c>
      <c r="E130" t="n">
        <v>1</v>
      </c>
      <c r="F130" t="n">
        <v>19</v>
      </c>
      <c r="G130" t="n">
        <v>53.33333333333334</v>
      </c>
      <c r="H130" t="n">
        <v>1</v>
      </c>
      <c r="I130" t="n">
        <v>35.55555555555556</v>
      </c>
      <c r="J130" t="inlineStr">
        <is>
          <t>2026-03-07</t>
        </is>
      </c>
    </row>
    <row r="131">
      <c r="A131" t="inlineStr">
        <is>
          <t>2026-02-05</t>
        </is>
      </c>
      <c r="B131" t="inlineStr">
        <is>
          <t>ABC92</t>
        </is>
      </c>
      <c r="D131" t="inlineStr">
        <is>
          <t>C/Z</t>
        </is>
      </c>
      <c r="E131" t="n">
        <v>1</v>
      </c>
      <c r="F131" t="n">
        <v>13</v>
      </c>
      <c r="G131" t="n">
        <v>76.66666666666667</v>
      </c>
      <c r="H131" t="n">
        <v>2</v>
      </c>
      <c r="I131" t="n">
        <v>35.77777777777778</v>
      </c>
      <c r="J131" t="inlineStr">
        <is>
          <t>2026-03-07</t>
        </is>
      </c>
    </row>
    <row r="132">
      <c r="A132" t="inlineStr">
        <is>
          <t>2026-02-05</t>
        </is>
      </c>
      <c r="B132" t="inlineStr">
        <is>
          <t>ABC81</t>
        </is>
      </c>
      <c r="D132" t="inlineStr">
        <is>
          <t>C/Y</t>
        </is>
      </c>
      <c r="E132" t="n">
        <v>1</v>
      </c>
      <c r="F132" t="n">
        <v>12</v>
      </c>
      <c r="G132" t="n">
        <v>82.33333333333333</v>
      </c>
      <c r="H132" t="n">
        <v>2</v>
      </c>
      <c r="I132" t="n">
        <v>35.67777777777778</v>
      </c>
      <c r="J132" t="inlineStr">
        <is>
          <t>2026-03-07</t>
        </is>
      </c>
    </row>
    <row r="133">
      <c r="A133" t="inlineStr">
        <is>
          <t>2026-02-05</t>
        </is>
      </c>
      <c r="B133" t="inlineStr">
        <is>
          <t>ABC27</t>
        </is>
      </c>
      <c r="D133" t="inlineStr">
        <is>
          <t>A/Z</t>
        </is>
      </c>
      <c r="E133" t="n">
        <v>5</v>
      </c>
      <c r="F133" t="n">
        <v>328</v>
      </c>
      <c r="G133" t="n">
        <v>3.333333333333333</v>
      </c>
      <c r="H133" t="n">
        <v>0</v>
      </c>
      <c r="I133" t="n">
        <v>37</v>
      </c>
      <c r="J133" t="inlineStr">
        <is>
          <t>2026-03-07</t>
        </is>
      </c>
    </row>
    <row r="134">
      <c r="A134" t="inlineStr">
        <is>
          <t>2026-02-05</t>
        </is>
      </c>
      <c r="B134" t="inlineStr">
        <is>
          <t>ABC29</t>
        </is>
      </c>
      <c r="D134" t="inlineStr">
        <is>
          <t>A/Z</t>
        </is>
      </c>
      <c r="E134" t="n">
        <v>11</v>
      </c>
      <c r="F134" t="n">
        <v>266</v>
      </c>
      <c r="G134" t="n">
        <v>4</v>
      </c>
      <c r="H134" t="n">
        <v>1</v>
      </c>
      <c r="I134" t="n">
        <v>36.93333333333333</v>
      </c>
      <c r="J134" t="inlineStr">
        <is>
          <t>2026-03-07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BFH120"/>
  <sheetViews>
    <sheetView zoomScaleNormal="100" workbookViewId="0">
      <pane xSplit="1" ySplit="2" topLeftCell="B3" activePane="bottomRight" state="frozen"/>
      <selection activeCell="BCC214" sqref="BCC214"/>
      <selection pane="topRight" activeCell="BCC214" sqref="BCC214"/>
      <selection pane="bottomLeft" activeCell="BCC214" sqref="BCC214"/>
      <selection pane="bottomRight" activeCell="F19" sqref="F19"/>
    </sheetView>
  </sheetViews>
  <sheetFormatPr baseColWidth="8" defaultRowHeight="13.5"/>
  <cols>
    <col width="12.75" bestFit="1" customWidth="1" style="101" min="1" max="1"/>
    <col width="8" bestFit="1" customWidth="1" style="100" min="2" max="2"/>
    <col width="7.25" bestFit="1" customWidth="1" style="101" min="3" max="3"/>
    <col width="6" bestFit="1" customWidth="1" style="102" min="4" max="4"/>
    <col width="15.375" bestFit="1" customWidth="1" style="101" min="5" max="5"/>
    <col width="7.5" customWidth="1" style="101" min="6" max="6"/>
    <col width="10.625" customWidth="1" style="571" min="7" max="7"/>
    <col width="8.875" customWidth="1" style="572" min="8" max="8"/>
    <col width="10.625" customWidth="1" style="117" min="9" max="9"/>
    <col width="9" customWidth="1" style="116" min="10" max="177"/>
    <col width="25.375" customWidth="1" style="116" min="178" max="178"/>
    <col width="22.125" customWidth="1" style="116" min="179" max="179"/>
    <col width="9" customWidth="1" style="116" min="180" max="433"/>
    <col width="25.375" customWidth="1" style="116" min="434" max="434"/>
    <col width="22.125" customWidth="1" style="116" min="435" max="435"/>
    <col width="9" customWidth="1" style="116" min="436" max="689"/>
    <col width="25.375" customWidth="1" style="116" min="690" max="690"/>
    <col width="22.125" customWidth="1" style="116" min="691" max="691"/>
    <col width="9" customWidth="1" style="116" min="692" max="945"/>
    <col width="25.375" customWidth="1" style="116" min="946" max="946"/>
    <col width="22.125" customWidth="1" style="116" min="947" max="947"/>
    <col width="9" customWidth="1" style="116" min="948" max="1201"/>
    <col width="25.375" customWidth="1" style="116" min="1202" max="1202"/>
    <col width="22.125" customWidth="1" style="116" min="1203" max="1203"/>
    <col width="9" customWidth="1" style="116" min="1204" max="1457"/>
    <col width="25.375" customWidth="1" style="116" min="1458" max="1458"/>
    <col width="22.125" customWidth="1" style="116" min="1459" max="1459"/>
    <col width="9" customWidth="1" style="116" min="1460" max="1515"/>
    <col width="9" customWidth="1" style="573" min="1516" max="1516"/>
    <col width="9" customWidth="1" style="116" min="1517" max="1713"/>
    <col width="25.375" customWidth="1" style="116" min="1714" max="1714"/>
    <col width="22.125" customWidth="1" style="116" min="1715" max="1715"/>
    <col width="9" customWidth="1" style="116" min="1716" max="1969"/>
    <col width="25.375" customWidth="1" style="116" min="1970" max="1970"/>
    <col width="22.125" customWidth="1" style="116" min="1971" max="1971"/>
    <col width="9" customWidth="1" style="116" min="1972" max="2225"/>
    <col width="25.375" customWidth="1" style="116" min="2226" max="2226"/>
    <col width="22.125" customWidth="1" style="116" min="2227" max="2227"/>
    <col width="9" customWidth="1" style="116" min="2228" max="2481"/>
    <col width="25.375" customWidth="1" style="116" min="2482" max="2482"/>
    <col width="22.125" customWidth="1" style="116" min="2483" max="2483"/>
    <col width="9" customWidth="1" style="116" min="2484" max="2737"/>
    <col width="25.375" customWidth="1" style="116" min="2738" max="2738"/>
    <col width="22.125" customWidth="1" style="116" min="2739" max="2739"/>
    <col width="9" customWidth="1" style="116" min="2740" max="2993"/>
    <col width="25.375" customWidth="1" style="116" min="2994" max="2994"/>
    <col width="22.125" customWidth="1" style="116" min="2995" max="2995"/>
    <col width="9" customWidth="1" style="116" min="2996" max="3249"/>
    <col width="25.375" customWidth="1" style="116" min="3250" max="3250"/>
    <col width="22.125" customWidth="1" style="116" min="3251" max="3251"/>
    <col width="9" customWidth="1" style="116" min="3252" max="3505"/>
    <col width="25.375" customWidth="1" style="116" min="3506" max="3506"/>
    <col width="22.125" customWidth="1" style="116" min="3507" max="3507"/>
    <col width="9" customWidth="1" style="116" min="3508" max="3761"/>
    <col width="25.375" customWidth="1" style="116" min="3762" max="3762"/>
    <col width="22.125" customWidth="1" style="116" min="3763" max="3763"/>
    <col width="9" customWidth="1" style="116" min="3764" max="4017"/>
    <col width="25.375" customWidth="1" style="116" min="4018" max="4018"/>
    <col width="22.125" customWidth="1" style="116" min="4019" max="4019"/>
    <col width="9" customWidth="1" style="116" min="4020" max="4273"/>
    <col width="25.375" customWidth="1" style="116" min="4274" max="4274"/>
    <col width="22.125" customWidth="1" style="116" min="4275" max="4275"/>
    <col width="9" customWidth="1" style="116" min="4276" max="4529"/>
    <col width="25.375" customWidth="1" style="116" min="4530" max="4530"/>
    <col width="22.125" customWidth="1" style="116" min="4531" max="4531"/>
    <col width="9" customWidth="1" style="116" min="4532" max="4785"/>
    <col width="25.375" customWidth="1" style="116" min="4786" max="4786"/>
    <col width="22.125" customWidth="1" style="116" min="4787" max="4787"/>
    <col width="9" customWidth="1" style="116" min="4788" max="5041"/>
    <col width="25.375" customWidth="1" style="116" min="5042" max="5042"/>
    <col width="22.125" customWidth="1" style="116" min="5043" max="5043"/>
    <col width="9" customWidth="1" style="116" min="5044" max="5297"/>
    <col width="25.375" customWidth="1" style="116" min="5298" max="5298"/>
    <col width="22.125" customWidth="1" style="116" min="5299" max="5299"/>
    <col width="9" customWidth="1" style="116" min="5300" max="5553"/>
    <col width="25.375" customWidth="1" style="116" min="5554" max="5554"/>
    <col width="22.125" customWidth="1" style="116" min="5555" max="5555"/>
    <col width="9" customWidth="1" style="116" min="5556" max="5809"/>
    <col width="25.375" customWidth="1" style="116" min="5810" max="5810"/>
    <col width="22.125" customWidth="1" style="116" min="5811" max="5811"/>
    <col width="9" customWidth="1" style="116" min="5812" max="6065"/>
    <col width="25.375" customWidth="1" style="116" min="6066" max="6066"/>
    <col width="22.125" customWidth="1" style="116" min="6067" max="6067"/>
    <col width="9" customWidth="1" style="116" min="6068" max="6321"/>
    <col width="25.375" customWidth="1" style="116" min="6322" max="6322"/>
    <col width="22.125" customWidth="1" style="116" min="6323" max="6323"/>
    <col width="9" customWidth="1" style="116" min="6324" max="6577"/>
    <col width="25.375" customWidth="1" style="116" min="6578" max="6578"/>
    <col width="22.125" customWidth="1" style="116" min="6579" max="6579"/>
    <col width="9" customWidth="1" style="116" min="6580" max="6833"/>
    <col width="25.375" customWidth="1" style="116" min="6834" max="6834"/>
    <col width="22.125" customWidth="1" style="116" min="6835" max="6835"/>
    <col width="9" customWidth="1" style="116" min="6836" max="7089"/>
    <col width="25.375" customWidth="1" style="116" min="7090" max="7090"/>
    <col width="22.125" customWidth="1" style="116" min="7091" max="7091"/>
    <col width="9" customWidth="1" style="116" min="7092" max="7345"/>
    <col width="25.375" customWidth="1" style="116" min="7346" max="7346"/>
    <col width="22.125" customWidth="1" style="116" min="7347" max="7347"/>
    <col width="9" customWidth="1" style="116" min="7348" max="7601"/>
    <col width="25.375" customWidth="1" style="116" min="7602" max="7602"/>
    <col width="22.125" customWidth="1" style="116" min="7603" max="7603"/>
    <col width="9" customWidth="1" style="116" min="7604" max="7857"/>
    <col width="25.375" customWidth="1" style="116" min="7858" max="7858"/>
    <col width="22.125" customWidth="1" style="116" min="7859" max="7859"/>
    <col width="9" customWidth="1" style="116" min="7860" max="8113"/>
    <col width="25.375" customWidth="1" style="116" min="8114" max="8114"/>
    <col width="22.125" customWidth="1" style="116" min="8115" max="8115"/>
    <col width="9" customWidth="1" style="116" min="8116" max="8369"/>
    <col width="25.375" customWidth="1" style="116" min="8370" max="8370"/>
    <col width="22.125" customWidth="1" style="116" min="8371" max="8371"/>
    <col width="9" customWidth="1" style="116" min="8372" max="8625"/>
    <col width="25.375" customWidth="1" style="116" min="8626" max="8626"/>
    <col width="22.125" customWidth="1" style="116" min="8627" max="8627"/>
    <col width="9" customWidth="1" style="116" min="8628" max="8881"/>
    <col width="25.375" customWidth="1" style="116" min="8882" max="8882"/>
    <col width="22.125" customWidth="1" style="116" min="8883" max="8883"/>
    <col width="9" customWidth="1" style="116" min="8884" max="9137"/>
    <col width="25.375" customWidth="1" style="116" min="9138" max="9138"/>
    <col width="22.125" customWidth="1" style="116" min="9139" max="9139"/>
    <col width="9" customWidth="1" style="116" min="9140" max="9393"/>
    <col width="25.375" customWidth="1" style="116" min="9394" max="9394"/>
    <col width="22.125" customWidth="1" style="116" min="9395" max="9395"/>
    <col width="9" customWidth="1" style="116" min="9396" max="9649"/>
    <col width="25.375" customWidth="1" style="116" min="9650" max="9650"/>
    <col width="22.125" customWidth="1" style="116" min="9651" max="9651"/>
    <col width="9" customWidth="1" style="116" min="9652" max="9905"/>
    <col width="25.375" customWidth="1" style="116" min="9906" max="9906"/>
    <col width="22.125" customWidth="1" style="116" min="9907" max="9907"/>
    <col width="9" customWidth="1" style="116" min="9908" max="10161"/>
    <col width="25.375" customWidth="1" style="116" min="10162" max="10162"/>
    <col width="22.125" customWidth="1" style="116" min="10163" max="10163"/>
    <col width="9" customWidth="1" style="116" min="10164" max="10417"/>
    <col width="25.375" customWidth="1" style="116" min="10418" max="10418"/>
    <col width="22.125" customWidth="1" style="116" min="10419" max="10419"/>
    <col width="9" customWidth="1" style="116" min="10420" max="10673"/>
    <col width="25.375" customWidth="1" style="116" min="10674" max="10674"/>
    <col width="22.125" customWidth="1" style="116" min="10675" max="10675"/>
    <col width="9" customWidth="1" style="116" min="10676" max="10929"/>
    <col width="25.375" customWidth="1" style="116" min="10930" max="10930"/>
    <col width="22.125" customWidth="1" style="116" min="10931" max="10931"/>
    <col width="9" customWidth="1" style="116" min="10932" max="11185"/>
    <col width="25.375" customWidth="1" style="116" min="11186" max="11186"/>
    <col width="22.125" customWidth="1" style="116" min="11187" max="11187"/>
    <col width="9" customWidth="1" style="116" min="11188" max="11441"/>
    <col width="25.375" customWidth="1" style="116" min="11442" max="11442"/>
    <col width="22.125" customWidth="1" style="116" min="11443" max="11443"/>
    <col width="9" customWidth="1" style="116" min="11444" max="11697"/>
    <col width="25.375" customWidth="1" style="116" min="11698" max="11698"/>
    <col width="22.125" customWidth="1" style="116" min="11699" max="11699"/>
    <col width="9" customWidth="1" style="116" min="11700" max="11953"/>
    <col width="25.375" customWidth="1" style="116" min="11954" max="11954"/>
    <col width="22.125" customWidth="1" style="116" min="11955" max="11955"/>
    <col width="9" customWidth="1" style="116" min="11956" max="12209"/>
    <col width="25.375" customWidth="1" style="116" min="12210" max="12210"/>
    <col width="22.125" customWidth="1" style="116" min="12211" max="12211"/>
    <col width="9" customWidth="1" style="116" min="12212" max="12465"/>
    <col width="25.375" customWidth="1" style="116" min="12466" max="12466"/>
    <col width="22.125" customWidth="1" style="116" min="12467" max="12467"/>
    <col width="9" customWidth="1" style="116" min="12468" max="12721"/>
    <col width="25.375" customWidth="1" style="116" min="12722" max="12722"/>
    <col width="22.125" customWidth="1" style="116" min="12723" max="12723"/>
    <col width="9" customWidth="1" style="116" min="12724" max="12977"/>
    <col width="25.375" customWidth="1" style="116" min="12978" max="12978"/>
    <col width="22.125" customWidth="1" style="116" min="12979" max="12979"/>
    <col width="9" customWidth="1" style="116" min="12980" max="13233"/>
    <col width="25.375" customWidth="1" style="116" min="13234" max="13234"/>
    <col width="22.125" customWidth="1" style="116" min="13235" max="13235"/>
    <col width="9" customWidth="1" style="116" min="13236" max="13489"/>
    <col width="25.375" customWidth="1" style="116" min="13490" max="13490"/>
    <col width="22.125" customWidth="1" style="116" min="13491" max="13491"/>
    <col width="9" customWidth="1" style="116" min="13492" max="13745"/>
    <col width="25.375" customWidth="1" style="116" min="13746" max="13746"/>
    <col width="22.125" customWidth="1" style="116" min="13747" max="13747"/>
    <col width="9" customWidth="1" style="116" min="13748" max="14001"/>
    <col width="25.375" customWidth="1" style="116" min="14002" max="14002"/>
    <col width="22.125" customWidth="1" style="116" min="14003" max="14003"/>
    <col width="9" customWidth="1" style="116" min="14004" max="14257"/>
    <col width="25.375" customWidth="1" style="116" min="14258" max="14258"/>
    <col width="22.125" customWidth="1" style="116" min="14259" max="14259"/>
    <col width="9" customWidth="1" style="116" min="14260" max="14513"/>
    <col width="25.375" customWidth="1" style="116" min="14514" max="14514"/>
    <col width="22.125" customWidth="1" style="116" min="14515" max="14515"/>
    <col width="9" customWidth="1" style="116" min="14516" max="14769"/>
    <col width="25.375" customWidth="1" style="116" min="14770" max="14770"/>
    <col width="22.125" customWidth="1" style="116" min="14771" max="14771"/>
    <col width="9" customWidth="1" style="116" min="14772" max="15025"/>
    <col width="25.375" customWidth="1" style="116" min="15026" max="15026"/>
    <col width="22.125" customWidth="1" style="116" min="15027" max="15027"/>
    <col width="9" customWidth="1" style="116" min="15028" max="15281"/>
    <col width="25.375" customWidth="1" style="116" min="15282" max="15282"/>
    <col width="22.125" customWidth="1" style="116" min="15283" max="15283"/>
    <col width="9" customWidth="1" style="116" min="15284" max="15537"/>
    <col width="25.375" customWidth="1" style="116" min="15538" max="15538"/>
    <col width="22.125" customWidth="1" style="116" min="15539" max="15539"/>
    <col width="9" customWidth="1" style="116" min="15540" max="15793"/>
    <col width="25.375" customWidth="1" style="116" min="15794" max="15794"/>
    <col width="22.125" customWidth="1" style="116" min="15795" max="15795"/>
    <col width="9" customWidth="1" style="116" min="15796" max="16049"/>
    <col width="25.375" customWidth="1" style="116" min="16050" max="16050"/>
    <col width="22.125" customWidth="1" style="116" min="16051" max="16051"/>
    <col width="9" customWidth="1" style="116" min="16052" max="16384"/>
  </cols>
  <sheetData>
    <row r="1" ht="15" customFormat="1" customHeight="1" s="106">
      <c r="A1" s="378" t="inlineStr">
        <is>
          <t>열1</t>
        </is>
      </c>
      <c r="B1" s="100" t="inlineStr">
        <is>
          <t>열2</t>
        </is>
      </c>
      <c r="C1" s="101" t="inlineStr">
        <is>
          <t>열3</t>
        </is>
      </c>
      <c r="D1" s="102" t="inlineStr">
        <is>
          <t>열4</t>
        </is>
      </c>
      <c r="E1" s="101" t="inlineStr">
        <is>
          <t>열5</t>
        </is>
      </c>
      <c r="F1" s="101" t="inlineStr">
        <is>
          <t>열6</t>
        </is>
      </c>
      <c r="G1" s="571" t="inlineStr">
        <is>
          <t>열7</t>
        </is>
      </c>
      <c r="H1" s="572" t="inlineStr">
        <is>
          <t>열8</t>
        </is>
      </c>
      <c r="I1" s="574" t="inlineStr">
        <is>
          <t xml:space="preserve"> 16,185 </t>
        </is>
      </c>
      <c r="BFH1" s="575" t="n"/>
    </row>
    <row r="2" ht="16.5" customFormat="1" customHeight="1" s="114">
      <c r="A2" s="108" t="inlineStr">
        <is>
          <t>사방넷 상품코드</t>
        </is>
      </c>
      <c r="B2" s="109" t="inlineStr">
        <is>
          <t>물류코드</t>
        </is>
      </c>
      <c r="C2" s="109" t="inlineStr">
        <is>
          <t>SKU ID</t>
        </is>
      </c>
      <c r="D2" s="110" t="inlineStr">
        <is>
          <t>상품명</t>
        </is>
      </c>
      <c r="E2" s="110" t="inlineStr">
        <is>
          <t>상품명(창고표기명0</t>
        </is>
      </c>
      <c r="F2" s="111" t="inlineStr">
        <is>
          <t>색상</t>
        </is>
      </c>
      <c r="G2" s="111" t="inlineStr">
        <is>
          <t>사이즈</t>
        </is>
      </c>
      <c r="H2" s="576" t="inlineStr">
        <is>
          <t>개별원가</t>
        </is>
      </c>
      <c r="I2" s="113" t="inlineStr">
        <is>
          <t>현재고</t>
        </is>
      </c>
      <c r="BFH2" s="573" t="n"/>
    </row>
    <row r="3" ht="16.5" customFormat="1" customHeight="1" s="114">
      <c r="A3" s="410" t="n"/>
      <c r="B3" s="404" t="n"/>
      <c r="C3" s="405" t="inlineStr">
        <is>
          <t>ABC1</t>
        </is>
      </c>
      <c r="D3" s="411" t="n"/>
      <c r="E3" s="412" t="n"/>
      <c r="F3" s="413" t="n"/>
      <c r="G3" s="413" t="n"/>
      <c r="H3" s="577" t="n">
        <v>9680</v>
      </c>
      <c r="I3" s="415" t="n">
        <v>1233</v>
      </c>
      <c r="BFH3" s="573" t="n"/>
    </row>
    <row r="4" ht="16.5" customFormat="1" customHeight="1" s="114">
      <c r="A4" s="410" t="n"/>
      <c r="B4" s="404" t="n"/>
      <c r="C4" s="405" t="inlineStr">
        <is>
          <t>ABC2</t>
        </is>
      </c>
      <c r="D4" s="411" t="n"/>
      <c r="E4" s="412" t="n"/>
      <c r="F4" s="413" t="n"/>
      <c r="G4" s="413" t="n"/>
      <c r="H4" s="577" t="n">
        <v>12300</v>
      </c>
      <c r="I4" s="415" t="n">
        <v>1865</v>
      </c>
      <c r="BFH4" s="573" t="n"/>
    </row>
    <row r="5" ht="16.5" customFormat="1" customHeight="1" s="114">
      <c r="A5" s="406" t="n"/>
      <c r="B5" s="406" t="n"/>
      <c r="C5" s="405" t="inlineStr">
        <is>
          <t>ABC3</t>
        </is>
      </c>
      <c r="D5" s="416" t="n"/>
      <c r="E5" s="417" t="n"/>
      <c r="F5" s="418" t="n"/>
      <c r="G5" s="418" t="n"/>
      <c r="H5" s="577" t="n">
        <v>2700</v>
      </c>
      <c r="I5" s="415" t="n">
        <v>0</v>
      </c>
      <c r="BFH5" s="573" t="n"/>
    </row>
    <row r="6" ht="16.5" customFormat="1" customHeight="1" s="114">
      <c r="A6" s="406" t="n"/>
      <c r="B6" s="406" t="n"/>
      <c r="C6" s="405" t="inlineStr">
        <is>
          <t>ABC4</t>
        </is>
      </c>
      <c r="D6" s="416" t="n"/>
      <c r="E6" s="417" t="n"/>
      <c r="F6" s="418" t="n"/>
      <c r="G6" s="418" t="n"/>
      <c r="H6" s="577" t="n">
        <v>2700</v>
      </c>
      <c r="I6" s="415" t="n">
        <v>0</v>
      </c>
      <c r="BFH6" s="573" t="n"/>
    </row>
    <row r="7" ht="16.5" customFormat="1" customHeight="1" s="114">
      <c r="A7" s="406" t="n"/>
      <c r="B7" s="406" t="n"/>
      <c r="C7" s="405" t="inlineStr">
        <is>
          <t>ABC5</t>
        </is>
      </c>
      <c r="D7" s="416" t="n"/>
      <c r="E7" s="417" t="n"/>
      <c r="F7" s="418" t="n"/>
      <c r="G7" s="418" t="n"/>
      <c r="H7" s="577" t="n">
        <v>2700</v>
      </c>
      <c r="I7" s="415" t="n">
        <v>0</v>
      </c>
      <c r="BFH7" s="573" t="n"/>
    </row>
    <row r="8" ht="16.5" customFormat="1" customHeight="1" s="114">
      <c r="A8" s="406" t="n"/>
      <c r="B8" s="406" t="n"/>
      <c r="C8" s="405" t="inlineStr">
        <is>
          <t>ABC6</t>
        </is>
      </c>
      <c r="D8" s="416" t="n"/>
      <c r="E8" s="417" t="n"/>
      <c r="F8" s="418" t="n"/>
      <c r="G8" s="418" t="n"/>
      <c r="H8" s="577" t="n">
        <v>3700</v>
      </c>
      <c r="I8" s="415" t="n">
        <v>0</v>
      </c>
      <c r="BFH8" s="573" t="n"/>
    </row>
    <row r="9" ht="16.5" customFormat="1" customHeight="1" s="114">
      <c r="A9" s="406" t="n"/>
      <c r="B9" s="406" t="n"/>
      <c r="C9" s="405" t="inlineStr">
        <is>
          <t>ABC7</t>
        </is>
      </c>
      <c r="D9" s="416" t="n"/>
      <c r="E9" s="417" t="n"/>
      <c r="F9" s="418" t="n"/>
      <c r="G9" s="418" t="n"/>
      <c r="H9" s="577" t="n">
        <v>3700</v>
      </c>
      <c r="I9" s="415" t="n">
        <v>0</v>
      </c>
      <c r="BFH9" s="573" t="n"/>
    </row>
    <row r="10" ht="16.5" customFormat="1" customHeight="1" s="114">
      <c r="A10" s="406" t="n"/>
      <c r="B10" s="406" t="n"/>
      <c r="C10" s="405" t="inlineStr">
        <is>
          <t>ABC8</t>
        </is>
      </c>
      <c r="D10" s="416" t="n"/>
      <c r="E10" s="417" t="n"/>
      <c r="F10" s="418" t="n"/>
      <c r="G10" s="418" t="n"/>
      <c r="H10" s="577" t="n">
        <v>3700</v>
      </c>
      <c r="I10" s="415" t="n">
        <v>0</v>
      </c>
      <c r="BFH10" s="573" t="n"/>
    </row>
    <row r="11" ht="16.5" customFormat="1" customHeight="1" s="114">
      <c r="A11" s="406" t="n"/>
      <c r="B11" s="406" t="n"/>
      <c r="C11" s="405" t="inlineStr">
        <is>
          <t>ABC9</t>
        </is>
      </c>
      <c r="D11" s="416" t="n"/>
      <c r="E11" s="417" t="n"/>
      <c r="F11" s="418" t="n"/>
      <c r="G11" s="418" t="n"/>
      <c r="H11" s="577" t="n">
        <v>4100</v>
      </c>
      <c r="I11" s="415" t="n">
        <v>0</v>
      </c>
      <c r="BFH11" s="573" t="n"/>
    </row>
    <row r="12" ht="16.5" customFormat="1" customHeight="1" s="114">
      <c r="A12" s="406" t="n"/>
      <c r="B12" s="406" t="n"/>
      <c r="C12" s="405" t="inlineStr">
        <is>
          <t>ABC10</t>
        </is>
      </c>
      <c r="D12" s="416" t="n"/>
      <c r="E12" s="417" t="n"/>
      <c r="F12" s="418" t="n"/>
      <c r="G12" s="418" t="n"/>
      <c r="H12" s="577" t="n">
        <v>4100</v>
      </c>
      <c r="I12" s="415" t="n">
        <v>0</v>
      </c>
      <c r="BFH12" s="573" t="n"/>
    </row>
    <row r="13" ht="16.5" customFormat="1" customHeight="1" s="114">
      <c r="A13" s="406" t="n"/>
      <c r="B13" s="406" t="n"/>
      <c r="C13" s="405" t="inlineStr">
        <is>
          <t>ABC11</t>
        </is>
      </c>
      <c r="D13" s="416" t="n"/>
      <c r="E13" s="417" t="n"/>
      <c r="F13" s="418" t="n"/>
      <c r="G13" s="418" t="n"/>
      <c r="H13" s="577" t="n">
        <v>4100</v>
      </c>
      <c r="I13" s="415" t="n">
        <v>0</v>
      </c>
      <c r="BFH13" s="573" t="n"/>
    </row>
    <row r="14" ht="16.5" customFormat="1" customHeight="1" s="114">
      <c r="A14" s="410" t="n"/>
      <c r="B14" s="404" t="n"/>
      <c r="C14" s="405" t="inlineStr">
        <is>
          <t>ABC12</t>
        </is>
      </c>
      <c r="D14" s="411" t="n"/>
      <c r="E14" s="417" t="n"/>
      <c r="F14" s="418" t="n"/>
      <c r="G14" s="413" t="n"/>
      <c r="H14" s="577" t="n">
        <v>4954</v>
      </c>
      <c r="I14" s="415" t="n">
        <v>2800</v>
      </c>
      <c r="BFH14" s="573" t="n"/>
    </row>
    <row r="15" ht="16.5" customFormat="1" customHeight="1" s="114">
      <c r="A15" s="410" t="n"/>
      <c r="B15" s="407" t="n"/>
      <c r="C15" s="405" t="inlineStr">
        <is>
          <t>ABC13</t>
        </is>
      </c>
      <c r="D15" s="411" t="n"/>
      <c r="E15" s="417" t="n"/>
      <c r="F15" s="418" t="n"/>
      <c r="G15" s="418" t="n"/>
      <c r="H15" s="577" t="n">
        <v>32100</v>
      </c>
      <c r="I15" s="415" t="n">
        <v>1</v>
      </c>
      <c r="BFH15" s="573" t="n"/>
    </row>
    <row r="16" ht="16.5" customFormat="1" customHeight="1" s="114">
      <c r="A16" s="410" t="n"/>
      <c r="B16" s="407" t="n"/>
      <c r="C16" s="405" t="inlineStr">
        <is>
          <t>ABC14</t>
        </is>
      </c>
      <c r="D16" s="411" t="n"/>
      <c r="E16" s="417" t="n"/>
      <c r="F16" s="418" t="n"/>
      <c r="G16" s="418" t="n"/>
      <c r="H16" s="577" t="n">
        <v>32100</v>
      </c>
      <c r="I16" s="415" t="n">
        <v>2</v>
      </c>
      <c r="BFH16" s="573" t="n"/>
    </row>
    <row r="17" ht="16.5" customFormat="1" customHeight="1" s="114">
      <c r="A17" s="410" t="n"/>
      <c r="B17" s="407" t="n"/>
      <c r="C17" s="405" t="inlineStr">
        <is>
          <t>ABC15</t>
        </is>
      </c>
      <c r="D17" s="411" t="n"/>
      <c r="E17" s="417" t="n"/>
      <c r="F17" s="418" t="n"/>
      <c r="G17" s="418" t="n"/>
      <c r="H17" s="577" t="n">
        <v>32100</v>
      </c>
      <c r="I17" s="415" t="n">
        <v>0</v>
      </c>
      <c r="BFH17" s="573" t="n"/>
    </row>
    <row r="18" ht="16.5" customFormat="1" customHeight="1" s="114">
      <c r="A18" s="410" t="n"/>
      <c r="B18" s="407" t="n"/>
      <c r="C18" s="405" t="inlineStr">
        <is>
          <t>ABC16</t>
        </is>
      </c>
      <c r="D18" s="411" t="n"/>
      <c r="E18" s="417" t="n"/>
      <c r="F18" s="418" t="n"/>
      <c r="G18" s="418" t="n"/>
      <c r="H18" s="577" t="n">
        <v>42700</v>
      </c>
      <c r="I18" s="415" t="n">
        <v>24</v>
      </c>
      <c r="BFH18" s="573" t="n"/>
    </row>
    <row r="19" ht="16.5" customFormat="1" customHeight="1" s="114">
      <c r="A19" s="410" t="n"/>
      <c r="B19" s="407" t="n"/>
      <c r="C19" s="405" t="inlineStr">
        <is>
          <t>ABC17</t>
        </is>
      </c>
      <c r="D19" s="411" t="n"/>
      <c r="E19" s="417" t="n"/>
      <c r="F19" s="418" t="n"/>
      <c r="G19" s="418" t="n"/>
      <c r="H19" s="577" t="n">
        <v>42700</v>
      </c>
      <c r="I19" s="415" t="n">
        <v>10</v>
      </c>
      <c r="BFH19" s="573" t="n"/>
    </row>
    <row r="20" ht="16.5" customFormat="1" customHeight="1" s="114">
      <c r="A20" s="410" t="n"/>
      <c r="B20" s="407" t="n"/>
      <c r="C20" s="405" t="inlineStr">
        <is>
          <t>ABC18</t>
        </is>
      </c>
      <c r="D20" s="411" t="n"/>
      <c r="E20" s="417" t="n"/>
      <c r="F20" s="418" t="n"/>
      <c r="G20" s="418" t="n"/>
      <c r="H20" s="577" t="n">
        <v>42700</v>
      </c>
      <c r="I20" s="415" t="n">
        <v>47</v>
      </c>
      <c r="BFH20" s="573" t="n"/>
    </row>
    <row r="21" ht="16.5" customFormat="1" customHeight="1" s="114">
      <c r="A21" s="410" t="n"/>
      <c r="B21" s="407" t="n"/>
      <c r="C21" s="405" t="inlineStr">
        <is>
          <t>ABC19</t>
        </is>
      </c>
      <c r="D21" s="411" t="n"/>
      <c r="E21" s="417" t="n"/>
      <c r="F21" s="418" t="n"/>
      <c r="G21" s="418" t="n"/>
      <c r="H21" s="577" t="n">
        <v>39000</v>
      </c>
      <c r="I21" s="415" t="n">
        <v>15</v>
      </c>
      <c r="BFH21" s="573" t="n"/>
    </row>
    <row r="22" ht="16.5" customFormat="1" customHeight="1" s="114">
      <c r="A22" s="410" t="n"/>
      <c r="B22" s="407" t="n"/>
      <c r="C22" s="405" t="inlineStr">
        <is>
          <t>ABC20</t>
        </is>
      </c>
      <c r="D22" s="411" t="n"/>
      <c r="E22" s="417" t="n"/>
      <c r="F22" s="418" t="n"/>
      <c r="G22" s="418" t="n"/>
      <c r="H22" s="577" t="n">
        <v>39000</v>
      </c>
      <c r="I22" s="415" t="n">
        <v>3</v>
      </c>
      <c r="BFH22" s="573" t="n"/>
    </row>
    <row r="23" ht="16.5" customFormat="1" customHeight="1" s="114">
      <c r="A23" s="410" t="n"/>
      <c r="B23" s="407" t="n"/>
      <c r="C23" s="405" t="inlineStr">
        <is>
          <t>ABC21</t>
        </is>
      </c>
      <c r="D23" s="411" t="n"/>
      <c r="E23" s="417" t="n"/>
      <c r="F23" s="418" t="n"/>
      <c r="G23" s="418" t="n"/>
      <c r="H23" s="577" t="n">
        <v>39000</v>
      </c>
      <c r="I23" s="415" t="n">
        <v>6</v>
      </c>
      <c r="BFH23" s="573" t="n"/>
    </row>
    <row r="24" ht="16.5" customFormat="1" customHeight="1" s="114">
      <c r="A24" s="410" t="n"/>
      <c r="B24" s="407" t="n"/>
      <c r="C24" s="405" t="inlineStr">
        <is>
          <t>ABC22</t>
        </is>
      </c>
      <c r="D24" s="411" t="n"/>
      <c r="E24" s="417" t="n"/>
      <c r="F24" s="418" t="n"/>
      <c r="G24" s="418" t="n"/>
      <c r="H24" s="577" t="n">
        <v>19800</v>
      </c>
      <c r="I24" s="415" t="n">
        <v>12</v>
      </c>
      <c r="BFH24" s="573" t="n"/>
    </row>
    <row r="25" ht="16.5" customFormat="1" customHeight="1" s="114">
      <c r="A25" s="410" t="n"/>
      <c r="B25" s="407" t="n"/>
      <c r="C25" s="405" t="inlineStr">
        <is>
          <t>ABC23</t>
        </is>
      </c>
      <c r="D25" s="411" t="n"/>
      <c r="E25" s="417" t="n"/>
      <c r="F25" s="418" t="n"/>
      <c r="G25" s="418" t="n"/>
      <c r="H25" s="577" t="n">
        <v>19800</v>
      </c>
      <c r="I25" s="415" t="n">
        <v>17</v>
      </c>
      <c r="BFH25" s="573" t="n"/>
    </row>
    <row r="26" ht="16.5" customFormat="1" customHeight="1" s="114">
      <c r="A26" s="410" t="n"/>
      <c r="B26" s="407" t="n"/>
      <c r="C26" s="405" t="inlineStr">
        <is>
          <t>ABC24</t>
        </is>
      </c>
      <c r="D26" s="411" t="n"/>
      <c r="E26" s="417" t="n"/>
      <c r="F26" s="418" t="n"/>
      <c r="G26" s="418" t="n"/>
      <c r="H26" s="577" t="n">
        <v>19800</v>
      </c>
      <c r="I26" s="415" t="n">
        <v>58</v>
      </c>
      <c r="BFH26" s="573" t="n"/>
    </row>
    <row r="27" ht="16.5" customFormat="1" customHeight="1" s="114">
      <c r="A27" s="410" t="n"/>
      <c r="B27" s="407" t="n"/>
      <c r="C27" s="405" t="inlineStr">
        <is>
          <t>ABC25</t>
        </is>
      </c>
      <c r="D27" s="411" t="n"/>
      <c r="E27" s="417" t="n"/>
      <c r="F27" s="418" t="n"/>
      <c r="G27" s="418" t="n"/>
      <c r="H27" s="577" t="n">
        <v>31100</v>
      </c>
      <c r="I27" s="415" t="n">
        <v>3</v>
      </c>
      <c r="BFH27" s="573" t="n"/>
    </row>
    <row r="28" ht="16.5" customFormat="1" customHeight="1" s="114">
      <c r="A28" s="410" t="n"/>
      <c r="B28" s="407" t="n"/>
      <c r="C28" s="405" t="inlineStr">
        <is>
          <t>ABC26</t>
        </is>
      </c>
      <c r="D28" s="411" t="n"/>
      <c r="E28" s="417" t="n"/>
      <c r="F28" s="418" t="n"/>
      <c r="G28" s="418" t="n"/>
      <c r="H28" s="577" t="n">
        <v>31100</v>
      </c>
      <c r="I28" s="415" t="n">
        <v>4</v>
      </c>
      <c r="BFH28" s="573" t="n"/>
    </row>
    <row r="29" ht="16.5" customFormat="1" customHeight="1" s="114">
      <c r="A29" s="410" t="n"/>
      <c r="B29" s="407" t="n"/>
      <c r="C29" s="405" t="inlineStr">
        <is>
          <t>ABC27</t>
        </is>
      </c>
      <c r="D29" s="411" t="n"/>
      <c r="E29" s="417" t="n"/>
      <c r="F29" s="418" t="n"/>
      <c r="G29" s="418" t="n"/>
      <c r="H29" s="577" t="n">
        <v>31100</v>
      </c>
      <c r="I29" s="415" t="n">
        <v>5</v>
      </c>
      <c r="BFH29" s="573" t="n"/>
    </row>
    <row r="30" ht="16.5" customFormat="1" customHeight="1" s="114">
      <c r="A30" s="410" t="n"/>
      <c r="B30" s="407" t="n"/>
      <c r="C30" s="405" t="inlineStr">
        <is>
          <t>ABC28</t>
        </is>
      </c>
      <c r="D30" s="411" t="n"/>
      <c r="E30" s="417" t="n"/>
      <c r="F30" s="418" t="n"/>
      <c r="G30" s="418" t="n"/>
      <c r="H30" s="577" t="n">
        <v>27800</v>
      </c>
      <c r="I30" s="415" t="n">
        <v>15</v>
      </c>
      <c r="BFH30" s="573" t="n"/>
    </row>
    <row r="31" ht="16.5" customFormat="1" customHeight="1" s="114">
      <c r="A31" s="410" t="n"/>
      <c r="B31" s="407" t="n"/>
      <c r="C31" s="405" t="inlineStr">
        <is>
          <t>ABC29</t>
        </is>
      </c>
      <c r="D31" s="411" t="n"/>
      <c r="E31" s="417" t="n"/>
      <c r="F31" s="418" t="n"/>
      <c r="G31" s="418" t="n"/>
      <c r="H31" s="577" t="n">
        <v>27800</v>
      </c>
      <c r="I31" s="415" t="n">
        <v>11</v>
      </c>
      <c r="BFH31" s="573" t="n"/>
    </row>
    <row r="32" ht="16.5" customFormat="1" customHeight="1" s="114">
      <c r="A32" s="410" t="n"/>
      <c r="B32" s="407" t="n"/>
      <c r="C32" s="405" t="inlineStr">
        <is>
          <t>ABC30</t>
        </is>
      </c>
      <c r="D32" s="411" t="n"/>
      <c r="E32" s="417" t="n"/>
      <c r="F32" s="418" t="n"/>
      <c r="G32" s="418" t="n"/>
      <c r="H32" s="577" t="n">
        <v>27800</v>
      </c>
      <c r="I32" s="415" t="n">
        <v>17</v>
      </c>
      <c r="BFH32" s="573" t="n"/>
    </row>
    <row r="33" ht="16.5" customFormat="1" customHeight="1" s="114">
      <c r="A33" s="410" t="n"/>
      <c r="B33" s="407" t="n"/>
      <c r="C33" s="405" t="inlineStr">
        <is>
          <t>ABC31</t>
        </is>
      </c>
      <c r="D33" s="411" t="n"/>
      <c r="E33" s="417" t="n"/>
      <c r="F33" s="418" t="n"/>
      <c r="G33" s="418" t="n"/>
      <c r="H33" s="577" t="n">
        <v>55000</v>
      </c>
      <c r="I33" s="415" t="n">
        <v>0</v>
      </c>
      <c r="BFH33" s="573" t="n"/>
    </row>
    <row r="34" ht="16.5" customFormat="1" customHeight="1" s="114">
      <c r="A34" s="410" t="n"/>
      <c r="B34" s="407" t="n"/>
      <c r="C34" s="405" t="inlineStr">
        <is>
          <t>ABC32</t>
        </is>
      </c>
      <c r="D34" s="411" t="n"/>
      <c r="E34" s="417" t="n"/>
      <c r="F34" s="418" t="n"/>
      <c r="G34" s="418" t="n"/>
      <c r="H34" s="577" t="n">
        <v>55000</v>
      </c>
      <c r="I34" s="415" t="n">
        <v>0</v>
      </c>
      <c r="BFH34" s="573" t="n"/>
    </row>
    <row r="35" ht="16.5" customFormat="1" customHeight="1" s="114">
      <c r="A35" s="410" t="n"/>
      <c r="B35" s="407" t="n"/>
      <c r="C35" s="405" t="inlineStr">
        <is>
          <t>ABC33</t>
        </is>
      </c>
      <c r="D35" s="411" t="n"/>
      <c r="E35" s="417" t="n"/>
      <c r="F35" s="418" t="n"/>
      <c r="G35" s="418" t="n"/>
      <c r="H35" s="577" t="n">
        <v>55000</v>
      </c>
      <c r="I35" s="415" t="n">
        <v>0</v>
      </c>
      <c r="BFH35" s="573" t="n"/>
    </row>
    <row r="36" ht="16.5" customFormat="1" customHeight="1" s="114">
      <c r="A36" s="410" t="n"/>
      <c r="B36" s="407" t="n"/>
      <c r="C36" s="405" t="inlineStr">
        <is>
          <t>ABC34</t>
        </is>
      </c>
      <c r="D36" s="411" t="n"/>
      <c r="E36" s="417" t="n"/>
      <c r="F36" s="418" t="n"/>
      <c r="G36" s="418" t="n"/>
      <c r="H36" s="577" t="n">
        <v>80000</v>
      </c>
      <c r="I36" s="415" t="n">
        <v>0</v>
      </c>
      <c r="BFH36" s="573" t="n"/>
    </row>
    <row r="37" ht="16.5" customFormat="1" customHeight="1" s="114">
      <c r="A37" s="410" t="n"/>
      <c r="B37" s="407" t="n"/>
      <c r="C37" s="405" t="inlineStr">
        <is>
          <t>ABC35</t>
        </is>
      </c>
      <c r="D37" s="411" t="n"/>
      <c r="E37" s="417" t="n"/>
      <c r="F37" s="418" t="n"/>
      <c r="G37" s="418" t="n"/>
      <c r="H37" s="577" t="n">
        <v>80000</v>
      </c>
      <c r="I37" s="415" t="n">
        <v>0</v>
      </c>
      <c r="BFH37" s="573" t="n"/>
    </row>
    <row r="38" ht="16.5" customFormat="1" customHeight="1" s="114">
      <c r="A38" s="410" t="n"/>
      <c r="B38" s="407" t="n"/>
      <c r="C38" s="405" t="inlineStr">
        <is>
          <t>ABC36</t>
        </is>
      </c>
      <c r="D38" s="411" t="n"/>
      <c r="E38" s="417" t="n"/>
      <c r="F38" s="418" t="n"/>
      <c r="G38" s="418" t="n"/>
      <c r="H38" s="577" t="n">
        <v>80000</v>
      </c>
      <c r="I38" s="415" t="n">
        <v>0</v>
      </c>
      <c r="BFH38" s="573" t="n"/>
    </row>
    <row r="39" ht="16.5" customFormat="1" customHeight="1" s="114">
      <c r="A39" s="410" t="n"/>
      <c r="B39" s="407" t="n"/>
      <c r="C39" s="405" t="inlineStr">
        <is>
          <t>ABC37</t>
        </is>
      </c>
      <c r="D39" s="411" t="n"/>
      <c r="E39" s="417" t="n"/>
      <c r="F39" s="418" t="n"/>
      <c r="G39" s="418" t="n"/>
      <c r="H39" s="577" t="n">
        <v>73000</v>
      </c>
      <c r="I39" s="415" t="n">
        <v>0</v>
      </c>
      <c r="BFH39" s="573" t="n"/>
    </row>
    <row r="40" ht="16.5" customFormat="1" customHeight="1" s="114">
      <c r="A40" s="410" t="n"/>
      <c r="B40" s="407" t="n"/>
      <c r="C40" s="405" t="inlineStr">
        <is>
          <t>ABC38</t>
        </is>
      </c>
      <c r="D40" s="411" t="n"/>
      <c r="E40" s="417" t="n"/>
      <c r="F40" s="418" t="n"/>
      <c r="G40" s="418" t="n"/>
      <c r="H40" s="577" t="n">
        <v>73000</v>
      </c>
      <c r="I40" s="415" t="n">
        <v>0</v>
      </c>
      <c r="BFH40" s="573" t="n"/>
    </row>
    <row r="41" ht="16.5" customFormat="1" customHeight="1" s="114">
      <c r="A41" s="410" t="n"/>
      <c r="B41" s="407" t="n"/>
      <c r="C41" s="405" t="inlineStr">
        <is>
          <t>ABC39</t>
        </is>
      </c>
      <c r="D41" s="411" t="n"/>
      <c r="E41" s="417" t="n"/>
      <c r="F41" s="418" t="n"/>
      <c r="G41" s="418" t="n"/>
      <c r="H41" s="577" t="n">
        <v>73000</v>
      </c>
      <c r="I41" s="415" t="n">
        <v>0</v>
      </c>
      <c r="BFH41" s="573" t="n"/>
    </row>
    <row r="42" ht="16.5" customFormat="1" customHeight="1" s="114">
      <c r="A42" s="410" t="n"/>
      <c r="B42" s="407" t="n"/>
      <c r="C42" s="405" t="inlineStr">
        <is>
          <t>ABC40</t>
        </is>
      </c>
      <c r="D42" s="411" t="n"/>
      <c r="E42" s="417" t="n"/>
      <c r="F42" s="418" t="n"/>
      <c r="G42" s="418" t="n"/>
      <c r="H42" s="577" t="n">
        <v>3100</v>
      </c>
      <c r="I42" s="415" t="n">
        <v>608</v>
      </c>
      <c r="BFH42" s="573" t="n"/>
    </row>
    <row r="43" ht="16.5" customFormat="1" customHeight="1" s="114">
      <c r="A43" s="410" t="n"/>
      <c r="B43" s="407" t="n"/>
      <c r="C43" s="405" t="inlineStr">
        <is>
          <t>ABC41</t>
        </is>
      </c>
      <c r="D43" s="411" t="n"/>
      <c r="E43" s="417" t="n"/>
      <c r="F43" s="418" t="n"/>
      <c r="G43" s="418" t="n"/>
      <c r="H43" s="577" t="n">
        <v>3100</v>
      </c>
      <c r="I43" s="415" t="n">
        <v>1180</v>
      </c>
      <c r="BFH43" s="573" t="n"/>
    </row>
    <row r="44" ht="16.5" customFormat="1" customHeight="1" s="114">
      <c r="A44" s="410" t="n"/>
      <c r="B44" s="407" t="n"/>
      <c r="C44" s="405" t="inlineStr">
        <is>
          <t>ABC42</t>
        </is>
      </c>
      <c r="D44" s="411" t="n"/>
      <c r="E44" s="417" t="n"/>
      <c r="F44" s="418" t="n"/>
      <c r="G44" s="418" t="n"/>
      <c r="H44" s="577" t="n">
        <v>3100</v>
      </c>
      <c r="I44" s="415" t="n">
        <v>1643</v>
      </c>
      <c r="BFH44" s="573" t="n"/>
    </row>
    <row r="45" ht="16.5" customFormat="1" customHeight="1" s="114">
      <c r="A45" s="410" t="n"/>
      <c r="B45" s="407" t="n"/>
      <c r="C45" s="405" t="inlineStr">
        <is>
          <t>ABC43</t>
        </is>
      </c>
      <c r="D45" s="411" t="n"/>
      <c r="E45" s="417" t="n"/>
      <c r="F45" s="418" t="n"/>
      <c r="G45" s="418" t="n"/>
      <c r="H45" s="577" t="n">
        <v>32200</v>
      </c>
      <c r="I45" s="415" t="n">
        <v>0</v>
      </c>
      <c r="BFH45" s="573" t="n"/>
    </row>
    <row r="46" ht="16.5" customFormat="1" customHeight="1" s="114">
      <c r="A46" s="410" t="n"/>
      <c r="B46" s="407" t="n"/>
      <c r="C46" s="405" t="inlineStr">
        <is>
          <t>ABC44</t>
        </is>
      </c>
      <c r="D46" s="411" t="n"/>
      <c r="E46" s="417" t="n"/>
      <c r="F46" s="418" t="n"/>
      <c r="G46" s="418" t="n"/>
      <c r="H46" s="577" t="n">
        <v>32200</v>
      </c>
      <c r="I46" s="415" t="n">
        <v>0</v>
      </c>
      <c r="BFH46" s="573" t="n"/>
    </row>
    <row r="47" ht="16.5" customFormat="1" customHeight="1" s="114">
      <c r="A47" s="410" t="n"/>
      <c r="B47" s="407" t="n"/>
      <c r="C47" s="405" t="inlineStr">
        <is>
          <t>ABC45</t>
        </is>
      </c>
      <c r="D47" s="411" t="n"/>
      <c r="E47" s="417" t="n"/>
      <c r="F47" s="418" t="n"/>
      <c r="G47" s="418" t="n"/>
      <c r="H47" s="577" t="n">
        <v>32200</v>
      </c>
      <c r="I47" s="415" t="n">
        <v>0</v>
      </c>
      <c r="BFH47" s="573" t="n"/>
    </row>
    <row r="48" ht="16.5" customFormat="1" customHeight="1" s="114">
      <c r="A48" s="410" t="n"/>
      <c r="B48" s="407" t="n"/>
      <c r="C48" s="405" t="inlineStr">
        <is>
          <t>ABC46</t>
        </is>
      </c>
      <c r="D48" s="411" t="n"/>
      <c r="E48" s="417" t="n"/>
      <c r="F48" s="418" t="n"/>
      <c r="G48" s="418" t="n"/>
      <c r="H48" s="577" t="n">
        <v>44900</v>
      </c>
      <c r="I48" s="415" t="n">
        <v>0</v>
      </c>
      <c r="BFH48" s="573" t="n"/>
    </row>
    <row r="49" ht="16.5" customFormat="1" customHeight="1" s="114">
      <c r="A49" s="410" t="n"/>
      <c r="B49" s="407" t="n"/>
      <c r="C49" s="405" t="inlineStr">
        <is>
          <t>ABC47</t>
        </is>
      </c>
      <c r="D49" s="411" t="n"/>
      <c r="E49" s="417" t="n"/>
      <c r="F49" s="418" t="n"/>
      <c r="G49" s="418" t="n"/>
      <c r="H49" s="577" t="n">
        <v>44900</v>
      </c>
      <c r="I49" s="415" t="n">
        <v>0</v>
      </c>
      <c r="BFH49" s="573" t="n"/>
    </row>
    <row r="50" ht="16.5" customFormat="1" customHeight="1" s="114">
      <c r="A50" s="410" t="n"/>
      <c r="B50" s="407" t="n"/>
      <c r="C50" s="405" t="inlineStr">
        <is>
          <t>ABC48</t>
        </is>
      </c>
      <c r="D50" s="411" t="n"/>
      <c r="E50" s="417" t="n"/>
      <c r="F50" s="418" t="n"/>
      <c r="G50" s="418" t="n"/>
      <c r="H50" s="577" t="n">
        <v>44900</v>
      </c>
      <c r="I50" s="415" t="n">
        <v>6</v>
      </c>
      <c r="BFH50" s="573" t="n"/>
    </row>
    <row r="51" ht="16.5" customFormat="1" customHeight="1" s="114">
      <c r="A51" s="410" t="n"/>
      <c r="B51" s="407" t="n"/>
      <c r="C51" s="405" t="inlineStr">
        <is>
          <t>ABC49</t>
        </is>
      </c>
      <c r="D51" s="411" t="n"/>
      <c r="E51" s="417" t="n"/>
      <c r="F51" s="418" t="n"/>
      <c r="G51" s="418" t="n"/>
      <c r="H51" s="577" t="n">
        <v>40000</v>
      </c>
      <c r="I51" s="415" t="n">
        <v>0</v>
      </c>
      <c r="BFH51" s="573" t="n"/>
    </row>
    <row r="52" ht="16.5" customFormat="1" customHeight="1" s="114">
      <c r="A52" s="410" t="n"/>
      <c r="B52" s="407" t="n"/>
      <c r="C52" s="405" t="inlineStr">
        <is>
          <t>ABC50</t>
        </is>
      </c>
      <c r="D52" s="411" t="n"/>
      <c r="E52" s="417" t="n"/>
      <c r="F52" s="418" t="n"/>
      <c r="G52" s="418" t="n"/>
      <c r="H52" s="577" t="n">
        <v>40000</v>
      </c>
      <c r="I52" s="415" t="n">
        <v>0</v>
      </c>
      <c r="BFH52" s="573" t="n"/>
    </row>
    <row r="53" ht="16.5" customFormat="1" customHeight="1" s="114">
      <c r="A53" s="410" t="n"/>
      <c r="B53" s="407" t="n"/>
      <c r="C53" s="405" t="inlineStr">
        <is>
          <t>ABC51</t>
        </is>
      </c>
      <c r="D53" s="411" t="n"/>
      <c r="E53" s="417" t="n"/>
      <c r="F53" s="418" t="n"/>
      <c r="G53" s="418" t="n"/>
      <c r="H53" s="577" t="n">
        <v>40000</v>
      </c>
      <c r="I53" s="415" t="n">
        <v>0</v>
      </c>
      <c r="BFH53" s="573" t="n"/>
    </row>
    <row r="54" ht="16.5" customFormat="1" customHeight="1" s="114">
      <c r="A54" s="410" t="n"/>
      <c r="B54" s="407" t="n"/>
      <c r="C54" s="405" t="inlineStr">
        <is>
          <t>ABC52</t>
        </is>
      </c>
      <c r="D54" s="411" t="n"/>
      <c r="E54" s="417" t="n"/>
      <c r="F54" s="418" t="n"/>
      <c r="G54" s="418" t="n"/>
      <c r="H54" s="577" t="n">
        <v>22200</v>
      </c>
      <c r="I54" s="415" t="n">
        <v>199</v>
      </c>
      <c r="BFH54" s="573" t="n"/>
    </row>
    <row r="55" ht="16.5" customFormat="1" customHeight="1" s="114">
      <c r="A55" s="410" t="n"/>
      <c r="B55" s="407" t="n"/>
      <c r="C55" s="405" t="inlineStr">
        <is>
          <t>ABC53</t>
        </is>
      </c>
      <c r="D55" s="411" t="n"/>
      <c r="E55" s="417" t="n"/>
      <c r="F55" s="418" t="n"/>
      <c r="G55" s="418" t="n"/>
      <c r="H55" s="577" t="n">
        <v>22200</v>
      </c>
      <c r="I55" s="415" t="n">
        <v>200</v>
      </c>
      <c r="BFH55" s="573" t="n"/>
    </row>
    <row r="56" ht="16.5" customFormat="1" customHeight="1" s="114">
      <c r="A56" s="410" t="n"/>
      <c r="B56" s="407" t="n"/>
      <c r="C56" s="405" t="inlineStr">
        <is>
          <t>ABC54</t>
        </is>
      </c>
      <c r="D56" s="411" t="n"/>
      <c r="E56" s="417" t="n"/>
      <c r="F56" s="418" t="n"/>
      <c r="G56" s="418" t="n"/>
      <c r="H56" s="577" t="n">
        <v>22200</v>
      </c>
      <c r="I56" s="415" t="n">
        <v>158</v>
      </c>
      <c r="BFH56" s="573" t="n"/>
    </row>
    <row r="57" ht="16.5" customFormat="1" customHeight="1" s="114">
      <c r="A57" s="410" t="n"/>
      <c r="B57" s="407" t="n"/>
      <c r="C57" s="405" t="inlineStr">
        <is>
          <t>ABC55</t>
        </is>
      </c>
      <c r="D57" s="411" t="n"/>
      <c r="E57" s="417" t="n"/>
      <c r="F57" s="418" t="n"/>
      <c r="G57" s="418" t="n"/>
      <c r="H57" s="577" t="n">
        <v>33500</v>
      </c>
      <c r="I57" s="415" t="n">
        <v>3</v>
      </c>
      <c r="BFH57" s="573" t="n"/>
    </row>
    <row r="58" ht="16.5" customFormat="1" customHeight="1" s="114">
      <c r="A58" s="410" t="n"/>
      <c r="B58" s="407" t="n"/>
      <c r="C58" s="405" t="inlineStr">
        <is>
          <t>ABC56</t>
        </is>
      </c>
      <c r="D58" s="411" t="n"/>
      <c r="E58" s="417" t="n"/>
      <c r="F58" s="418" t="n"/>
      <c r="G58" s="418" t="n"/>
      <c r="H58" s="577" t="n">
        <v>33500</v>
      </c>
      <c r="I58" s="415" t="n">
        <v>7</v>
      </c>
      <c r="BFH58" s="573" t="n"/>
    </row>
    <row r="59" ht="16.5" customFormat="1" customHeight="1" s="114">
      <c r="A59" s="410" t="n"/>
      <c r="B59" s="407" t="n"/>
      <c r="C59" s="405" t="inlineStr">
        <is>
          <t>ABC57</t>
        </is>
      </c>
      <c r="D59" s="411" t="n"/>
      <c r="E59" s="417" t="n"/>
      <c r="F59" s="418" t="n"/>
      <c r="G59" s="418" t="n"/>
      <c r="H59" s="577" t="n">
        <v>33500</v>
      </c>
      <c r="I59" s="415" t="n">
        <v>40</v>
      </c>
      <c r="BFH59" s="573" t="n"/>
    </row>
    <row r="60" ht="16.5" customFormat="1" customHeight="1" s="114">
      <c r="A60" s="410" t="n"/>
      <c r="B60" s="407" t="n"/>
      <c r="C60" s="405" t="inlineStr">
        <is>
          <t>ABC58</t>
        </is>
      </c>
      <c r="D60" s="411" t="n"/>
      <c r="E60" s="417" t="n"/>
      <c r="F60" s="418" t="n"/>
      <c r="G60" s="418" t="n"/>
      <c r="H60" s="577" t="n">
        <v>29600</v>
      </c>
      <c r="I60" s="415" t="n">
        <v>129</v>
      </c>
      <c r="BFH60" s="573" t="n"/>
    </row>
    <row r="61" ht="16.5" customFormat="1" customHeight="1" s="114">
      <c r="A61" s="410" t="n"/>
      <c r="B61" s="407" t="n"/>
      <c r="C61" s="405" t="inlineStr">
        <is>
          <t>ABC59</t>
        </is>
      </c>
      <c r="D61" s="411" t="n"/>
      <c r="E61" s="417" t="n"/>
      <c r="F61" s="418" t="n"/>
      <c r="G61" s="418" t="n"/>
      <c r="H61" s="577" t="n">
        <v>29600</v>
      </c>
      <c r="I61" s="415" t="n">
        <v>60</v>
      </c>
      <c r="BFH61" s="573" t="n"/>
    </row>
    <row r="62" ht="16.5" customFormat="1" customHeight="1" s="114">
      <c r="A62" s="410" t="n"/>
      <c r="B62" s="407" t="n"/>
      <c r="C62" s="405" t="inlineStr">
        <is>
          <t>ABC60</t>
        </is>
      </c>
      <c r="D62" s="411" t="n"/>
      <c r="E62" s="417" t="n"/>
      <c r="F62" s="418" t="n"/>
      <c r="G62" s="418" t="n"/>
      <c r="H62" s="577" t="n">
        <v>29600</v>
      </c>
      <c r="I62" s="415" t="n">
        <v>115</v>
      </c>
      <c r="BFH62" s="573" t="n"/>
    </row>
    <row r="63" ht="16.5" customFormat="1" customHeight="1" s="114">
      <c r="A63" s="410" t="n"/>
      <c r="B63" s="407" t="n"/>
      <c r="C63" s="405" t="inlineStr">
        <is>
          <t>ABC61</t>
        </is>
      </c>
      <c r="D63" s="411" t="n"/>
      <c r="E63" s="417" t="n"/>
      <c r="F63" s="418" t="n"/>
      <c r="G63" s="418" t="n"/>
      <c r="H63" s="577" t="n">
        <v>57500</v>
      </c>
      <c r="I63" s="415" t="n">
        <v>0</v>
      </c>
      <c r="BFH63" s="573" t="n"/>
    </row>
    <row r="64" ht="16.5" customFormat="1" customHeight="1" s="114">
      <c r="A64" s="410" t="n"/>
      <c r="B64" s="407" t="n"/>
      <c r="C64" s="405" t="inlineStr">
        <is>
          <t>ABC62</t>
        </is>
      </c>
      <c r="D64" s="411" t="n"/>
      <c r="E64" s="417" t="n"/>
      <c r="F64" s="418" t="n"/>
      <c r="G64" s="418" t="n"/>
      <c r="H64" s="577" t="n">
        <v>57500</v>
      </c>
      <c r="I64" s="415" t="n">
        <v>0</v>
      </c>
      <c r="BFH64" s="573" t="n"/>
    </row>
    <row r="65" ht="16.5" customFormat="1" customHeight="1" s="114">
      <c r="A65" s="410" t="n"/>
      <c r="B65" s="407" t="n"/>
      <c r="C65" s="405" t="inlineStr">
        <is>
          <t>ABC63</t>
        </is>
      </c>
      <c r="D65" s="411" t="n"/>
      <c r="E65" s="417" t="n"/>
      <c r="F65" s="418" t="n"/>
      <c r="G65" s="418" t="n"/>
      <c r="H65" s="577" t="n">
        <v>57500</v>
      </c>
      <c r="I65" s="415" t="n">
        <v>0</v>
      </c>
      <c r="BFH65" s="573" t="n"/>
    </row>
    <row r="66" ht="16.5" customFormat="1" customHeight="1" s="114">
      <c r="A66" s="410" t="n"/>
      <c r="B66" s="407" t="n"/>
      <c r="C66" s="405" t="inlineStr">
        <is>
          <t>ABC64</t>
        </is>
      </c>
      <c r="D66" s="411" t="n"/>
      <c r="E66" s="417" t="n"/>
      <c r="F66" s="418" t="n"/>
      <c r="G66" s="418" t="n"/>
      <c r="H66" s="577" t="n">
        <v>84600</v>
      </c>
      <c r="I66" s="415" t="n">
        <v>0</v>
      </c>
      <c r="BFH66" s="573" t="n"/>
    </row>
    <row r="67" ht="16.5" customFormat="1" customHeight="1" s="114">
      <c r="A67" s="410" t="n"/>
      <c r="B67" s="407" t="n"/>
      <c r="C67" s="405" t="inlineStr">
        <is>
          <t>ABC65</t>
        </is>
      </c>
      <c r="D67" s="411" t="n"/>
      <c r="E67" s="417" t="n"/>
      <c r="F67" s="418" t="n"/>
      <c r="G67" s="418" t="n"/>
      <c r="H67" s="577" t="n">
        <v>84600</v>
      </c>
      <c r="I67" s="415" t="n">
        <v>0</v>
      </c>
      <c r="BFH67" s="573" t="n"/>
    </row>
    <row r="68" ht="16.5" customFormat="1" customHeight="1" s="114">
      <c r="A68" s="410" t="n"/>
      <c r="B68" s="407" t="n"/>
      <c r="C68" s="405" t="inlineStr">
        <is>
          <t>ABC66</t>
        </is>
      </c>
      <c r="D68" s="411" t="n"/>
      <c r="E68" s="417" t="n"/>
      <c r="F68" s="418" t="n"/>
      <c r="G68" s="418" t="n"/>
      <c r="H68" s="577" t="n">
        <v>84600</v>
      </c>
      <c r="I68" s="415" t="n">
        <v>0</v>
      </c>
      <c r="BFH68" s="573" t="n"/>
    </row>
    <row r="69" ht="16.5" customFormat="1" customHeight="1" s="114">
      <c r="A69" s="410" t="n"/>
      <c r="B69" s="407" t="n"/>
      <c r="C69" s="405" t="inlineStr">
        <is>
          <t>ABC67</t>
        </is>
      </c>
      <c r="D69" s="411" t="n"/>
      <c r="E69" s="417" t="n"/>
      <c r="F69" s="418" t="n"/>
      <c r="G69" s="418" t="n"/>
      <c r="H69" s="577" t="n">
        <v>75800</v>
      </c>
      <c r="I69" s="415" t="n">
        <v>0</v>
      </c>
      <c r="BFH69" s="573" t="n"/>
    </row>
    <row r="70" ht="16.5" customFormat="1" customHeight="1" s="114">
      <c r="A70" s="410" t="n"/>
      <c r="B70" s="407" t="n"/>
      <c r="C70" s="405" t="inlineStr">
        <is>
          <t>ABC68</t>
        </is>
      </c>
      <c r="D70" s="411" t="n"/>
      <c r="E70" s="417" t="n"/>
      <c r="F70" s="418" t="n"/>
      <c r="G70" s="418" t="n"/>
      <c r="H70" s="577" t="n">
        <v>75800</v>
      </c>
      <c r="I70" s="415" t="n">
        <v>0</v>
      </c>
      <c r="BFH70" s="573" t="n"/>
    </row>
    <row r="71" ht="16.5" customHeight="1" s="480">
      <c r="A71" s="410" t="n"/>
      <c r="B71" s="407" t="n"/>
      <c r="C71" s="405" t="inlineStr">
        <is>
          <t>ABC69</t>
        </is>
      </c>
      <c r="D71" s="411" t="n"/>
      <c r="E71" s="417" t="n"/>
      <c r="F71" s="418" t="n"/>
      <c r="G71" s="418" t="n"/>
      <c r="H71" s="577" t="n">
        <v>75800</v>
      </c>
      <c r="I71" s="415" t="n">
        <v>0</v>
      </c>
    </row>
    <row r="72" ht="16.5" customHeight="1" s="480">
      <c r="A72" s="419" t="n"/>
      <c r="B72" s="408" t="n"/>
      <c r="C72" s="405" t="inlineStr">
        <is>
          <t>ABC70</t>
        </is>
      </c>
      <c r="D72" s="420" t="n"/>
      <c r="E72" s="421" t="n"/>
      <c r="F72" s="422" t="n"/>
      <c r="G72" s="422" t="n"/>
      <c r="H72" s="577" t="n">
        <v>37246</v>
      </c>
      <c r="I72" s="415" t="n">
        <v>7</v>
      </c>
    </row>
    <row r="73" ht="16.5" customHeight="1" s="480">
      <c r="A73" s="419" t="n"/>
      <c r="B73" s="408" t="n"/>
      <c r="C73" s="405" t="inlineStr">
        <is>
          <t>ABC71</t>
        </is>
      </c>
      <c r="D73" s="420" t="n"/>
      <c r="E73" s="421" t="n"/>
      <c r="F73" s="422" t="n"/>
      <c r="G73" s="422" t="n"/>
      <c r="H73" s="577" t="n">
        <v>48084</v>
      </c>
      <c r="I73" s="415" t="n">
        <v>197</v>
      </c>
    </row>
    <row r="74" ht="16.5" customHeight="1" s="480">
      <c r="A74" s="419" t="n"/>
      <c r="B74" s="408" t="n"/>
      <c r="C74" s="405" t="inlineStr">
        <is>
          <t>ABC72</t>
        </is>
      </c>
      <c r="D74" s="420" t="n"/>
      <c r="E74" s="421" t="n"/>
      <c r="F74" s="422" t="n"/>
      <c r="G74" s="422" t="n"/>
      <c r="H74" s="577" t="n">
        <v>53713</v>
      </c>
      <c r="I74" s="415" t="n">
        <v>101</v>
      </c>
    </row>
    <row r="75" ht="16.5" customHeight="1" s="480">
      <c r="A75" s="419" t="n"/>
      <c r="B75" s="408" t="n"/>
      <c r="C75" s="405" t="inlineStr">
        <is>
          <t>ABC73</t>
        </is>
      </c>
      <c r="D75" s="420" t="n"/>
      <c r="E75" s="421" t="n"/>
      <c r="F75" s="422" t="n"/>
      <c r="G75" s="422" t="n"/>
      <c r="H75" s="577" t="n">
        <v>37246</v>
      </c>
      <c r="I75" s="415" t="n">
        <v>138</v>
      </c>
    </row>
    <row r="76" ht="16.5" customHeight="1" s="480">
      <c r="A76" s="419" t="n"/>
      <c r="B76" s="408" t="n"/>
      <c r="C76" s="405" t="inlineStr">
        <is>
          <t>ABC74</t>
        </is>
      </c>
      <c r="D76" s="420" t="n"/>
      <c r="E76" s="421" t="n"/>
      <c r="F76" s="422" t="n"/>
      <c r="G76" s="422" t="n"/>
      <c r="H76" s="577" t="n">
        <v>48084</v>
      </c>
      <c r="I76" s="415" t="n">
        <v>150</v>
      </c>
    </row>
    <row r="77" ht="16.5" customHeight="1" s="480">
      <c r="A77" s="419" t="n"/>
      <c r="B77" s="408" t="n"/>
      <c r="C77" s="405" t="inlineStr">
        <is>
          <t>ABC75</t>
        </is>
      </c>
      <c r="D77" s="420" t="n"/>
      <c r="E77" s="421" t="n"/>
      <c r="F77" s="422" t="n"/>
      <c r="G77" s="422" t="n"/>
      <c r="H77" s="577" t="n">
        <v>53713</v>
      </c>
      <c r="I77" s="415" t="n">
        <v>34</v>
      </c>
    </row>
    <row r="78" ht="16.5" customHeight="1" s="480">
      <c r="A78" s="419" t="n"/>
      <c r="B78" s="408" t="n"/>
      <c r="C78" s="405" t="inlineStr">
        <is>
          <t>ABC76</t>
        </is>
      </c>
      <c r="D78" s="420" t="n"/>
      <c r="E78" s="421" t="n"/>
      <c r="F78" s="422" t="n"/>
      <c r="G78" s="422" t="n"/>
      <c r="H78" s="577" t="n">
        <v>37246</v>
      </c>
      <c r="I78" s="415" t="n">
        <v>45</v>
      </c>
    </row>
    <row r="79" ht="16.5" customHeight="1" s="480">
      <c r="A79" s="419" t="n"/>
      <c r="B79" s="408" t="n"/>
      <c r="C79" s="405" t="inlineStr">
        <is>
          <t>ABC77</t>
        </is>
      </c>
      <c r="D79" s="420" t="n"/>
      <c r="E79" s="421" t="n"/>
      <c r="F79" s="422" t="n"/>
      <c r="G79" s="422" t="n"/>
      <c r="H79" s="577" t="n">
        <v>48084</v>
      </c>
      <c r="I79" s="415" t="n">
        <v>190</v>
      </c>
    </row>
    <row r="80" ht="16.5" customHeight="1" s="480">
      <c r="A80" s="419" t="n"/>
      <c r="B80" s="408" t="n"/>
      <c r="C80" s="405" t="inlineStr">
        <is>
          <t>ABC78</t>
        </is>
      </c>
      <c r="D80" s="420" t="n"/>
      <c r="E80" s="421" t="n"/>
      <c r="F80" s="422" t="n"/>
      <c r="G80" s="422" t="n"/>
      <c r="H80" s="577" t="n">
        <v>53713</v>
      </c>
      <c r="I80" s="415" t="n">
        <v>37</v>
      </c>
    </row>
    <row r="81" ht="16.5" customHeight="1" s="480">
      <c r="A81" s="419" t="n"/>
      <c r="B81" s="408" t="n"/>
      <c r="C81" s="405" t="inlineStr">
        <is>
          <t>ABC79</t>
        </is>
      </c>
      <c r="D81" s="420" t="n"/>
      <c r="E81" s="421" t="n"/>
      <c r="F81" s="422" t="n"/>
      <c r="G81" s="422" t="n"/>
      <c r="H81" s="577" t="n">
        <v>37246</v>
      </c>
      <c r="I81" s="415" t="n">
        <v>2</v>
      </c>
    </row>
    <row r="82" ht="16.5" customHeight="1" s="480">
      <c r="A82" s="419" t="n"/>
      <c r="B82" s="408" t="n"/>
      <c r="C82" s="405" t="inlineStr">
        <is>
          <t>ABC80</t>
        </is>
      </c>
      <c r="D82" s="420" t="n"/>
      <c r="E82" s="421" t="n"/>
      <c r="F82" s="422" t="n"/>
      <c r="G82" s="422" t="n"/>
      <c r="H82" s="577" t="n">
        <v>48084</v>
      </c>
      <c r="I82" s="415" t="n">
        <v>0</v>
      </c>
    </row>
    <row r="83" ht="16.5" customHeight="1" s="480">
      <c r="A83" s="419" t="n"/>
      <c r="B83" s="408" t="n"/>
      <c r="C83" s="405" t="inlineStr">
        <is>
          <t>ABC81</t>
        </is>
      </c>
      <c r="D83" s="420" t="n"/>
      <c r="E83" s="421" t="n"/>
      <c r="F83" s="422" t="n"/>
      <c r="G83" s="422" t="n"/>
      <c r="H83" s="577" t="n">
        <v>53713</v>
      </c>
      <c r="I83" s="415" t="n">
        <v>1</v>
      </c>
    </row>
    <row r="84" ht="16.5" customHeight="1" s="480">
      <c r="A84" s="419" t="n"/>
      <c r="B84" s="408" t="n"/>
      <c r="C84" s="405" t="inlineStr">
        <is>
          <t>ABC82</t>
        </is>
      </c>
      <c r="D84" s="420" t="n"/>
      <c r="E84" s="421" t="n"/>
      <c r="F84" s="422" t="n"/>
      <c r="G84" s="422" t="n"/>
      <c r="H84" s="577" t="n">
        <v>22887</v>
      </c>
      <c r="I84" s="415" t="n">
        <v>504</v>
      </c>
    </row>
    <row r="85" ht="16.5" customHeight="1" s="480">
      <c r="A85" s="419" t="n"/>
      <c r="B85" s="408" t="n"/>
      <c r="C85" s="405" t="inlineStr">
        <is>
          <t>ABC83</t>
        </is>
      </c>
      <c r="D85" s="420" t="n"/>
      <c r="E85" s="421" t="n"/>
      <c r="F85" s="422" t="n"/>
      <c r="G85" s="422" t="n"/>
      <c r="H85" s="577" t="n">
        <v>34528</v>
      </c>
      <c r="I85" s="415" t="n">
        <v>231</v>
      </c>
    </row>
    <row r="86" ht="16.5" customHeight="1" s="480">
      <c r="A86" s="419" t="n"/>
      <c r="B86" s="408" t="n"/>
      <c r="C86" s="405" t="inlineStr">
        <is>
          <t>ABC84</t>
        </is>
      </c>
      <c r="D86" s="420" t="n"/>
      <c r="E86" s="421" t="n"/>
      <c r="F86" s="422" t="n"/>
      <c r="G86" s="422" t="n"/>
      <c r="H86" s="577" t="n">
        <v>38348</v>
      </c>
      <c r="I86" s="415" t="n">
        <v>102</v>
      </c>
    </row>
    <row r="87" ht="16.5" customHeight="1" s="480">
      <c r="A87" s="419" t="n"/>
      <c r="B87" s="408" t="n"/>
      <c r="C87" s="405" t="inlineStr">
        <is>
          <t>ABC85</t>
        </is>
      </c>
      <c r="D87" s="420" t="n"/>
      <c r="E87" s="421" t="n"/>
      <c r="F87" s="422" t="n"/>
      <c r="G87" s="422" t="n"/>
      <c r="H87" s="577" t="n">
        <v>22887</v>
      </c>
      <c r="I87" s="415" t="n">
        <v>201</v>
      </c>
    </row>
    <row r="88" ht="16.5" customHeight="1" s="480">
      <c r="A88" s="419" t="n"/>
      <c r="B88" s="408" t="n"/>
      <c r="C88" s="405" t="inlineStr">
        <is>
          <t>ABC86</t>
        </is>
      </c>
      <c r="D88" s="420" t="n"/>
      <c r="E88" s="421" t="n"/>
      <c r="F88" s="422" t="n"/>
      <c r="G88" s="422" t="n"/>
      <c r="H88" s="577" t="n">
        <v>34528</v>
      </c>
      <c r="I88" s="415" t="n">
        <v>224</v>
      </c>
    </row>
    <row r="89" ht="16.5" customHeight="1" s="480">
      <c r="A89" s="419" t="n"/>
      <c r="B89" s="408" t="n"/>
      <c r="C89" s="405" t="inlineStr">
        <is>
          <t>ABC87</t>
        </is>
      </c>
      <c r="D89" s="420" t="n"/>
      <c r="E89" s="421" t="n"/>
      <c r="F89" s="422" t="n"/>
      <c r="G89" s="422" t="n"/>
      <c r="H89" s="577" t="n">
        <v>38348</v>
      </c>
      <c r="I89" s="415" t="n">
        <v>31</v>
      </c>
    </row>
    <row r="90" ht="16.5" customHeight="1" s="480">
      <c r="A90" s="419" t="n"/>
      <c r="B90" s="408" t="n"/>
      <c r="C90" s="405" t="inlineStr">
        <is>
          <t>ABC88</t>
        </is>
      </c>
      <c r="D90" s="420" t="n"/>
      <c r="E90" s="421" t="n"/>
      <c r="F90" s="422" t="n"/>
      <c r="G90" s="422" t="n"/>
      <c r="H90" s="577" t="n">
        <v>22887</v>
      </c>
      <c r="I90" s="415" t="n">
        <v>157</v>
      </c>
    </row>
    <row r="91" ht="16.5" customHeight="1" s="480">
      <c r="A91" s="419" t="n"/>
      <c r="B91" s="408" t="n"/>
      <c r="C91" s="405" t="inlineStr">
        <is>
          <t>ABC89</t>
        </is>
      </c>
      <c r="D91" s="420" t="n"/>
      <c r="E91" s="421" t="n"/>
      <c r="F91" s="422" t="n"/>
      <c r="G91" s="422" t="n"/>
      <c r="H91" s="577" t="n">
        <v>34528</v>
      </c>
      <c r="I91" s="415" t="n">
        <v>176</v>
      </c>
    </row>
    <row r="92" ht="16.5" customHeight="1" s="480">
      <c r="A92" s="419" t="n"/>
      <c r="B92" s="408" t="n"/>
      <c r="C92" s="405" t="inlineStr">
        <is>
          <t>ABC90</t>
        </is>
      </c>
      <c r="D92" s="420" t="n"/>
      <c r="E92" s="421" t="n"/>
      <c r="F92" s="422" t="n"/>
      <c r="G92" s="422" t="n"/>
      <c r="H92" s="577" t="n">
        <v>38348</v>
      </c>
      <c r="I92" s="415" t="n">
        <v>25</v>
      </c>
    </row>
    <row r="93" ht="16.5" customHeight="1" s="480">
      <c r="A93" s="419" t="n"/>
      <c r="B93" s="408" t="n"/>
      <c r="C93" s="405" t="inlineStr">
        <is>
          <t>ABC91</t>
        </is>
      </c>
      <c r="D93" s="420" t="n"/>
      <c r="E93" s="421" t="n"/>
      <c r="F93" s="422" t="n"/>
      <c r="G93" s="422" t="n"/>
      <c r="H93" s="577" t="n">
        <v>22887</v>
      </c>
      <c r="I93" s="415" t="n">
        <v>0</v>
      </c>
    </row>
    <row r="94" ht="16.5" customHeight="1" s="480">
      <c r="A94" s="419" t="n"/>
      <c r="B94" s="408" t="n"/>
      <c r="C94" s="405" t="inlineStr">
        <is>
          <t>ABC92</t>
        </is>
      </c>
      <c r="D94" s="420" t="n"/>
      <c r="E94" s="421" t="n"/>
      <c r="F94" s="422" t="n"/>
      <c r="G94" s="422" t="n"/>
      <c r="H94" s="577" t="n">
        <v>34528</v>
      </c>
      <c r="I94" s="415" t="n">
        <v>1</v>
      </c>
    </row>
    <row r="95" ht="16.5" customHeight="1" s="480">
      <c r="A95" s="419" t="n"/>
      <c r="B95" s="408" t="n"/>
      <c r="C95" s="405" t="inlineStr">
        <is>
          <t>ABC93</t>
        </is>
      </c>
      <c r="D95" s="420" t="n"/>
      <c r="E95" s="421" t="n"/>
      <c r="F95" s="422" t="n"/>
      <c r="G95" s="422" t="n"/>
      <c r="H95" s="577" t="n">
        <v>38348</v>
      </c>
      <c r="I95" s="415" t="n">
        <v>1</v>
      </c>
    </row>
    <row r="96" ht="16.5" customHeight="1" s="480">
      <c r="A96" s="419" t="n"/>
      <c r="B96" s="408" t="n"/>
      <c r="C96" s="405" t="inlineStr">
        <is>
          <t>ABC94</t>
        </is>
      </c>
      <c r="D96" s="420" t="n"/>
      <c r="E96" s="421" t="n"/>
      <c r="F96" s="422" t="n"/>
      <c r="G96" s="422" t="n"/>
      <c r="H96" s="577" t="n">
        <v>3802</v>
      </c>
      <c r="I96" s="415" t="n">
        <v>2649</v>
      </c>
    </row>
    <row r="97" ht="16.5" customHeight="1" s="480">
      <c r="A97" s="419" t="n"/>
      <c r="B97" s="408" t="n"/>
      <c r="C97" s="405" t="inlineStr">
        <is>
          <t>ABC95</t>
        </is>
      </c>
      <c r="D97" s="420" t="n"/>
      <c r="E97" s="421" t="n"/>
      <c r="F97" s="422" t="n"/>
      <c r="G97" s="422" t="n"/>
      <c r="H97" s="577" t="n">
        <v>3802</v>
      </c>
      <c r="I97" s="415" t="n">
        <v>796</v>
      </c>
    </row>
    <row r="98" ht="16.5" customHeight="1" s="480">
      <c r="A98" s="419" t="n"/>
      <c r="B98" s="408" t="n"/>
      <c r="C98" s="405" t="inlineStr">
        <is>
          <t>ABC96</t>
        </is>
      </c>
      <c r="D98" s="420" t="n"/>
      <c r="E98" s="421" t="n"/>
      <c r="F98" s="422" t="n"/>
      <c r="G98" s="422" t="n"/>
      <c r="H98" s="577" t="n">
        <v>3802</v>
      </c>
      <c r="I98" s="415" t="n">
        <v>527</v>
      </c>
    </row>
    <row r="99" ht="16.5" customHeight="1" s="480">
      <c r="A99" s="419" t="n"/>
      <c r="B99" s="408" t="n"/>
      <c r="C99" s="405" t="inlineStr">
        <is>
          <t>ABC97</t>
        </is>
      </c>
      <c r="D99" s="420" t="n"/>
      <c r="E99" s="421" t="n"/>
      <c r="F99" s="422" t="n"/>
      <c r="G99" s="422" t="n"/>
      <c r="H99" s="577" t="n">
        <v>3802</v>
      </c>
      <c r="I99" s="415" t="n">
        <v>99</v>
      </c>
    </row>
    <row r="100" ht="16.5" customHeight="1" s="480">
      <c r="A100" s="419" t="n"/>
      <c r="B100" s="408" t="n"/>
      <c r="C100" s="405" t="inlineStr">
        <is>
          <t>ABC98</t>
        </is>
      </c>
      <c r="D100" s="420" t="n"/>
      <c r="E100" s="421" t="n"/>
      <c r="F100" s="422" t="n"/>
      <c r="G100" s="422" t="n"/>
      <c r="H100" s="577" t="n">
        <v>11570</v>
      </c>
      <c r="I100" s="415" t="n">
        <v>300</v>
      </c>
    </row>
    <row r="101">
      <c r="A101" s="419" t="n"/>
      <c r="B101" s="409" t="n"/>
      <c r="C101" s="405" t="inlineStr">
        <is>
          <t>ABC99</t>
        </is>
      </c>
      <c r="D101" s="423" t="n"/>
      <c r="E101" s="421" t="n"/>
      <c r="F101" s="424" t="n"/>
      <c r="G101" s="424" t="n"/>
      <c r="H101" s="578" t="n">
        <v>30000</v>
      </c>
      <c r="I101" s="426" t="n">
        <v>500</v>
      </c>
    </row>
    <row r="102">
      <c r="H102" s="571" t="n"/>
    </row>
    <row r="103">
      <c r="H103" s="571" t="n"/>
    </row>
    <row r="104">
      <c r="H104" s="571" t="n"/>
    </row>
    <row r="105">
      <c r="H105" s="571" t="n"/>
    </row>
    <row r="106">
      <c r="H106" s="571" t="n"/>
    </row>
    <row r="107">
      <c r="H107" s="571" t="n"/>
    </row>
    <row r="108">
      <c r="H108" s="571" t="n"/>
    </row>
    <row r="109">
      <c r="H109" s="571" t="n"/>
    </row>
    <row r="110">
      <c r="H110" s="571" t="n"/>
    </row>
    <row r="111">
      <c r="H111" s="571" t="n"/>
    </row>
    <row r="112">
      <c r="H112" s="571" t="n"/>
    </row>
    <row r="113">
      <c r="H113" s="571" t="n"/>
    </row>
    <row r="114">
      <c r="H114" s="571" t="n"/>
    </row>
    <row r="115">
      <c r="H115" s="571" t="n"/>
    </row>
    <row r="116">
      <c r="H116" s="571" t="n"/>
    </row>
    <row r="117">
      <c r="H117" s="571" t="n"/>
    </row>
    <row r="118">
      <c r="H118" s="571" t="n"/>
    </row>
    <row r="119">
      <c r="H119" s="571" t="n"/>
    </row>
    <row r="120">
      <c r="H120" s="571" t="n"/>
    </row>
  </sheetData>
  <conditionalFormatting sqref="D3">
    <cfRule type="duplicateValues" priority="4" dxfId="11"/>
  </conditionalFormatting>
  <conditionalFormatting sqref="D4">
    <cfRule type="duplicateValues" priority="3" dxfId="11"/>
  </conditionalFormatting>
  <conditionalFormatting sqref="D5:D13">
    <cfRule type="duplicateValues" priority="36" dxfId="11"/>
  </conditionalFormatting>
  <conditionalFormatting sqref="D14:D32">
    <cfRule type="duplicateValues" priority="33" dxfId="11"/>
  </conditionalFormatting>
  <conditionalFormatting sqref="D33:D41 D63:D71">
    <cfRule type="duplicateValues" priority="34" dxfId="11"/>
  </conditionalFormatting>
  <conditionalFormatting sqref="D42:D62">
    <cfRule type="duplicateValues" priority="32" dxfId="11"/>
  </conditionalFormatting>
  <conditionalFormatting sqref="D43">
    <cfRule type="duplicateValues" priority="31" dxfId="11"/>
  </conditionalFormatting>
  <conditionalFormatting sqref="D44">
    <cfRule type="duplicateValues" priority="30" dxfId="11"/>
  </conditionalFormatting>
  <conditionalFormatting sqref="D45">
    <cfRule type="duplicateValues" priority="29" dxfId="11"/>
  </conditionalFormatting>
  <conditionalFormatting sqref="D46">
    <cfRule type="duplicateValues" priority="28" dxfId="11"/>
  </conditionalFormatting>
  <conditionalFormatting sqref="D47">
    <cfRule type="duplicateValues" priority="27" dxfId="11"/>
  </conditionalFormatting>
  <conditionalFormatting sqref="D48">
    <cfRule type="duplicateValues" priority="26" dxfId="11"/>
  </conditionalFormatting>
  <conditionalFormatting sqref="D49">
    <cfRule type="duplicateValues" priority="25" dxfId="11"/>
  </conditionalFormatting>
  <conditionalFormatting sqref="D50">
    <cfRule type="duplicateValues" priority="24" dxfId="11"/>
  </conditionalFormatting>
  <conditionalFormatting sqref="D51">
    <cfRule type="duplicateValues" priority="23" dxfId="11"/>
  </conditionalFormatting>
  <conditionalFormatting sqref="D52">
    <cfRule type="duplicateValues" priority="22" dxfId="11"/>
  </conditionalFormatting>
  <conditionalFormatting sqref="D53">
    <cfRule type="duplicateValues" priority="21" dxfId="11"/>
  </conditionalFormatting>
  <conditionalFormatting sqref="D54">
    <cfRule type="duplicateValues" priority="20" dxfId="11"/>
  </conditionalFormatting>
  <conditionalFormatting sqref="D55">
    <cfRule type="duplicateValues" priority="19" dxfId="11"/>
  </conditionalFormatting>
  <conditionalFormatting sqref="D56">
    <cfRule type="duplicateValues" priority="18" dxfId="11"/>
  </conditionalFormatting>
  <conditionalFormatting sqref="D57">
    <cfRule type="duplicateValues" priority="17" dxfId="11"/>
  </conditionalFormatting>
  <conditionalFormatting sqref="D58">
    <cfRule type="duplicateValues" priority="16" dxfId="11"/>
  </conditionalFormatting>
  <conditionalFormatting sqref="D59">
    <cfRule type="duplicateValues" priority="15" dxfId="11"/>
  </conditionalFormatting>
  <conditionalFormatting sqref="D60">
    <cfRule type="duplicateValues" priority="14" dxfId="11"/>
  </conditionalFormatting>
  <conditionalFormatting sqref="D61">
    <cfRule type="duplicateValues" priority="13" dxfId="11"/>
  </conditionalFormatting>
  <conditionalFormatting sqref="D62">
    <cfRule type="duplicateValues" priority="12" dxfId="11"/>
  </conditionalFormatting>
  <conditionalFormatting sqref="D72:D101">
    <cfRule type="duplicateValues" priority="58" dxfId="11"/>
  </conditionalFormatting>
  <conditionalFormatting sqref="H121:H1048576">
    <cfRule type="cellIs" priority="42" operator="lessThanOrEqual" dxfId="11">
      <formula>#REF!</formula>
    </cfRule>
  </conditionalFormatting>
  <conditionalFormatting sqref="I1:I1048576">
    <cfRule type="cellIs" priority="1" operator="lessThan" dxfId="0">
      <formula>0</formula>
    </cfRule>
  </conditionalFormatting>
  <conditionalFormatting sqref="I2:I101">
    <cfRule type="cellIs" priority="35" operator="lessThanOrEqual" dxfId="11">
      <formula>#REF!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BFT1000"/>
  <sheetViews>
    <sheetView zoomScaleNormal="100" workbookViewId="0">
      <pane xSplit="1" ySplit="1" topLeftCell="B2" activePane="bottomRight" state="frozen"/>
      <selection activeCell="BCC214" sqref="BCC214"/>
      <selection pane="topRight" activeCell="BCC214" sqref="BCC214"/>
      <selection pane="bottomLeft" activeCell="BCC214" sqref="BCC214"/>
      <selection pane="bottomRight" activeCell="T13" sqref="T13"/>
    </sheetView>
  </sheetViews>
  <sheetFormatPr baseColWidth="8" defaultColWidth="9" defaultRowHeight="16.5"/>
  <cols>
    <col width="11" bestFit="1" customWidth="1" style="118" min="1" max="1"/>
    <col width="12.5" bestFit="1" customWidth="1" style="118" min="2" max="2"/>
    <col width="10.5" bestFit="1" customWidth="1" style="118" min="3" max="3"/>
    <col width="10.25" bestFit="1" customWidth="1" style="118" min="4" max="4"/>
    <col width="12.25" bestFit="1" customWidth="1" style="118" min="5" max="5"/>
    <col width="9.5" bestFit="1" customWidth="1" style="118" min="6" max="6"/>
    <col width="13.625" bestFit="1" customWidth="1" style="118" min="7" max="7"/>
    <col width="15.75" customWidth="1" style="118" min="8" max="8"/>
    <col width="10.75" customWidth="1" style="118" min="9" max="9"/>
    <col width="8.125" bestFit="1" customWidth="1" style="118" min="10" max="10"/>
    <col width="10.125" customWidth="1" style="118" min="11" max="11"/>
    <col width="13.75" customWidth="1" style="118" min="12" max="12"/>
    <col width="19.25" customWidth="1" style="118" min="13" max="13"/>
    <col width="14.375" bestFit="1" customWidth="1" style="118" min="14" max="14"/>
    <col width="8.125" customWidth="1" style="118" min="15" max="15"/>
    <col width="13.5" bestFit="1" customWidth="1" style="118" min="16" max="16"/>
    <col width="12.125" customWidth="1" style="118" min="17" max="17"/>
    <col width="10.875" bestFit="1" customWidth="1" style="118" min="18" max="18"/>
    <col width="13.25" bestFit="1" customWidth="1" style="120" min="19" max="19"/>
    <col width="14" customWidth="1" style="120" min="20" max="20"/>
    <col width="7.125" bestFit="1" customWidth="1" style="579" min="21" max="21"/>
    <col width="9" customWidth="1" style="118" min="22" max="1527"/>
    <col width="9" customWidth="1" style="580" min="1528" max="1528"/>
    <col width="9" customWidth="1" style="118" min="1529" max="1534"/>
    <col width="9" customWidth="1" style="118" min="1535" max="16384"/>
  </cols>
  <sheetData>
    <row r="1" ht="33" customFormat="1" customHeight="1" s="122">
      <c r="A1" s="438" t="inlineStr">
        <is>
          <t>Brand</t>
        </is>
      </c>
      <c r="B1" s="439" t="inlineStr">
        <is>
          <t>사방넷#</t>
        </is>
      </c>
      <c r="C1" s="439" t="inlineStr">
        <is>
          <t>SKU#</t>
        </is>
      </c>
      <c r="D1" s="439" t="inlineStr">
        <is>
          <t>ITEM</t>
        </is>
      </c>
      <c r="E1" s="439" t="inlineStr">
        <is>
          <t>COLOR</t>
        </is>
      </c>
      <c r="F1" s="439" t="inlineStr">
        <is>
          <t>SIZE</t>
        </is>
      </c>
      <c r="G1" s="439" t="inlineStr">
        <is>
          <t>열1</t>
        </is>
      </c>
      <c r="H1" s="439" t="inlineStr">
        <is>
          <t>Container Q'ty</t>
        </is>
      </c>
      <c r="I1" s="439" t="inlineStr">
        <is>
          <t>CARTON</t>
        </is>
      </c>
      <c r="J1" s="439" t="inlineStr">
        <is>
          <t>Q'TY</t>
        </is>
      </c>
      <c r="K1" s="439" t="inlineStr">
        <is>
          <t>Invoice#</t>
        </is>
      </c>
      <c r="L1" s="439" t="inlineStr">
        <is>
          <t>Unit Price($)</t>
        </is>
      </c>
      <c r="M1" s="439" t="inlineStr">
        <is>
          <t>Invoice Amount($)</t>
        </is>
      </c>
      <c r="N1" s="439" t="inlineStr">
        <is>
          <t>신고필증#</t>
        </is>
      </c>
      <c r="O1" s="439" t="inlineStr">
        <is>
          <t>B/L#</t>
        </is>
      </c>
      <c r="P1" s="439" t="inlineStr">
        <is>
          <t>CNTR#</t>
        </is>
      </c>
      <c r="Q1" s="439" t="inlineStr">
        <is>
          <t>입항예정일</t>
        </is>
      </c>
      <c r="R1" s="439" t="inlineStr">
        <is>
          <t>입항일</t>
        </is>
      </c>
      <c r="S1" s="439" t="inlineStr">
        <is>
          <t>창고입고
예정일</t>
        </is>
      </c>
      <c r="T1" s="439" t="inlineStr">
        <is>
          <t>창고실입고일</t>
        </is>
      </c>
      <c r="U1" s="581" t="inlineStr">
        <is>
          <t>년월
(예정)</t>
        </is>
      </c>
      <c r="V1" s="458" t="inlineStr">
        <is>
          <t>년월
(실입고)</t>
        </is>
      </c>
      <c r="BFT1" s="582" t="n"/>
    </row>
    <row r="2">
      <c r="A2" s="441" t="n"/>
      <c r="B2" s="442" t="n"/>
      <c r="C2" s="441" t="inlineStr">
        <is>
          <t>ABC82</t>
        </is>
      </c>
      <c r="D2" s="441" t="n"/>
      <c r="E2" s="441" t="n"/>
      <c r="F2" s="441" t="n"/>
      <c r="G2" s="441" t="n"/>
      <c r="H2" s="441" t="n">
        <v>7</v>
      </c>
      <c r="I2" s="441" t="n">
        <v>62</v>
      </c>
      <c r="J2" s="441" t="n">
        <v>434</v>
      </c>
      <c r="K2" s="441" t="n"/>
      <c r="L2" s="441" t="n"/>
      <c r="M2" s="441" t="n"/>
      <c r="N2" s="441" t="n"/>
      <c r="O2" s="441" t="n"/>
      <c r="P2" s="461" t="n"/>
      <c r="Q2" s="462" t="n">
        <v>46023</v>
      </c>
      <c r="R2" s="462" t="n"/>
      <c r="S2" s="460" t="n"/>
      <c r="T2" s="460" t="n">
        <v>46028</v>
      </c>
      <c r="U2" s="583">
        <f>TEXT(Q2,"YYMM")</f>
        <v/>
      </c>
      <c r="V2" s="583">
        <f>TEXT(T2,"YYMM")</f>
        <v/>
      </c>
    </row>
    <row r="3">
      <c r="A3" s="444" t="n"/>
      <c r="B3" s="445" t="n"/>
      <c r="C3" s="444" t="inlineStr">
        <is>
          <t>ABC98</t>
        </is>
      </c>
      <c r="D3" s="444" t="n"/>
      <c r="E3" s="444" t="n"/>
      <c r="F3" s="444" t="n"/>
      <c r="G3" s="444" t="n"/>
      <c r="H3" s="444" t="n">
        <v>5</v>
      </c>
      <c r="I3" s="444" t="n">
        <v>55</v>
      </c>
      <c r="J3" s="444" t="n">
        <v>275</v>
      </c>
      <c r="K3" s="444" t="n"/>
      <c r="L3" s="444" t="n"/>
      <c r="M3" s="444" t="n"/>
      <c r="N3" s="444" t="n"/>
      <c r="O3" s="444" t="n"/>
      <c r="P3" s="461" t="n"/>
      <c r="Q3" s="462" t="n">
        <v>46023</v>
      </c>
      <c r="R3" s="462" t="n"/>
      <c r="S3" s="460" t="n"/>
      <c r="T3" s="460" t="n">
        <v>46056</v>
      </c>
      <c r="U3" s="583">
        <f>TEXT(Q3,"YYMM")</f>
        <v/>
      </c>
      <c r="V3" s="584">
        <f>TEXT(T3,"YYMM")</f>
        <v/>
      </c>
    </row>
    <row r="4">
      <c r="A4" s="441" t="n"/>
      <c r="B4" s="442" t="n"/>
      <c r="C4" s="443" t="inlineStr">
        <is>
          <t>ABC55</t>
        </is>
      </c>
      <c r="D4" s="441" t="n"/>
      <c r="E4" s="441" t="n"/>
      <c r="F4" s="441" t="n"/>
      <c r="G4" s="441" t="n"/>
      <c r="H4" s="441" t="n">
        <v>7</v>
      </c>
      <c r="I4" s="441" t="n">
        <v>48</v>
      </c>
      <c r="J4" s="441" t="n">
        <v>336</v>
      </c>
      <c r="K4" s="441" t="n"/>
      <c r="L4" s="441" t="n"/>
      <c r="M4" s="441" t="n"/>
      <c r="N4" s="441" t="n"/>
      <c r="O4" s="441" t="n"/>
      <c r="P4" s="461" t="n"/>
      <c r="Q4" s="462" t="n">
        <v>46023</v>
      </c>
      <c r="R4" s="462" t="n"/>
      <c r="S4" s="460" t="n"/>
      <c r="T4" s="460" t="n">
        <v>46028</v>
      </c>
      <c r="U4" s="583">
        <f>TEXT(Q4,"YYMM")</f>
        <v/>
      </c>
      <c r="V4" s="584">
        <f>TEXT(T4,"YYMM")</f>
        <v/>
      </c>
    </row>
    <row r="5">
      <c r="A5" s="444" t="n"/>
      <c r="B5" s="445" t="n"/>
      <c r="C5" s="446" t="inlineStr">
        <is>
          <t>ABC78</t>
        </is>
      </c>
      <c r="D5" s="444" t="n"/>
      <c r="E5" s="444" t="n"/>
      <c r="F5" s="444" t="n"/>
      <c r="G5" s="444" t="n"/>
      <c r="H5" s="444" t="n">
        <v>5</v>
      </c>
      <c r="I5" s="444" t="n">
        <v>35</v>
      </c>
      <c r="J5" s="444" t="n">
        <v>175</v>
      </c>
      <c r="K5" s="444" t="n"/>
      <c r="L5" s="444" t="n"/>
      <c r="M5" s="444" t="n"/>
      <c r="N5" s="444" t="n"/>
      <c r="O5" s="444" t="n"/>
      <c r="P5" s="461" t="n"/>
      <c r="Q5" s="462" t="n">
        <v>46023</v>
      </c>
      <c r="R5" s="462" t="n"/>
      <c r="S5" s="460" t="n"/>
      <c r="T5" s="460" t="n">
        <v>46028</v>
      </c>
      <c r="U5" s="583">
        <f>TEXT(Q5,"YYMM")</f>
        <v/>
      </c>
      <c r="V5" s="584">
        <f>TEXT(T5,"YYMM")</f>
        <v/>
      </c>
    </row>
    <row r="6">
      <c r="A6" s="441" t="n"/>
      <c r="B6" s="442" t="n"/>
      <c r="C6" s="443" t="inlineStr">
        <is>
          <t>ABC87</t>
        </is>
      </c>
      <c r="D6" s="441" t="n"/>
      <c r="E6" s="441" t="n"/>
      <c r="F6" s="441" t="n"/>
      <c r="G6" s="441" t="n"/>
      <c r="H6" s="441" t="n">
        <v>200</v>
      </c>
      <c r="I6" s="441" t="n">
        <v>12</v>
      </c>
      <c r="J6" s="441" t="n">
        <v>2400</v>
      </c>
      <c r="K6" s="441" t="n"/>
      <c r="L6" s="441" t="n"/>
      <c r="M6" s="441" t="n"/>
      <c r="N6" s="441" t="n"/>
      <c r="O6" s="441" t="n"/>
      <c r="P6" s="461" t="n"/>
      <c r="Q6" s="462" t="n">
        <v>46023</v>
      </c>
      <c r="R6" s="462" t="n"/>
      <c r="S6" s="460" t="n"/>
      <c r="T6" s="460" t="n">
        <v>46058</v>
      </c>
      <c r="U6" s="583">
        <f>TEXT(Q6,"YYMM")</f>
        <v/>
      </c>
      <c r="V6" s="584">
        <f>TEXT(T6,"YYMM")</f>
        <v/>
      </c>
    </row>
    <row r="7">
      <c r="A7" s="444" t="n"/>
      <c r="B7" s="445" t="n"/>
      <c r="C7" s="446" t="inlineStr">
        <is>
          <t>ABC23</t>
        </is>
      </c>
      <c r="D7" s="444" t="n"/>
      <c r="E7" s="444" t="n"/>
      <c r="F7" s="444" t="n"/>
      <c r="G7" s="444" t="n"/>
      <c r="H7" s="444" t="n">
        <v>8</v>
      </c>
      <c r="I7" s="444" t="n">
        <v>17</v>
      </c>
      <c r="J7" s="444" t="n">
        <v>136</v>
      </c>
      <c r="K7" s="444" t="n"/>
      <c r="L7" s="444" t="n"/>
      <c r="M7" s="444" t="n"/>
      <c r="N7" s="444" t="n"/>
      <c r="O7" s="444" t="n"/>
      <c r="P7" s="461" t="n"/>
      <c r="Q7" s="462" t="n">
        <v>46023</v>
      </c>
      <c r="R7" s="462" t="n"/>
      <c r="S7" s="460" t="n"/>
      <c r="T7" s="460" t="n">
        <v>46028</v>
      </c>
      <c r="U7" s="583">
        <f>TEXT(Q7,"YYMM")</f>
        <v/>
      </c>
      <c r="V7" s="584">
        <f>TEXT(T7,"YYMM")</f>
        <v/>
      </c>
    </row>
    <row r="8">
      <c r="A8" s="441" t="n"/>
      <c r="B8" s="442" t="n"/>
      <c r="C8" s="443" t="inlineStr">
        <is>
          <t>ABC78</t>
        </is>
      </c>
      <c r="D8" s="441" t="n"/>
      <c r="E8" s="441" t="n"/>
      <c r="F8" s="441" t="n"/>
      <c r="G8" s="441" t="n"/>
      <c r="H8" s="441" t="n">
        <v>8</v>
      </c>
      <c r="I8" s="441" t="n">
        <v>17</v>
      </c>
      <c r="J8" s="441" t="n">
        <v>136</v>
      </c>
      <c r="K8" s="441" t="n"/>
      <c r="L8" s="441" t="n"/>
      <c r="M8" s="441" t="n"/>
      <c r="N8" s="441" t="n"/>
      <c r="O8" s="441" t="n"/>
      <c r="P8" s="461" t="n"/>
      <c r="Q8" s="462" t="n">
        <v>46055</v>
      </c>
      <c r="R8" s="462" t="n"/>
      <c r="S8" s="460" t="n"/>
      <c r="T8" s="460" t="n">
        <v>46061</v>
      </c>
      <c r="U8" s="583">
        <f>TEXT(Q8,"YYMM")</f>
        <v/>
      </c>
      <c r="V8" s="584">
        <f>TEXT(T8,"YYMM")</f>
        <v/>
      </c>
    </row>
    <row r="9">
      <c r="A9" s="444" t="n"/>
      <c r="B9" s="445" t="n"/>
      <c r="C9" s="446" t="inlineStr">
        <is>
          <t>ABC43</t>
        </is>
      </c>
      <c r="D9" s="444" t="n"/>
      <c r="E9" s="444" t="n"/>
      <c r="F9" s="444" t="n"/>
      <c r="G9" s="444" t="n"/>
      <c r="H9" s="444" t="n">
        <v>8</v>
      </c>
      <c r="I9" s="444" t="n">
        <v>15</v>
      </c>
      <c r="J9" s="444" t="n">
        <v>120</v>
      </c>
      <c r="K9" s="444" t="n"/>
      <c r="L9" s="444" t="n"/>
      <c r="M9" s="444" t="n"/>
      <c r="N9" s="444" t="n"/>
      <c r="O9" s="444" t="n"/>
      <c r="P9" s="461" t="n"/>
      <c r="Q9" s="462" t="n">
        <v>46055</v>
      </c>
      <c r="R9" s="462" t="n"/>
      <c r="S9" s="460" t="n"/>
      <c r="T9" s="460" t="n">
        <v>46061</v>
      </c>
      <c r="U9" s="583">
        <f>TEXT(Q9,"YYMM")</f>
        <v/>
      </c>
      <c r="V9" s="584">
        <f>TEXT(T9,"YYMM")</f>
        <v/>
      </c>
    </row>
    <row r="10">
      <c r="A10" s="441" t="n"/>
      <c r="B10" s="442" t="n"/>
      <c r="C10" s="443" t="inlineStr">
        <is>
          <t>ABC54</t>
        </is>
      </c>
      <c r="D10" s="441" t="n"/>
      <c r="E10" s="441" t="n"/>
      <c r="F10" s="441" t="n"/>
      <c r="G10" s="441" t="n"/>
      <c r="H10" s="441" t="n">
        <v>8</v>
      </c>
      <c r="I10" s="441" t="n">
        <v>4</v>
      </c>
      <c r="J10" s="441" t="n">
        <v>32</v>
      </c>
      <c r="K10" s="441" t="n"/>
      <c r="L10" s="441" t="n"/>
      <c r="M10" s="441" t="n"/>
      <c r="N10" s="441" t="n"/>
      <c r="O10" s="441" t="n"/>
      <c r="P10" s="461" t="n"/>
      <c r="Q10" s="462" t="n">
        <v>46055</v>
      </c>
      <c r="R10" s="462" t="n"/>
      <c r="S10" s="460" t="n"/>
      <c r="T10" s="460" t="n">
        <v>46061</v>
      </c>
      <c r="U10" s="583">
        <f>TEXT(Q10,"YYMM")</f>
        <v/>
      </c>
      <c r="V10" s="584">
        <f>TEXT(T10,"YYMM")</f>
        <v/>
      </c>
    </row>
    <row r="11">
      <c r="A11" s="444" t="n"/>
      <c r="B11" s="445" t="n"/>
      <c r="C11" s="446" t="inlineStr">
        <is>
          <t>ABC21</t>
        </is>
      </c>
      <c r="D11" s="444" t="n"/>
      <c r="E11" s="444" t="n"/>
      <c r="F11" s="444" t="n"/>
      <c r="G11" s="444" t="n"/>
      <c r="H11" s="444" t="n">
        <v>9</v>
      </c>
      <c r="I11" s="444" t="n">
        <v>8</v>
      </c>
      <c r="J11" s="444" t="n">
        <v>72</v>
      </c>
      <c r="K11" s="444" t="n"/>
      <c r="L11" s="444" t="n"/>
      <c r="M11" s="444" t="n"/>
      <c r="N11" s="444" t="n"/>
      <c r="O11" s="444" t="n"/>
      <c r="P11" s="461" t="n"/>
      <c r="Q11" s="462" t="n">
        <v>46055</v>
      </c>
      <c r="R11" s="462" t="n"/>
      <c r="S11" s="460" t="n"/>
      <c r="T11" s="460" t="n">
        <v>46061</v>
      </c>
      <c r="U11" s="583">
        <f>TEXT(Q11,"YYMM")</f>
        <v/>
      </c>
      <c r="V11" s="584">
        <f>TEXT(T11,"YYMM")</f>
        <v/>
      </c>
    </row>
    <row r="12">
      <c r="A12" s="441" t="n"/>
      <c r="B12" s="442" t="n"/>
      <c r="C12" s="443" t="inlineStr">
        <is>
          <t>ABC78</t>
        </is>
      </c>
      <c r="D12" s="441" t="n"/>
      <c r="E12" s="441" t="n"/>
      <c r="F12" s="441" t="n"/>
      <c r="G12" s="441" t="n"/>
      <c r="H12" s="441" t="n">
        <v>9</v>
      </c>
      <c r="I12" s="441" t="n">
        <v>8</v>
      </c>
      <c r="J12" s="441" t="n">
        <v>72</v>
      </c>
      <c r="K12" s="441" t="n"/>
      <c r="L12" s="441" t="n"/>
      <c r="M12" s="441" t="n"/>
      <c r="N12" s="441" t="n"/>
      <c r="O12" s="441" t="n"/>
      <c r="P12" s="461" t="n"/>
      <c r="Q12" s="462" t="n">
        <v>46055</v>
      </c>
      <c r="R12" s="462" t="n"/>
      <c r="S12" s="460" t="n"/>
      <c r="T12" s="460" t="n">
        <v>46116</v>
      </c>
      <c r="U12" s="583">
        <f>TEXT(Q12,"YYMM")</f>
        <v/>
      </c>
      <c r="V12" s="584">
        <f>TEXT(T12,"YYMM")</f>
        <v/>
      </c>
    </row>
    <row r="13">
      <c r="A13" s="444" t="n"/>
      <c r="B13" s="445" t="n"/>
      <c r="C13" s="446" t="inlineStr">
        <is>
          <t>ABC43</t>
        </is>
      </c>
      <c r="D13" s="444" t="n"/>
      <c r="E13" s="444" t="n"/>
      <c r="F13" s="444" t="n"/>
      <c r="G13" s="444" t="n"/>
      <c r="H13" s="444" t="n">
        <v>9</v>
      </c>
      <c r="I13" s="444" t="n">
        <v>7</v>
      </c>
      <c r="J13" s="444" t="n">
        <v>63</v>
      </c>
      <c r="K13" s="444" t="n"/>
      <c r="L13" s="444" t="n"/>
      <c r="M13" s="444" t="n"/>
      <c r="N13" s="444" t="n"/>
      <c r="O13" s="444" t="n"/>
      <c r="P13" s="461" t="n"/>
      <c r="Q13" s="454" t="n">
        <v>46083</v>
      </c>
      <c r="R13" s="454" t="n"/>
      <c r="S13" s="455" t="n"/>
      <c r="T13" s="455" t="n">
        <v>46086</v>
      </c>
      <c r="U13" s="583">
        <f>TEXT(Q13,"YYMM")</f>
        <v/>
      </c>
      <c r="V13" s="584">
        <f>TEXT(T13,"YYMM")</f>
        <v/>
      </c>
    </row>
    <row r="14">
      <c r="A14" s="441" t="n"/>
      <c r="B14" s="442" t="n"/>
      <c r="C14" s="443" t="inlineStr">
        <is>
          <t>ABC76</t>
        </is>
      </c>
      <c r="D14" s="441" t="n"/>
      <c r="E14" s="441" t="n"/>
      <c r="F14" s="441" t="n"/>
      <c r="G14" s="441" t="n"/>
      <c r="H14" s="441" t="n">
        <v>9</v>
      </c>
      <c r="I14" s="441" t="n">
        <v>2</v>
      </c>
      <c r="J14" s="441" t="n">
        <v>18</v>
      </c>
      <c r="K14" s="441" t="n"/>
      <c r="L14" s="441" t="n"/>
      <c r="M14" s="441" t="n"/>
      <c r="N14" s="441" t="n"/>
      <c r="O14" s="441" t="n"/>
      <c r="P14" s="461" t="n"/>
      <c r="Q14" s="454" t="n">
        <v>46083</v>
      </c>
      <c r="R14" s="454" t="n"/>
      <c r="S14" s="455" t="n"/>
      <c r="T14" s="455" t="n">
        <v>46086</v>
      </c>
      <c r="U14" s="583">
        <f>TEXT(Q14,"YYMM")</f>
        <v/>
      </c>
      <c r="V14" s="584">
        <f>TEXT(T14,"YYMM")</f>
        <v/>
      </c>
    </row>
    <row r="15">
      <c r="A15" s="444" t="n"/>
      <c r="B15" s="445" t="n"/>
      <c r="C15" s="446" t="inlineStr">
        <is>
          <t>ABC88</t>
        </is>
      </c>
      <c r="D15" s="444" t="n"/>
      <c r="E15" s="444" t="n"/>
      <c r="F15" s="444" t="n"/>
      <c r="G15" s="444" t="n"/>
      <c r="H15" s="444" t="n">
        <v>6</v>
      </c>
      <c r="I15" s="444" t="n">
        <v>35</v>
      </c>
      <c r="J15" s="444" t="n">
        <v>210</v>
      </c>
      <c r="K15" s="444" t="n"/>
      <c r="L15" s="444" t="n"/>
      <c r="M15" s="444" t="n"/>
      <c r="N15" s="444" t="n"/>
      <c r="O15" s="444" t="n"/>
      <c r="P15" s="461" t="n"/>
      <c r="Q15" s="454" t="n">
        <v>46083</v>
      </c>
      <c r="R15" s="454" t="n"/>
      <c r="S15" s="455" t="n"/>
      <c r="T15" s="455" t="n">
        <v>46113</v>
      </c>
      <c r="U15" s="583">
        <f>TEXT(Q15,"YYMM")</f>
        <v/>
      </c>
      <c r="V15" s="584">
        <f>TEXT(T15,"YYMM")</f>
        <v/>
      </c>
    </row>
    <row r="16">
      <c r="A16" s="441" t="n"/>
      <c r="B16" s="442" t="n"/>
      <c r="C16" s="443" t="inlineStr">
        <is>
          <t>ABC32</t>
        </is>
      </c>
      <c r="D16" s="447" t="n"/>
      <c r="E16" s="441" t="n"/>
      <c r="F16" s="441" t="n"/>
      <c r="G16" s="441" t="n"/>
      <c r="H16" s="441" t="n">
        <v>6</v>
      </c>
      <c r="I16" s="441" t="n">
        <v>35</v>
      </c>
      <c r="J16" s="441" t="n">
        <v>210</v>
      </c>
      <c r="K16" s="441" t="n"/>
      <c r="L16" s="441" t="n"/>
      <c r="M16" s="441" t="n"/>
      <c r="N16" s="441" t="n"/>
      <c r="O16" s="441" t="n"/>
      <c r="P16" s="461" t="n"/>
      <c r="Q16" s="454" t="n">
        <v>46083</v>
      </c>
      <c r="R16" s="454" t="n"/>
      <c r="S16" s="455" t="n"/>
      <c r="T16" s="455" t="n">
        <v>46086</v>
      </c>
      <c r="U16" s="583">
        <f>TEXT(Q16,"YYMM")</f>
        <v/>
      </c>
      <c r="V16" s="584">
        <f>TEXT(T16,"YYMM")</f>
        <v/>
      </c>
    </row>
    <row r="17">
      <c r="A17" s="444" t="n"/>
      <c r="B17" s="445" t="n"/>
      <c r="C17" s="446" t="inlineStr">
        <is>
          <t>ABC32</t>
        </is>
      </c>
      <c r="D17" s="448" t="n"/>
      <c r="E17" s="444" t="n"/>
      <c r="F17" s="444" t="n"/>
      <c r="G17" s="444" t="n"/>
      <c r="H17" s="444" t="n">
        <v>6</v>
      </c>
      <c r="I17" s="444" t="n">
        <v>25</v>
      </c>
      <c r="J17" s="444" t="n">
        <v>150</v>
      </c>
      <c r="K17" s="444" t="n"/>
      <c r="L17" s="444" t="n"/>
      <c r="M17" s="444" t="n"/>
      <c r="N17" s="444" t="n"/>
      <c r="O17" s="444" t="n"/>
      <c r="P17" s="461" t="n"/>
      <c r="Q17" s="454" t="n">
        <v>46083</v>
      </c>
      <c r="R17" s="454" t="n"/>
      <c r="S17" s="455" t="n"/>
      <c r="T17" s="455" t="n">
        <v>46086</v>
      </c>
      <c r="U17" s="583">
        <f>TEXT(Q17,"YYMM")</f>
        <v/>
      </c>
      <c r="V17" s="584">
        <f>TEXT(T17,"YYMM")</f>
        <v/>
      </c>
    </row>
    <row r="18">
      <c r="A18" s="449" t="n"/>
      <c r="B18" s="450" t="n"/>
      <c r="C18" s="451" t="inlineStr">
        <is>
          <t>ABC68</t>
        </is>
      </c>
      <c r="D18" s="452" t="n"/>
      <c r="E18" s="449" t="n"/>
      <c r="F18" s="449" t="n"/>
      <c r="G18" s="449" t="n"/>
      <c r="H18" s="449" t="n">
        <v>6</v>
      </c>
      <c r="I18" s="449" t="n">
        <v>13</v>
      </c>
      <c r="J18" s="449" t="n">
        <v>78</v>
      </c>
      <c r="K18" s="449" t="n"/>
      <c r="L18" s="449" t="n"/>
      <c r="M18" s="449" t="n"/>
      <c r="N18" s="449" t="n"/>
      <c r="O18" s="449" t="n"/>
      <c r="P18" s="464" t="n"/>
      <c r="Q18" s="454" t="n">
        <v>46083</v>
      </c>
      <c r="R18" s="454" t="n"/>
      <c r="S18" s="455" t="n"/>
      <c r="T18" s="455" t="n">
        <v>46086</v>
      </c>
      <c r="U18" s="583">
        <f>TEXT(Q18,"YYMM")</f>
        <v/>
      </c>
      <c r="V18" s="584">
        <f>TEXT(T18,"YYMM")</f>
        <v/>
      </c>
    </row>
    <row r="19">
      <c r="A19" s="296" t="n"/>
      <c r="B19" s="437" t="n"/>
      <c r="C19" s="402" t="n"/>
      <c r="D19" s="297" t="n"/>
      <c r="E19" s="296" t="n"/>
      <c r="F19" s="297" t="n"/>
      <c r="G19" s="297" t="n"/>
      <c r="H19" s="296" t="n"/>
      <c r="I19" s="296" t="n"/>
      <c r="J19" s="296" t="n"/>
      <c r="K19" s="296" t="n"/>
      <c r="L19" s="296" t="n"/>
      <c r="M19" s="296" t="n"/>
      <c r="N19" s="296" t="n"/>
      <c r="O19" s="296" t="n"/>
      <c r="P19" s="465" t="n"/>
      <c r="Q19" s="454" t="n"/>
      <c r="R19" s="454" t="n"/>
      <c r="S19" s="455" t="n"/>
      <c r="T19" s="466" t="n"/>
      <c r="U19" s="583">
        <f>TEXT(Q19,"YYMM")</f>
        <v/>
      </c>
      <c r="V19" s="584">
        <f>TEXT(T19,"YYMM")</f>
        <v/>
      </c>
    </row>
    <row r="20">
      <c r="A20" s="123" t="n"/>
      <c r="B20" s="400" t="n"/>
      <c r="C20" s="401" t="n"/>
      <c r="D20" s="124" t="n"/>
      <c r="E20" s="123" t="n"/>
      <c r="F20" s="124" t="n"/>
      <c r="G20" s="124" t="n"/>
      <c r="H20" s="123" t="n"/>
      <c r="I20" s="123" t="n"/>
      <c r="J20" s="123" t="n"/>
      <c r="K20" s="123" t="n"/>
      <c r="L20" s="123" t="n"/>
      <c r="M20" s="123" t="n"/>
      <c r="N20" s="123" t="n"/>
      <c r="O20" s="123" t="n"/>
      <c r="P20" s="467" t="n"/>
      <c r="Q20" s="454" t="n"/>
      <c r="R20" s="454" t="n"/>
      <c r="S20" s="455" t="n"/>
      <c r="T20" s="468" t="n"/>
      <c r="U20" s="583">
        <f>TEXT(Q20,"YYMM")</f>
        <v/>
      </c>
      <c r="V20" s="584">
        <f>TEXT(T20,"YYMM")</f>
        <v/>
      </c>
    </row>
    <row r="21">
      <c r="A21" s="123" t="n"/>
      <c r="B21" s="400" t="n"/>
      <c r="C21" s="453" t="n"/>
      <c r="D21" s="124" t="n"/>
      <c r="E21" s="123" t="n"/>
      <c r="F21" s="124" t="n"/>
      <c r="G21" s="124" t="n"/>
      <c r="H21" s="123" t="n"/>
      <c r="I21" s="123" t="n"/>
      <c r="J21" s="123" t="n"/>
      <c r="K21" s="123" t="n"/>
      <c r="L21" s="123" t="n"/>
      <c r="M21" s="123" t="n"/>
      <c r="N21" s="123" t="n"/>
      <c r="O21" s="123" t="n"/>
      <c r="P21" s="467" t="n"/>
      <c r="Q21" s="454" t="n"/>
      <c r="R21" s="454" t="n"/>
      <c r="S21" s="455" t="n"/>
      <c r="T21" s="468" t="n"/>
      <c r="U21" s="583">
        <f>TEXT(Q21,"YYMM")</f>
        <v/>
      </c>
      <c r="V21" s="584">
        <f>TEXT(T21,"YYMM")</f>
        <v/>
      </c>
    </row>
    <row r="22">
      <c r="A22" s="123" t="n"/>
      <c r="B22" s="400" t="n"/>
      <c r="C22" s="403" t="n"/>
      <c r="D22" s="126" t="n"/>
      <c r="E22" s="123" t="n"/>
      <c r="F22" s="124" t="n"/>
      <c r="G22" s="123" t="n"/>
      <c r="H22" s="123" t="n"/>
      <c r="I22" s="123" t="n"/>
      <c r="J22" s="123" t="n"/>
      <c r="K22" s="123" t="n"/>
      <c r="L22" s="123" t="n"/>
      <c r="M22" s="123" t="n"/>
      <c r="N22" s="123" t="n"/>
      <c r="O22" s="123" t="n"/>
      <c r="P22" s="467" t="n"/>
      <c r="Q22" s="469" t="n"/>
      <c r="R22" s="469" t="n"/>
      <c r="S22" s="470" t="n"/>
      <c r="T22" s="468" t="n"/>
      <c r="U22" s="583">
        <f>TEXT(Q22,"YYMM")</f>
        <v/>
      </c>
      <c r="V22" s="584">
        <f>TEXT(T22,"YYMM")</f>
        <v/>
      </c>
    </row>
    <row r="23">
      <c r="A23" s="123" t="n"/>
      <c r="B23" s="400" t="n"/>
      <c r="C23" s="403" t="n"/>
      <c r="D23" s="126" t="n"/>
      <c r="E23" s="123" t="n"/>
      <c r="F23" s="124" t="n"/>
      <c r="G23" s="123" t="n"/>
      <c r="H23" s="123" t="n"/>
      <c r="I23" s="123" t="n"/>
      <c r="J23" s="123" t="n"/>
      <c r="K23" s="123" t="n"/>
      <c r="L23" s="123" t="n"/>
      <c r="M23" s="123" t="n"/>
      <c r="N23" s="123" t="n"/>
      <c r="O23" s="123" t="n"/>
      <c r="P23" s="467" t="n"/>
      <c r="Q23" s="469" t="n"/>
      <c r="R23" s="469" t="n"/>
      <c r="S23" s="470" t="n"/>
      <c r="T23" s="468" t="n"/>
      <c r="U23" s="583">
        <f>TEXT(Q23,"YYMM")</f>
        <v/>
      </c>
      <c r="V23" s="584">
        <f>TEXT(T23,"YYMM")</f>
        <v/>
      </c>
    </row>
    <row r="24">
      <c r="A24" s="123" t="n"/>
      <c r="B24" s="400" t="n"/>
      <c r="C24" s="403" t="n"/>
      <c r="D24" s="126" t="n"/>
      <c r="E24" s="123" t="n"/>
      <c r="F24" s="124" t="n"/>
      <c r="G24" s="123" t="n"/>
      <c r="H24" s="123" t="n"/>
      <c r="I24" s="123" t="n"/>
      <c r="J24" s="123" t="n"/>
      <c r="K24" s="123" t="n"/>
      <c r="L24" s="123" t="n"/>
      <c r="M24" s="123" t="n"/>
      <c r="N24" s="123" t="n"/>
      <c r="O24" s="123" t="n"/>
      <c r="P24" s="467" t="n"/>
      <c r="Q24" s="469" t="n"/>
      <c r="R24" s="469" t="n"/>
      <c r="S24" s="470" t="n"/>
      <c r="T24" s="468" t="n"/>
      <c r="U24" s="583">
        <f>TEXT(Q24,"YYMM")</f>
        <v/>
      </c>
      <c r="V24" s="584">
        <f>TEXT(T24,"YYMM")</f>
        <v/>
      </c>
    </row>
    <row r="25">
      <c r="A25" s="123" t="n"/>
      <c r="B25" s="400" t="n"/>
      <c r="C25" s="400" t="n"/>
      <c r="D25" s="123" t="n"/>
      <c r="E25" s="123" t="n"/>
      <c r="F25" s="124" t="n"/>
      <c r="G25" s="123" t="n"/>
      <c r="H25" s="123" t="n"/>
      <c r="I25" s="123" t="n"/>
      <c r="J25" s="123" t="n"/>
      <c r="K25" s="123" t="n"/>
      <c r="L25" s="123" t="n"/>
      <c r="M25" s="123" t="n"/>
      <c r="N25" s="123" t="n"/>
      <c r="O25" s="123" t="n"/>
      <c r="P25" s="467" t="n"/>
      <c r="Q25" s="469" t="n"/>
      <c r="R25" s="469" t="n"/>
      <c r="S25" s="470" t="n"/>
      <c r="T25" s="468" t="n"/>
      <c r="U25" s="583">
        <f>TEXT(Q25,"YYMM")</f>
        <v/>
      </c>
      <c r="V25" s="584">
        <f>TEXT(T25,"YYMM")</f>
        <v/>
      </c>
    </row>
    <row r="26">
      <c r="A26" s="123" t="n"/>
      <c r="B26" s="400" t="n"/>
      <c r="C26" s="400" t="n"/>
      <c r="D26" s="123" t="n"/>
      <c r="E26" s="123" t="n"/>
      <c r="F26" s="124" t="n"/>
      <c r="G26" s="123" t="n"/>
      <c r="H26" s="123" t="n"/>
      <c r="I26" s="123" t="n"/>
      <c r="J26" s="123" t="n"/>
      <c r="K26" s="123" t="n"/>
      <c r="L26" s="123" t="n"/>
      <c r="M26" s="123" t="n"/>
      <c r="N26" s="123" t="n"/>
      <c r="O26" s="123" t="n"/>
      <c r="P26" s="467" t="n"/>
      <c r="Q26" s="469" t="n"/>
      <c r="R26" s="469" t="n"/>
      <c r="S26" s="470" t="n"/>
      <c r="T26" s="468" t="n"/>
      <c r="U26" s="583">
        <f>TEXT(Q26,"YYMM")</f>
        <v/>
      </c>
      <c r="V26" s="584">
        <f>TEXT(T26,"YYMM")</f>
        <v/>
      </c>
    </row>
    <row r="27">
      <c r="A27" s="123" t="n"/>
      <c r="B27" s="400" t="n"/>
      <c r="C27" s="401" t="n"/>
      <c r="D27" s="124" t="n"/>
      <c r="E27" s="123" t="n"/>
      <c r="F27" s="124" t="n"/>
      <c r="G27" s="124" t="n"/>
      <c r="H27" s="123" t="n"/>
      <c r="I27" s="123" t="n"/>
      <c r="J27" s="123" t="n"/>
      <c r="K27" s="123" t="n"/>
      <c r="L27" s="123" t="n"/>
      <c r="M27" s="123" t="n"/>
      <c r="N27" s="123" t="n"/>
      <c r="O27" s="123" t="n"/>
      <c r="P27" s="467" t="n"/>
      <c r="Q27" s="469" t="n"/>
      <c r="R27" s="469" t="n"/>
      <c r="S27" s="470" t="n"/>
      <c r="T27" s="468" t="n"/>
      <c r="U27" s="583">
        <f>TEXT(Q27,"YYMM")</f>
        <v/>
      </c>
      <c r="V27" s="584">
        <f>TEXT(T27,"YYMM")</f>
        <v/>
      </c>
    </row>
    <row r="28">
      <c r="A28" s="123" t="n"/>
      <c r="B28" s="400" t="n"/>
      <c r="C28" s="401" t="n"/>
      <c r="D28" s="124" t="n"/>
      <c r="E28" s="123" t="n"/>
      <c r="F28" s="124" t="n"/>
      <c r="G28" s="124" t="n"/>
      <c r="H28" s="123" t="n"/>
      <c r="I28" s="123" t="n"/>
      <c r="J28" s="123" t="n"/>
      <c r="K28" s="123" t="n"/>
      <c r="L28" s="123" t="n"/>
      <c r="M28" s="123" t="n"/>
      <c r="N28" s="123" t="n"/>
      <c r="O28" s="123" t="n"/>
      <c r="P28" s="467" t="n"/>
      <c r="Q28" s="469" t="n"/>
      <c r="R28" s="469" t="n"/>
      <c r="S28" s="470" t="n"/>
      <c r="T28" s="468" t="n"/>
      <c r="U28" s="583">
        <f>TEXT(Q28,"YYMM")</f>
        <v/>
      </c>
      <c r="V28" s="584">
        <f>TEXT(T28,"YYMM")</f>
        <v/>
      </c>
    </row>
    <row r="29">
      <c r="A29" s="123" t="n"/>
      <c r="B29" s="400" t="n"/>
      <c r="C29" s="401" t="n"/>
      <c r="D29" s="124" t="n"/>
      <c r="E29" s="123" t="n"/>
      <c r="F29" s="124" t="n"/>
      <c r="G29" s="124" t="n"/>
      <c r="H29" s="123" t="n"/>
      <c r="I29" s="123" t="n"/>
      <c r="J29" s="123" t="n"/>
      <c r="K29" s="123" t="n"/>
      <c r="L29" s="123" t="n"/>
      <c r="M29" s="123" t="n"/>
      <c r="N29" s="123" t="n"/>
      <c r="O29" s="123" t="n"/>
      <c r="P29" s="467" t="n"/>
      <c r="Q29" s="469" t="n"/>
      <c r="R29" s="469" t="n"/>
      <c r="S29" s="470" t="n"/>
      <c r="T29" s="468" t="n"/>
      <c r="U29" s="583">
        <f>TEXT(Q29,"YYMM")</f>
        <v/>
      </c>
      <c r="V29" s="584">
        <f>TEXT(T29,"YYMM")</f>
        <v/>
      </c>
    </row>
    <row r="30">
      <c r="A30" s="123" t="n"/>
      <c r="B30" s="400" t="n"/>
      <c r="C30" s="401" t="n"/>
      <c r="D30" s="124" t="n"/>
      <c r="E30" s="123" t="n"/>
      <c r="F30" s="124" t="n"/>
      <c r="G30" s="124" t="n"/>
      <c r="H30" s="123" t="n"/>
      <c r="I30" s="123" t="n"/>
      <c r="J30" s="123" t="n"/>
      <c r="K30" s="123" t="n"/>
      <c r="L30" s="123" t="n"/>
      <c r="M30" s="123" t="n"/>
      <c r="N30" s="123" t="n"/>
      <c r="O30" s="123" t="n"/>
      <c r="P30" s="467" t="n"/>
      <c r="Q30" s="469" t="n"/>
      <c r="R30" s="469" t="n"/>
      <c r="S30" s="470" t="n"/>
      <c r="T30" s="468" t="n"/>
      <c r="U30" s="583">
        <f>TEXT(Q30,"YYMM")</f>
        <v/>
      </c>
      <c r="V30" s="584">
        <f>TEXT(T30,"YYMM")</f>
        <v/>
      </c>
    </row>
    <row r="31">
      <c r="A31" s="123" t="n"/>
      <c r="B31" s="400" t="n"/>
      <c r="C31" s="401" t="n"/>
      <c r="D31" s="124" t="n"/>
      <c r="E31" s="123" t="n"/>
      <c r="F31" s="124" t="n"/>
      <c r="G31" s="124" t="n"/>
      <c r="H31" s="123" t="n"/>
      <c r="I31" s="123" t="n"/>
      <c r="J31" s="123" t="n"/>
      <c r="K31" s="123" t="n"/>
      <c r="L31" s="123" t="n"/>
      <c r="M31" s="123" t="n"/>
      <c r="N31" s="123" t="n"/>
      <c r="O31" s="123" t="n"/>
      <c r="P31" s="467" t="n"/>
      <c r="Q31" s="469" t="n"/>
      <c r="R31" s="469" t="n"/>
      <c r="S31" s="470" t="n"/>
      <c r="T31" s="468" t="n"/>
      <c r="U31" s="583">
        <f>TEXT(Q31,"YYMM")</f>
        <v/>
      </c>
      <c r="V31" s="584">
        <f>TEXT(T31,"YYMM")</f>
        <v/>
      </c>
    </row>
    <row r="32">
      <c r="A32" s="123" t="n"/>
      <c r="B32" s="400" t="n"/>
      <c r="C32" s="401" t="n"/>
      <c r="D32" s="124" t="n"/>
      <c r="E32" s="123" t="n"/>
      <c r="F32" s="124" t="n"/>
      <c r="G32" s="124" t="n"/>
      <c r="H32" s="123" t="n"/>
      <c r="I32" s="123" t="n"/>
      <c r="J32" s="123" t="n"/>
      <c r="K32" s="123" t="n"/>
      <c r="L32" s="123" t="n"/>
      <c r="M32" s="123" t="n"/>
      <c r="N32" s="123" t="n"/>
      <c r="O32" s="123" t="n"/>
      <c r="P32" s="467" t="n"/>
      <c r="Q32" s="469" t="n"/>
      <c r="R32" s="469" t="n"/>
      <c r="S32" s="470" t="n"/>
      <c r="T32" s="468" t="n"/>
      <c r="U32" s="583">
        <f>TEXT(Q32,"YYMM")</f>
        <v/>
      </c>
      <c r="V32" s="584">
        <f>TEXT(T32,"YYMM")</f>
        <v/>
      </c>
    </row>
    <row r="33" ht="17.25" customHeight="1" s="480">
      <c r="A33" s="123" t="n"/>
      <c r="B33" s="400" t="n"/>
      <c r="C33" s="401" t="n"/>
      <c r="D33" s="124" t="n"/>
      <c r="E33" s="123" t="n"/>
      <c r="F33" s="124" t="n"/>
      <c r="G33" s="124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467" t="n"/>
      <c r="Q33" s="469" t="n"/>
      <c r="R33" s="469" t="n"/>
      <c r="S33" s="470" t="n"/>
      <c r="T33" s="468" t="n"/>
      <c r="U33" s="583">
        <f>TEXT(Q33,"YYMM")</f>
        <v/>
      </c>
      <c r="V33" s="584">
        <f>TEXT(T33,"YYMM")</f>
        <v/>
      </c>
    </row>
    <row r="34" ht="17.25" customHeight="1" s="480">
      <c r="A34" s="123" t="n"/>
      <c r="B34" s="400" t="n"/>
      <c r="C34" s="401" t="n"/>
      <c r="D34" s="124" t="n"/>
      <c r="E34" s="123" t="n"/>
      <c r="F34" s="124" t="n"/>
      <c r="G34" s="124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467" t="n"/>
      <c r="Q34" s="469" t="n"/>
      <c r="R34" s="469" t="n"/>
      <c r="S34" s="470" t="n"/>
      <c r="T34" s="468" t="n"/>
      <c r="U34" s="583">
        <f>TEXT(Q34,"YYMM")</f>
        <v/>
      </c>
      <c r="V34" s="584">
        <f>TEXT(T34,"YYMM")</f>
        <v/>
      </c>
    </row>
    <row r="35" ht="17.25" customHeight="1" s="480">
      <c r="A35" s="123" t="n"/>
      <c r="B35" s="400" t="n"/>
      <c r="C35" s="401" t="n"/>
      <c r="D35" s="124" t="n"/>
      <c r="E35" s="123" t="n"/>
      <c r="F35" s="124" t="n"/>
      <c r="G35" s="124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467" t="n"/>
      <c r="Q35" s="469" t="n"/>
      <c r="R35" s="469" t="n"/>
      <c r="S35" s="470" t="n"/>
      <c r="T35" s="468" t="n"/>
      <c r="U35" s="583">
        <f>TEXT(Q35,"YYMM")</f>
        <v/>
      </c>
      <c r="V35" s="584">
        <f>TEXT(T35,"YYMM")</f>
        <v/>
      </c>
    </row>
    <row r="36" ht="17.25" customHeight="1" s="480">
      <c r="A36" s="123" t="n"/>
      <c r="B36" s="400" t="n"/>
      <c r="C36" s="403" t="n"/>
      <c r="D36" s="126" t="n"/>
      <c r="E36" s="123" t="n"/>
      <c r="F36" s="124" t="n"/>
      <c r="G36" s="123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467" t="n"/>
      <c r="Q36" s="469" t="n"/>
      <c r="R36" s="469" t="n"/>
      <c r="S36" s="470" t="n"/>
      <c r="T36" s="468" t="n"/>
      <c r="U36" s="583">
        <f>TEXT(Q36,"YYMM")</f>
        <v/>
      </c>
      <c r="V36" s="584">
        <f>TEXT(T36,"YYMM")</f>
        <v/>
      </c>
    </row>
    <row r="37" ht="17.25" customHeight="1" s="480">
      <c r="A37" s="123" t="n"/>
      <c r="B37" s="400" t="n"/>
      <c r="C37" s="403" t="n"/>
      <c r="D37" s="126" t="n"/>
      <c r="E37" s="123" t="n"/>
      <c r="F37" s="124" t="n"/>
      <c r="G37" s="123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467" t="n"/>
      <c r="Q37" s="469" t="n"/>
      <c r="R37" s="469" t="n"/>
      <c r="S37" s="470" t="n"/>
      <c r="T37" s="468" t="n"/>
      <c r="U37" s="583">
        <f>TEXT(Q37,"YYMM")</f>
        <v/>
      </c>
      <c r="V37" s="584">
        <f>TEXT(T37,"YYMM")</f>
        <v/>
      </c>
    </row>
    <row r="38" ht="17.25" customHeight="1" s="480">
      <c r="A38" s="123" t="n"/>
      <c r="B38" s="400" t="n"/>
      <c r="C38" s="401" t="n"/>
      <c r="D38" s="124" t="n"/>
      <c r="E38" s="123" t="n"/>
      <c r="F38" s="124" t="n"/>
      <c r="G38" s="124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467" t="n"/>
      <c r="Q38" s="469" t="n"/>
      <c r="R38" s="469" t="n"/>
      <c r="S38" s="470" t="n"/>
      <c r="T38" s="468" t="n"/>
      <c r="U38" s="583">
        <f>TEXT(Q38,"YYMM")</f>
        <v/>
      </c>
      <c r="V38" s="584">
        <f>TEXT(T38,"YYMM")</f>
        <v/>
      </c>
    </row>
    <row r="39" ht="17.25" customHeight="1" s="480">
      <c r="A39" s="123" t="n"/>
      <c r="B39" s="400" t="n"/>
      <c r="C39" s="401" t="n"/>
      <c r="D39" s="124" t="n"/>
      <c r="E39" s="123" t="n"/>
      <c r="F39" s="124" t="n"/>
      <c r="G39" s="124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467" t="n"/>
      <c r="Q39" s="469" t="n"/>
      <c r="R39" s="469" t="n"/>
      <c r="S39" s="470" t="n"/>
      <c r="T39" s="468" t="n"/>
      <c r="U39" s="583">
        <f>TEXT(Q39,"YYMM")</f>
        <v/>
      </c>
      <c r="V39" s="584">
        <f>TEXT(T39,"YYMM")</f>
        <v/>
      </c>
    </row>
    <row r="40" ht="17.25" customHeight="1" s="480">
      <c r="A40" s="123" t="n"/>
      <c r="B40" s="400" t="n"/>
      <c r="C40" s="401" t="n"/>
      <c r="D40" s="124" t="n"/>
      <c r="E40" s="123" t="n"/>
      <c r="F40" s="124" t="n"/>
      <c r="G40" s="124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467" t="n"/>
      <c r="Q40" s="469" t="n"/>
      <c r="R40" s="469" t="n"/>
      <c r="S40" s="470" t="n"/>
      <c r="T40" s="468" t="n"/>
      <c r="U40" s="583">
        <f>TEXT(Q40,"YYMM")</f>
        <v/>
      </c>
      <c r="V40" s="584">
        <f>TEXT(T40,"YYMM")</f>
        <v/>
      </c>
    </row>
    <row r="41" ht="17.25" customHeight="1" s="480">
      <c r="A41" s="123" t="n"/>
      <c r="B41" s="400" t="n"/>
      <c r="C41" s="401" t="n"/>
      <c r="D41" s="124" t="n"/>
      <c r="E41" s="123" t="n"/>
      <c r="F41" s="124" t="n"/>
      <c r="G41" s="124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467" t="n"/>
      <c r="Q41" s="469" t="n"/>
      <c r="R41" s="469" t="n"/>
      <c r="S41" s="470" t="n"/>
      <c r="T41" s="468" t="n"/>
      <c r="U41" s="583">
        <f>TEXT(Q41,"YYMM")</f>
        <v/>
      </c>
      <c r="V41" s="584">
        <f>TEXT(T41,"YYMM")</f>
        <v/>
      </c>
    </row>
    <row r="42" ht="17.25" customHeight="1" s="480">
      <c r="A42" s="123" t="n"/>
      <c r="B42" s="400" t="n"/>
      <c r="C42" s="403" t="n"/>
      <c r="D42" s="126" t="n"/>
      <c r="E42" s="123" t="n"/>
      <c r="F42" s="124" t="n"/>
      <c r="G42" s="123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467" t="n"/>
      <c r="Q42" s="469" t="n"/>
      <c r="R42" s="469" t="n"/>
      <c r="S42" s="470" t="n"/>
      <c r="T42" s="468" t="n"/>
      <c r="U42" s="583">
        <f>TEXT(Q42,"YYMM")</f>
        <v/>
      </c>
      <c r="V42" s="584">
        <f>TEXT(T42,"YYMM")</f>
        <v/>
      </c>
    </row>
    <row r="43" ht="17.25" customHeight="1" s="480">
      <c r="A43" s="123" t="n"/>
      <c r="B43" s="400" t="n"/>
      <c r="C43" s="403" t="n"/>
      <c r="D43" s="126" t="n"/>
      <c r="E43" s="123" t="n"/>
      <c r="F43" s="124" t="n"/>
      <c r="G43" s="123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467" t="n"/>
      <c r="Q43" s="469" t="n"/>
      <c r="R43" s="469" t="n"/>
      <c r="S43" s="470" t="n"/>
      <c r="T43" s="468" t="n"/>
      <c r="U43" s="583">
        <f>TEXT(Q43,"YYMM")</f>
        <v/>
      </c>
      <c r="V43" s="584">
        <f>TEXT(T43,"YYMM")</f>
        <v/>
      </c>
    </row>
    <row r="44" ht="17.25" customHeight="1" s="480">
      <c r="A44" s="123" t="n"/>
      <c r="B44" s="400" t="n"/>
      <c r="C44" s="403" t="n"/>
      <c r="D44" s="126" t="n"/>
      <c r="E44" s="123" t="n"/>
      <c r="F44" s="124" t="n"/>
      <c r="G44" s="123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467" t="n"/>
      <c r="Q44" s="469" t="n"/>
      <c r="R44" s="469" t="n"/>
      <c r="S44" s="470" t="n"/>
      <c r="T44" s="468" t="n"/>
      <c r="U44" s="583">
        <f>TEXT(Q44,"YYMM")</f>
        <v/>
      </c>
      <c r="V44" s="584">
        <f>TEXT(T44,"YYMM")</f>
        <v/>
      </c>
    </row>
    <row r="45" ht="17.25" customHeight="1" s="480">
      <c r="A45" s="123" t="n"/>
      <c r="B45" s="400" t="n"/>
      <c r="C45" s="400" t="n"/>
      <c r="D45" s="123" t="n"/>
      <c r="E45" s="123" t="n"/>
      <c r="F45" s="124" t="n"/>
      <c r="G45" s="123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467" t="n"/>
      <c r="Q45" s="469" t="n"/>
      <c r="R45" s="469" t="n"/>
      <c r="S45" s="470" t="n"/>
      <c r="T45" s="468" t="n"/>
      <c r="U45" s="583">
        <f>TEXT(Q45,"YYMM")</f>
        <v/>
      </c>
      <c r="V45" s="584">
        <f>TEXT(T45,"YYMM")</f>
        <v/>
      </c>
    </row>
    <row r="46" ht="17.25" customHeight="1" s="480">
      <c r="A46" s="123" t="n"/>
      <c r="B46" s="400" t="n"/>
      <c r="C46" s="400" t="n"/>
      <c r="D46" s="123" t="n"/>
      <c r="E46" s="123" t="n"/>
      <c r="F46" s="123" t="n"/>
      <c r="G46" s="123" t="n"/>
      <c r="H46" s="129" t="n"/>
      <c r="I46" s="129" t="n"/>
      <c r="J46" s="129" t="n"/>
      <c r="K46" s="129" t="n"/>
      <c r="L46" s="129" t="n"/>
      <c r="M46" s="129" t="n"/>
      <c r="N46" s="129" t="n"/>
      <c r="O46" s="129" t="n"/>
      <c r="P46" s="467" t="n"/>
      <c r="Q46" s="469" t="n"/>
      <c r="R46" s="469" t="n"/>
      <c r="S46" s="470" t="n"/>
      <c r="T46" s="468" t="n"/>
      <c r="U46" s="583">
        <f>TEXT(Q46,"YYMM")</f>
        <v/>
      </c>
      <c r="V46" s="584">
        <f>TEXT(T46,"YYMM")</f>
        <v/>
      </c>
    </row>
    <row r="47" ht="17.25" customHeight="1" s="480">
      <c r="A47" s="123" t="n"/>
      <c r="B47" s="400" t="n"/>
      <c r="C47" s="400" t="n"/>
      <c r="D47" s="123" t="n"/>
      <c r="E47" s="123" t="n"/>
      <c r="F47" s="123" t="n"/>
      <c r="G47" s="123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467" t="n"/>
      <c r="Q47" s="469" t="n"/>
      <c r="R47" s="469" t="n"/>
      <c r="S47" s="470" t="n"/>
      <c r="T47" s="468" t="n"/>
      <c r="U47" s="583">
        <f>TEXT(Q47,"YYMM")</f>
        <v/>
      </c>
      <c r="V47" s="584">
        <f>TEXT(T47,"YYMM")</f>
        <v/>
      </c>
    </row>
    <row r="48">
      <c r="A48" s="123" t="n"/>
      <c r="B48" s="400" t="n"/>
      <c r="C48" s="400" t="n"/>
      <c r="D48" s="123" t="n"/>
      <c r="E48" s="123" t="n"/>
      <c r="F48" s="123" t="n"/>
      <c r="G48" s="127" t="n"/>
      <c r="H48" s="123" t="n"/>
      <c r="I48" s="123" t="n"/>
      <c r="J48" s="123" t="n"/>
      <c r="K48" s="123" t="n"/>
      <c r="L48" s="123" t="n"/>
      <c r="M48" s="123" t="n"/>
      <c r="N48" s="123" t="n"/>
      <c r="O48" s="123" t="n"/>
      <c r="P48" s="467" t="n"/>
      <c r="Q48" s="469" t="n"/>
      <c r="R48" s="469" t="n"/>
      <c r="S48" s="470" t="n"/>
      <c r="T48" s="468" t="n"/>
      <c r="U48" s="583">
        <f>TEXT(Q48,"YYMM")</f>
        <v/>
      </c>
      <c r="V48" s="584">
        <f>TEXT(T48,"YYMM")</f>
        <v/>
      </c>
    </row>
    <row r="49">
      <c r="A49" s="123" t="n"/>
      <c r="B49" s="400" t="n"/>
      <c r="C49" s="400" t="n"/>
      <c r="D49" s="123" t="n"/>
      <c r="E49" s="123" t="n"/>
      <c r="F49" s="128" t="n"/>
      <c r="G49" s="128" t="n"/>
      <c r="H49" s="123" t="n"/>
      <c r="I49" s="123" t="n"/>
      <c r="J49" s="123" t="n"/>
      <c r="K49" s="123" t="n"/>
      <c r="L49" s="123" t="n"/>
      <c r="M49" s="123" t="n"/>
      <c r="N49" s="123" t="n"/>
      <c r="O49" s="123" t="n"/>
      <c r="P49" s="467" t="n"/>
      <c r="Q49" s="469" t="n"/>
      <c r="R49" s="469" t="n"/>
      <c r="S49" s="470" t="n"/>
      <c r="T49" s="468" t="n"/>
      <c r="U49" s="583">
        <f>TEXT(Q49,"YYMM")</f>
        <v/>
      </c>
      <c r="V49" s="584">
        <f>TEXT(T49,"YYMM")</f>
        <v/>
      </c>
    </row>
    <row r="50">
      <c r="A50" s="123" t="n"/>
      <c r="B50" s="400" t="n"/>
      <c r="C50" s="401" t="n"/>
      <c r="D50" s="124" t="n"/>
      <c r="E50" s="123" t="n"/>
      <c r="F50" s="128" t="n"/>
      <c r="G50" s="124" t="n"/>
      <c r="H50" s="123" t="n"/>
      <c r="I50" s="123" t="n"/>
      <c r="J50" s="123" t="n"/>
      <c r="K50" s="123" t="n"/>
      <c r="L50" s="123" t="n"/>
      <c r="M50" s="123" t="n"/>
      <c r="N50" s="123" t="n"/>
      <c r="O50" s="123" t="n"/>
      <c r="P50" s="467" t="n"/>
      <c r="Q50" s="469" t="n"/>
      <c r="R50" s="469" t="n"/>
      <c r="S50" s="470" t="n"/>
      <c r="T50" s="468" t="n"/>
      <c r="U50" s="583">
        <f>TEXT(Q50,"YYMM")</f>
        <v/>
      </c>
      <c r="V50" s="584">
        <f>TEXT(T50,"YYMM")</f>
        <v/>
      </c>
    </row>
    <row r="51">
      <c r="A51" s="123" t="n"/>
      <c r="B51" s="400" t="n"/>
      <c r="C51" s="401" t="n"/>
      <c r="D51" s="124" t="n"/>
      <c r="E51" s="123" t="n"/>
      <c r="F51" s="128" t="n"/>
      <c r="G51" s="124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467" t="n"/>
      <c r="Q51" s="469" t="n"/>
      <c r="R51" s="469" t="n"/>
      <c r="S51" s="470" t="n"/>
      <c r="T51" s="468" t="n"/>
      <c r="U51" s="583">
        <f>TEXT(Q51,"YYMM")</f>
        <v/>
      </c>
      <c r="V51" s="584">
        <f>TEXT(T51,"YYMM")</f>
        <v/>
      </c>
    </row>
    <row r="52">
      <c r="A52" s="123" t="n"/>
      <c r="B52" s="400" t="n"/>
      <c r="C52" s="401" t="n"/>
      <c r="D52" s="124" t="n"/>
      <c r="E52" s="123" t="n"/>
      <c r="F52" s="128" t="n"/>
      <c r="G52" s="124" t="n"/>
      <c r="H52" s="123" t="n"/>
      <c r="I52" s="123" t="n"/>
      <c r="J52" s="123" t="n"/>
      <c r="K52" s="123" t="n"/>
      <c r="L52" s="123" t="n"/>
      <c r="M52" s="123" t="n"/>
      <c r="N52" s="123" t="n"/>
      <c r="O52" s="123" t="n"/>
      <c r="P52" s="467" t="n"/>
      <c r="Q52" s="469" t="n"/>
      <c r="R52" s="469" t="n"/>
      <c r="S52" s="470" t="n"/>
      <c r="T52" s="468" t="n"/>
      <c r="U52" s="583">
        <f>TEXT(Q52,"YYMM")</f>
        <v/>
      </c>
      <c r="V52" s="584">
        <f>TEXT(T52,"YYMM")</f>
        <v/>
      </c>
    </row>
    <row r="53">
      <c r="A53" s="123" t="n"/>
      <c r="B53" s="400" t="n"/>
      <c r="C53" s="401" t="n"/>
      <c r="D53" s="124" t="n"/>
      <c r="E53" s="123" t="n"/>
      <c r="F53" s="124" t="n"/>
      <c r="G53" s="124" t="n"/>
      <c r="H53" s="123" t="n"/>
      <c r="I53" s="123" t="n"/>
      <c r="J53" s="123" t="n"/>
      <c r="K53" s="123" t="n"/>
      <c r="L53" s="123" t="n"/>
      <c r="M53" s="123" t="n"/>
      <c r="N53" s="123" t="n"/>
      <c r="O53" s="123" t="n"/>
      <c r="P53" s="467" t="n"/>
      <c r="Q53" s="469" t="n"/>
      <c r="R53" s="469" t="n"/>
      <c r="S53" s="470" t="n"/>
      <c r="T53" s="468" t="n"/>
      <c r="U53" s="583">
        <f>TEXT(Q53,"YYMM")</f>
        <v/>
      </c>
      <c r="V53" s="584">
        <f>TEXT(T53,"YYMM")</f>
        <v/>
      </c>
    </row>
    <row r="54">
      <c r="A54" s="123" t="n"/>
      <c r="B54" s="400" t="n"/>
      <c r="C54" s="401" t="n"/>
      <c r="D54" s="124" t="n"/>
      <c r="E54" s="123" t="n"/>
      <c r="F54" s="124" t="n"/>
      <c r="G54" s="124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467" t="n"/>
      <c r="Q54" s="469" t="n"/>
      <c r="R54" s="469" t="n"/>
      <c r="S54" s="470" t="n"/>
      <c r="T54" s="468" t="n"/>
      <c r="U54" s="583">
        <f>TEXT(Q54,"YYMM")</f>
        <v/>
      </c>
      <c r="V54" s="584">
        <f>TEXT(T54,"YYMM")</f>
        <v/>
      </c>
    </row>
    <row r="55">
      <c r="A55" s="123" t="n"/>
      <c r="B55" s="400" t="n"/>
      <c r="C55" s="401" t="n"/>
      <c r="D55" s="124" t="n"/>
      <c r="E55" s="123" t="n"/>
      <c r="F55" s="124" t="n"/>
      <c r="G55" s="124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467" t="n"/>
      <c r="Q55" s="469" t="n"/>
      <c r="R55" s="469" t="n"/>
      <c r="S55" s="470" t="n"/>
      <c r="T55" s="468" t="n"/>
      <c r="U55" s="583">
        <f>TEXT(Q55,"YYMM")</f>
        <v/>
      </c>
      <c r="V55" s="584">
        <f>TEXT(T55,"YYMM")</f>
        <v/>
      </c>
    </row>
    <row r="56">
      <c r="A56" s="123" t="n"/>
      <c r="B56" s="400" t="n"/>
      <c r="C56" s="401" t="n"/>
      <c r="D56" s="124" t="n"/>
      <c r="E56" s="123" t="n"/>
      <c r="F56" s="124" t="n"/>
      <c r="G56" s="124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467" t="n"/>
      <c r="Q56" s="469" t="n"/>
      <c r="R56" s="469" t="n"/>
      <c r="S56" s="470" t="n"/>
      <c r="T56" s="468" t="n"/>
      <c r="U56" s="583">
        <f>TEXT(Q56,"YYMM")</f>
        <v/>
      </c>
      <c r="V56" s="584">
        <f>TEXT(T56,"YYMM")</f>
        <v/>
      </c>
    </row>
    <row r="57">
      <c r="A57" s="123" t="n"/>
      <c r="B57" s="400" t="n"/>
      <c r="C57" s="401" t="n"/>
      <c r="D57" s="124" t="n"/>
      <c r="E57" s="123" t="n"/>
      <c r="F57" s="124" t="n"/>
      <c r="G57" s="124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467" t="n"/>
      <c r="Q57" s="469" t="n"/>
      <c r="R57" s="469" t="n"/>
      <c r="S57" s="470" t="n"/>
      <c r="T57" s="468" t="n"/>
      <c r="U57" s="583">
        <f>TEXT(Q57,"YYMM")</f>
        <v/>
      </c>
      <c r="V57" s="584">
        <f>TEXT(T57,"YYMM")</f>
        <v/>
      </c>
    </row>
    <row r="58">
      <c r="A58" s="123" t="n"/>
      <c r="B58" s="400" t="n"/>
      <c r="C58" s="401" t="n"/>
      <c r="D58" s="124" t="n"/>
      <c r="E58" s="123" t="n"/>
      <c r="F58" s="124" t="n"/>
      <c r="G58" s="124" t="n"/>
      <c r="H58" s="123" t="n"/>
      <c r="I58" s="123" t="n"/>
      <c r="J58" s="123" t="n"/>
      <c r="K58" s="123" t="n"/>
      <c r="L58" s="123" t="n"/>
      <c r="M58" s="123" t="n"/>
      <c r="N58" s="123" t="n"/>
      <c r="O58" s="123" t="n"/>
      <c r="P58" s="467" t="n"/>
      <c r="Q58" s="469" t="n"/>
      <c r="R58" s="469" t="n"/>
      <c r="S58" s="470" t="n"/>
      <c r="T58" s="468" t="n"/>
      <c r="U58" s="583">
        <f>TEXT(Q58,"YYMM")</f>
        <v/>
      </c>
      <c r="V58" s="584">
        <f>TEXT(T58,"YYMM")</f>
        <v/>
      </c>
    </row>
    <row r="59">
      <c r="A59" s="123" t="n"/>
      <c r="B59" s="400" t="n"/>
      <c r="C59" s="401" t="n"/>
      <c r="D59" s="124" t="n"/>
      <c r="E59" s="123" t="n"/>
      <c r="F59" s="124" t="n"/>
      <c r="G59" s="124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467" t="n"/>
      <c r="Q59" s="469" t="n"/>
      <c r="R59" s="469" t="n"/>
      <c r="S59" s="470" t="n"/>
      <c r="T59" s="468" t="n"/>
      <c r="U59" s="583">
        <f>TEXT(Q59,"YYMM")</f>
        <v/>
      </c>
      <c r="V59" s="584">
        <f>TEXT(T59,"YYMM")</f>
        <v/>
      </c>
    </row>
    <row r="60">
      <c r="A60" s="123" t="n"/>
      <c r="B60" s="400" t="n"/>
      <c r="C60" s="403" t="n"/>
      <c r="D60" s="126" t="n"/>
      <c r="E60" s="123" t="n"/>
      <c r="F60" s="124" t="n"/>
      <c r="G60" s="123" t="n"/>
      <c r="H60" s="123" t="n"/>
      <c r="I60" s="123" t="n"/>
      <c r="J60" s="123" t="n"/>
      <c r="K60" s="123" t="n"/>
      <c r="L60" s="123" t="n"/>
      <c r="M60" s="123" t="n"/>
      <c r="N60" s="123" t="n"/>
      <c r="O60" s="123" t="n"/>
      <c r="P60" s="467" t="n"/>
      <c r="Q60" s="469" t="n"/>
      <c r="R60" s="469" t="n"/>
      <c r="S60" s="470" t="n"/>
      <c r="T60" s="468" t="n"/>
      <c r="U60" s="583">
        <f>TEXT(Q60,"YYMM")</f>
        <v/>
      </c>
      <c r="V60" s="584">
        <f>TEXT(T60,"YYMM")</f>
        <v/>
      </c>
    </row>
    <row r="61">
      <c r="A61" s="123" t="n"/>
      <c r="B61" s="400" t="n"/>
      <c r="C61" s="403" t="n"/>
      <c r="D61" s="126" t="n"/>
      <c r="E61" s="123" t="n"/>
      <c r="F61" s="124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467" t="n"/>
      <c r="Q61" s="469" t="n"/>
      <c r="R61" s="469" t="n"/>
      <c r="S61" s="470" t="n"/>
      <c r="T61" s="468" t="n"/>
      <c r="U61" s="583">
        <f>TEXT(Q61,"YYMM")</f>
        <v/>
      </c>
      <c r="V61" s="584">
        <f>TEXT(T61,"YYMM")</f>
        <v/>
      </c>
    </row>
    <row r="62">
      <c r="A62" s="123" t="n"/>
      <c r="B62" s="400" t="n"/>
      <c r="C62" s="401" t="n"/>
      <c r="D62" s="124" t="n"/>
      <c r="E62" s="123" t="n"/>
      <c r="F62" s="124" t="n"/>
      <c r="G62" s="124" t="n"/>
      <c r="H62" s="123" t="n"/>
      <c r="I62" s="123" t="n"/>
      <c r="J62" s="123" t="n"/>
      <c r="K62" s="123" t="n"/>
      <c r="L62" s="123" t="n"/>
      <c r="M62" s="123" t="n"/>
      <c r="N62" s="123" t="n"/>
      <c r="O62" s="123" t="n"/>
      <c r="P62" s="467" t="n"/>
      <c r="Q62" s="469" t="n"/>
      <c r="R62" s="469" t="n"/>
      <c r="S62" s="470" t="n"/>
      <c r="T62" s="468" t="n"/>
      <c r="U62" s="583">
        <f>TEXT(Q62,"YYMM")</f>
        <v/>
      </c>
      <c r="V62" s="584">
        <f>TEXT(T62,"YYMM")</f>
        <v/>
      </c>
    </row>
    <row r="63">
      <c r="A63" s="123" t="n"/>
      <c r="B63" s="400" t="n"/>
      <c r="C63" s="401" t="n"/>
      <c r="D63" s="124" t="n"/>
      <c r="E63" s="123" t="n"/>
      <c r="F63" s="124" t="n"/>
      <c r="G63" s="124" t="n"/>
      <c r="H63" s="123" t="n"/>
      <c r="I63" s="123" t="n"/>
      <c r="J63" s="123" t="n"/>
      <c r="K63" s="123" t="n"/>
      <c r="L63" s="123" t="n"/>
      <c r="M63" s="123" t="n"/>
      <c r="N63" s="123" t="n"/>
      <c r="O63" s="123" t="n"/>
      <c r="P63" s="467" t="n"/>
      <c r="Q63" s="469" t="n"/>
      <c r="R63" s="469" t="n"/>
      <c r="S63" s="470" t="n"/>
      <c r="T63" s="468" t="n"/>
      <c r="U63" s="583">
        <f>TEXT(Q63,"YYMM")</f>
        <v/>
      </c>
      <c r="V63" s="584">
        <f>TEXT(T63,"YYMM")</f>
        <v/>
      </c>
    </row>
    <row r="64">
      <c r="A64" s="123" t="n"/>
      <c r="B64" s="400" t="n"/>
      <c r="C64" s="401" t="n"/>
      <c r="D64" s="124" t="n"/>
      <c r="E64" s="123" t="n"/>
      <c r="F64" s="124" t="n"/>
      <c r="G64" s="124" t="n"/>
      <c r="H64" s="123" t="n"/>
      <c r="I64" s="123" t="n"/>
      <c r="J64" s="123" t="n"/>
      <c r="K64" s="123" t="n"/>
      <c r="L64" s="123" t="n"/>
      <c r="M64" s="123" t="n"/>
      <c r="N64" s="123" t="n"/>
      <c r="O64" s="123" t="n"/>
      <c r="P64" s="467" t="n"/>
      <c r="Q64" s="469" t="n"/>
      <c r="R64" s="469" t="n"/>
      <c r="S64" s="470" t="n"/>
      <c r="T64" s="468" t="n"/>
      <c r="U64" s="583">
        <f>TEXT(Q64,"YYMM")</f>
        <v/>
      </c>
      <c r="V64" s="584">
        <f>TEXT(T64,"YYMM")</f>
        <v/>
      </c>
    </row>
    <row r="65">
      <c r="A65" s="123" t="n"/>
      <c r="B65" s="400" t="n"/>
      <c r="C65" s="401" t="n"/>
      <c r="D65" s="124" t="n"/>
      <c r="E65" s="123" t="n"/>
      <c r="F65" s="124" t="n"/>
      <c r="G65" s="124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467" t="n"/>
      <c r="Q65" s="469" t="n"/>
      <c r="R65" s="469" t="n"/>
      <c r="S65" s="470" t="n"/>
      <c r="T65" s="468" t="n"/>
      <c r="U65" s="583">
        <f>TEXT(Q65,"YYMM")</f>
        <v/>
      </c>
      <c r="V65" s="584">
        <f>TEXT(T65,"YYMM")</f>
        <v/>
      </c>
    </row>
    <row r="66">
      <c r="A66" s="123" t="n"/>
      <c r="B66" s="400" t="n"/>
      <c r="C66" s="403" t="n"/>
      <c r="D66" s="126" t="n"/>
      <c r="E66" s="123" t="n"/>
      <c r="F66" s="124" t="n"/>
      <c r="G66" s="123" t="n"/>
      <c r="H66" s="123" t="n"/>
      <c r="I66" s="123" t="n"/>
      <c r="J66" s="123" t="n"/>
      <c r="K66" s="123" t="n"/>
      <c r="L66" s="123" t="n"/>
      <c r="M66" s="123" t="n"/>
      <c r="N66" s="123" t="n"/>
      <c r="O66" s="123" t="n"/>
      <c r="P66" s="467" t="n"/>
      <c r="Q66" s="469" t="n"/>
      <c r="R66" s="469" t="n"/>
      <c r="S66" s="470" t="n"/>
      <c r="T66" s="468" t="n"/>
      <c r="U66" s="583">
        <f>TEXT(Q66,"YYMM")</f>
        <v/>
      </c>
      <c r="V66" s="584">
        <f>TEXT(T66,"YYMM")</f>
        <v/>
      </c>
    </row>
    <row r="67">
      <c r="A67" s="123" t="n"/>
      <c r="B67" s="400" t="n"/>
      <c r="C67" s="403" t="n"/>
      <c r="D67" s="126" t="n"/>
      <c r="E67" s="123" t="n"/>
      <c r="F67" s="124" t="n"/>
      <c r="G67" s="123" t="n"/>
      <c r="H67" s="123" t="n"/>
      <c r="I67" s="123" t="n"/>
      <c r="J67" s="123" t="n"/>
      <c r="K67" s="123" t="n"/>
      <c r="L67" s="123" t="n"/>
      <c r="M67" s="123" t="n"/>
      <c r="N67" s="123" t="n"/>
      <c r="O67" s="123" t="n"/>
      <c r="P67" s="467" t="n"/>
      <c r="Q67" s="469" t="n"/>
      <c r="R67" s="469" t="n"/>
      <c r="S67" s="470" t="n"/>
      <c r="T67" s="468" t="n"/>
      <c r="U67" s="583">
        <f>TEXT(Q67,"YYMM")</f>
        <v/>
      </c>
      <c r="V67" s="584">
        <f>TEXT(T67,"YYMM")</f>
        <v/>
      </c>
    </row>
    <row r="68">
      <c r="A68" s="123" t="n"/>
      <c r="B68" s="400" t="n"/>
      <c r="C68" s="403" t="n"/>
      <c r="D68" s="126" t="n"/>
      <c r="E68" s="123" t="n"/>
      <c r="F68" s="124" t="n"/>
      <c r="G68" s="123" t="n"/>
      <c r="H68" s="123" t="n"/>
      <c r="I68" s="123" t="n"/>
      <c r="J68" s="123" t="n"/>
      <c r="K68" s="123" t="n"/>
      <c r="L68" s="123" t="n"/>
      <c r="M68" s="123" t="n"/>
      <c r="N68" s="123" t="n"/>
      <c r="O68" s="123" t="n"/>
      <c r="P68" s="467" t="n"/>
      <c r="Q68" s="469" t="n"/>
      <c r="R68" s="469" t="n"/>
      <c r="S68" s="470" t="n"/>
      <c r="T68" s="468" t="n"/>
      <c r="U68" s="583">
        <f>TEXT(Q68,"YYMM")</f>
        <v/>
      </c>
      <c r="V68" s="584">
        <f>TEXT(T68,"YYMM")</f>
        <v/>
      </c>
    </row>
    <row r="69">
      <c r="A69" s="123" t="n"/>
      <c r="B69" s="400" t="n"/>
      <c r="C69" s="400" t="n"/>
      <c r="D69" s="123" t="n"/>
      <c r="E69" s="123" t="n"/>
      <c r="F69" s="124" t="n"/>
      <c r="G69" s="123" t="n"/>
      <c r="H69" s="123" t="n"/>
      <c r="I69" s="123" t="n"/>
      <c r="J69" s="123" t="n"/>
      <c r="K69" s="123" t="n"/>
      <c r="L69" s="123" t="n"/>
      <c r="M69" s="123" t="n"/>
      <c r="N69" s="123" t="n"/>
      <c r="O69" s="123" t="n"/>
      <c r="P69" s="467" t="n"/>
      <c r="Q69" s="469" t="n"/>
      <c r="R69" s="469" t="n"/>
      <c r="S69" s="470" t="n"/>
      <c r="T69" s="468" t="n"/>
      <c r="U69" s="583">
        <f>TEXT(Q69,"YYMM")</f>
        <v/>
      </c>
      <c r="V69" s="584">
        <f>TEXT(T69,"YYMM")</f>
        <v/>
      </c>
    </row>
    <row r="70">
      <c r="A70" s="123" t="n"/>
      <c r="B70" s="400" t="n"/>
      <c r="C70" s="400" t="n"/>
      <c r="D70" s="123" t="n"/>
      <c r="E70" s="123" t="n"/>
      <c r="F70" s="124" t="n"/>
      <c r="G70" s="123" t="n"/>
      <c r="H70" s="123" t="n"/>
      <c r="I70" s="123" t="n"/>
      <c r="J70" s="123" t="n"/>
      <c r="K70" s="123" t="n"/>
      <c r="L70" s="123" t="n"/>
      <c r="M70" s="123" t="n"/>
      <c r="N70" s="123" t="n"/>
      <c r="O70" s="123" t="n"/>
      <c r="P70" s="467" t="n"/>
      <c r="Q70" s="469" t="n"/>
      <c r="R70" s="469" t="n"/>
      <c r="S70" s="470" t="n"/>
      <c r="T70" s="468" t="n"/>
      <c r="U70" s="583">
        <f>TEXT(Q70,"YYMM")</f>
        <v/>
      </c>
      <c r="V70" s="584">
        <f>TEXT(T70,"YYMM")</f>
        <v/>
      </c>
    </row>
    <row r="71">
      <c r="A71" s="123" t="n"/>
      <c r="B71" s="400" t="n"/>
      <c r="C71" s="401" t="n"/>
      <c r="D71" s="124" t="n"/>
      <c r="E71" s="123" t="n"/>
      <c r="F71" s="124" t="n"/>
      <c r="G71" s="124" t="n"/>
      <c r="H71" s="123" t="n"/>
      <c r="I71" s="123" t="n"/>
      <c r="J71" s="123" t="n"/>
      <c r="K71" s="123" t="n"/>
      <c r="L71" s="123" t="n"/>
      <c r="M71" s="123" t="n"/>
      <c r="N71" s="123" t="n"/>
      <c r="O71" s="123" t="n"/>
      <c r="P71" s="467" t="n"/>
      <c r="Q71" s="469" t="n"/>
      <c r="R71" s="469" t="n"/>
      <c r="S71" s="470" t="n"/>
      <c r="T71" s="468" t="n"/>
      <c r="U71" s="583">
        <f>TEXT(Q71,"YYMM")</f>
        <v/>
      </c>
      <c r="V71" s="584">
        <f>TEXT(T71,"YYMM")</f>
        <v/>
      </c>
    </row>
    <row r="72">
      <c r="A72" s="123" t="n"/>
      <c r="B72" s="400" t="n"/>
      <c r="C72" s="401" t="n"/>
      <c r="D72" s="124" t="n"/>
      <c r="E72" s="123" t="n"/>
      <c r="F72" s="124" t="n"/>
      <c r="G72" s="124" t="n"/>
      <c r="H72" s="123" t="n"/>
      <c r="I72" s="123" t="n"/>
      <c r="J72" s="123" t="n"/>
      <c r="K72" s="123" t="n"/>
      <c r="L72" s="123" t="n"/>
      <c r="M72" s="123" t="n"/>
      <c r="N72" s="123" t="n"/>
      <c r="O72" s="123" t="n"/>
      <c r="P72" s="467" t="n"/>
      <c r="Q72" s="469" t="n"/>
      <c r="R72" s="469" t="n"/>
      <c r="S72" s="470" t="n"/>
      <c r="T72" s="468" t="n"/>
      <c r="U72" s="583">
        <f>TEXT(Q72,"YYMM")</f>
        <v/>
      </c>
      <c r="V72" s="584">
        <f>TEXT(T72,"YYMM")</f>
        <v/>
      </c>
    </row>
    <row r="73">
      <c r="A73" s="123" t="n"/>
      <c r="B73" s="400" t="n"/>
      <c r="C73" s="401" t="n"/>
      <c r="D73" s="124" t="n"/>
      <c r="E73" s="123" t="n"/>
      <c r="F73" s="124" t="n"/>
      <c r="G73" s="124" t="n"/>
      <c r="H73" s="123" t="n"/>
      <c r="I73" s="123" t="n"/>
      <c r="J73" s="123" t="n"/>
      <c r="K73" s="123" t="n"/>
      <c r="L73" s="123" t="n"/>
      <c r="M73" s="123" t="n"/>
      <c r="N73" s="123" t="n"/>
      <c r="O73" s="123" t="n"/>
      <c r="P73" s="467" t="n"/>
      <c r="Q73" s="469" t="n"/>
      <c r="R73" s="469" t="n"/>
      <c r="S73" s="470" t="n"/>
      <c r="T73" s="468" t="n"/>
      <c r="U73" s="583">
        <f>TEXT(Q73,"YYMM")</f>
        <v/>
      </c>
      <c r="V73" s="584">
        <f>TEXT(T73,"YYMM")</f>
        <v/>
      </c>
    </row>
    <row r="74">
      <c r="A74" s="123" t="n"/>
      <c r="B74" s="400" t="n"/>
      <c r="C74" s="401" t="n"/>
      <c r="D74" s="124" t="n"/>
      <c r="E74" s="123" t="n"/>
      <c r="F74" s="124" t="n"/>
      <c r="G74" s="124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467" t="n"/>
      <c r="Q74" s="469" t="n"/>
      <c r="R74" s="469" t="n"/>
      <c r="S74" s="470" t="n"/>
      <c r="T74" s="468" t="n"/>
      <c r="U74" s="583">
        <f>TEXT(Q74,"YYMM")</f>
        <v/>
      </c>
      <c r="V74" s="584">
        <f>TEXT(T74,"YYMM")</f>
        <v/>
      </c>
    </row>
    <row r="75">
      <c r="A75" s="123" t="n"/>
      <c r="B75" s="400" t="n"/>
      <c r="C75" s="401" t="n"/>
      <c r="D75" s="124" t="n"/>
      <c r="E75" s="123" t="n"/>
      <c r="F75" s="124" t="n"/>
      <c r="G75" s="124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467" t="n"/>
      <c r="Q75" s="469" t="n"/>
      <c r="R75" s="469" t="n"/>
      <c r="S75" s="470" t="n"/>
      <c r="T75" s="468" t="n"/>
      <c r="U75" s="583">
        <f>TEXT(Q75,"YYMM")</f>
        <v/>
      </c>
      <c r="V75" s="584">
        <f>TEXT(T75,"YYMM")</f>
        <v/>
      </c>
    </row>
    <row r="76">
      <c r="A76" s="123" t="n"/>
      <c r="B76" s="400" t="n"/>
      <c r="C76" s="401" t="n"/>
      <c r="D76" s="124" t="n"/>
      <c r="E76" s="123" t="n"/>
      <c r="F76" s="124" t="n"/>
      <c r="G76" s="124" t="n"/>
      <c r="H76" s="123" t="n"/>
      <c r="I76" s="123" t="n"/>
      <c r="J76" s="123" t="n"/>
      <c r="K76" s="123" t="n"/>
      <c r="L76" s="123" t="n"/>
      <c r="M76" s="123" t="n"/>
      <c r="N76" s="123" t="n"/>
      <c r="O76" s="123" t="n"/>
      <c r="P76" s="467" t="n"/>
      <c r="Q76" s="469" t="n"/>
      <c r="R76" s="469" t="n"/>
      <c r="S76" s="470" t="n"/>
      <c r="T76" s="468" t="n"/>
      <c r="U76" s="583">
        <f>TEXT(Q76,"YYMM")</f>
        <v/>
      </c>
      <c r="V76" s="584">
        <f>TEXT(T76,"YYMM")</f>
        <v/>
      </c>
    </row>
    <row r="77">
      <c r="A77" s="123" t="n"/>
      <c r="B77" s="400" t="n"/>
      <c r="C77" s="401" t="n"/>
      <c r="D77" s="124" t="n"/>
      <c r="E77" s="123" t="n"/>
      <c r="F77" s="124" t="n"/>
      <c r="G77" s="124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467" t="n"/>
      <c r="Q77" s="469" t="n"/>
      <c r="R77" s="469" t="n"/>
      <c r="S77" s="470" t="n"/>
      <c r="T77" s="468" t="n"/>
      <c r="U77" s="583">
        <f>TEXT(Q77,"YYMM")</f>
        <v/>
      </c>
      <c r="V77" s="584">
        <f>TEXT(T77,"YYMM")</f>
        <v/>
      </c>
    </row>
    <row r="78">
      <c r="A78" s="123" t="n"/>
      <c r="B78" s="400" t="n"/>
      <c r="C78" s="401" t="n"/>
      <c r="D78" s="124" t="n"/>
      <c r="E78" s="123" t="n"/>
      <c r="F78" s="124" t="n"/>
      <c r="G78" s="124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467" t="n"/>
      <c r="Q78" s="469" t="n"/>
      <c r="R78" s="469" t="n"/>
      <c r="S78" s="470" t="n"/>
      <c r="T78" s="468" t="n"/>
      <c r="U78" s="583">
        <f>TEXT(Q78,"YYMM")</f>
        <v/>
      </c>
      <c r="V78" s="584">
        <f>TEXT(T78,"YYMM")</f>
        <v/>
      </c>
    </row>
    <row r="79">
      <c r="A79" s="123" t="n"/>
      <c r="B79" s="400" t="n"/>
      <c r="C79" s="401" t="n"/>
      <c r="D79" s="124" t="n"/>
      <c r="E79" s="123" t="n"/>
      <c r="F79" s="124" t="n"/>
      <c r="G79" s="124" t="n"/>
      <c r="H79" s="123" t="n"/>
      <c r="I79" s="123" t="n"/>
      <c r="J79" s="123" t="n"/>
      <c r="K79" s="123" t="n"/>
      <c r="L79" s="123" t="n"/>
      <c r="M79" s="123" t="n"/>
      <c r="N79" s="123" t="n"/>
      <c r="O79" s="123" t="n"/>
      <c r="P79" s="467" t="n"/>
      <c r="Q79" s="469" t="n"/>
      <c r="R79" s="469" t="n"/>
      <c r="S79" s="470" t="n"/>
      <c r="T79" s="468" t="n"/>
      <c r="U79" s="583">
        <f>TEXT(Q79,"YYMM")</f>
        <v/>
      </c>
      <c r="V79" s="584">
        <f>TEXT(T79,"YYMM")</f>
        <v/>
      </c>
    </row>
    <row r="80">
      <c r="A80" s="123" t="n"/>
      <c r="B80" s="400" t="n"/>
      <c r="C80" s="403" t="n"/>
      <c r="D80" s="126" t="n"/>
      <c r="E80" s="123" t="n"/>
      <c r="F80" s="124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467" t="n"/>
      <c r="Q80" s="471" t="n"/>
      <c r="R80" s="471" t="n"/>
      <c r="S80" s="471" t="n"/>
      <c r="T80" s="471" t="n"/>
      <c r="U80" s="583">
        <f>TEXT(Q80,"YYMM")</f>
        <v/>
      </c>
      <c r="V80" s="584">
        <f>TEXT(T80,"YYMM")</f>
        <v/>
      </c>
    </row>
    <row r="81">
      <c r="A81" s="123" t="n"/>
      <c r="B81" s="400" t="n"/>
      <c r="C81" s="403" t="n"/>
      <c r="D81" s="126" t="n"/>
      <c r="E81" s="123" t="n"/>
      <c r="F81" s="124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123" t="n"/>
      <c r="P81" s="467" t="n"/>
      <c r="Q81" s="471" t="n"/>
      <c r="R81" s="471" t="n"/>
      <c r="S81" s="471" t="n"/>
      <c r="T81" s="471" t="n"/>
      <c r="U81" s="583">
        <f>TEXT(Q81,"YYMM")</f>
        <v/>
      </c>
      <c r="V81" s="584">
        <f>TEXT(T81,"YYMM")</f>
        <v/>
      </c>
    </row>
    <row r="82">
      <c r="A82" s="123" t="n"/>
      <c r="B82" s="400" t="n"/>
      <c r="C82" s="401" t="n"/>
      <c r="D82" s="124" t="n"/>
      <c r="E82" s="123" t="n"/>
      <c r="F82" s="124" t="n"/>
      <c r="G82" s="124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467" t="n"/>
      <c r="Q82" s="471" t="n"/>
      <c r="R82" s="471" t="n"/>
      <c r="S82" s="471" t="n"/>
      <c r="T82" s="471" t="n"/>
      <c r="U82" s="583">
        <f>TEXT(Q82,"YYMM")</f>
        <v/>
      </c>
      <c r="V82" s="584">
        <f>TEXT(T82,"YYMM")</f>
        <v/>
      </c>
    </row>
    <row r="83">
      <c r="A83" s="123" t="n"/>
      <c r="B83" s="400" t="n"/>
      <c r="C83" s="401" t="n"/>
      <c r="D83" s="124" t="n"/>
      <c r="E83" s="123" t="n"/>
      <c r="F83" s="124" t="n"/>
      <c r="G83" s="124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467" t="n"/>
      <c r="Q83" s="471" t="n"/>
      <c r="R83" s="471" t="n"/>
      <c r="S83" s="471" t="n"/>
      <c r="T83" s="471" t="n"/>
      <c r="U83" s="583">
        <f>TEXT(Q83,"YYMM")</f>
        <v/>
      </c>
      <c r="V83" s="584">
        <f>TEXT(T83,"YYMM")</f>
        <v/>
      </c>
    </row>
    <row r="84">
      <c r="A84" s="123" t="n"/>
      <c r="B84" s="400" t="n"/>
      <c r="C84" s="401" t="n"/>
      <c r="D84" s="124" t="n"/>
      <c r="E84" s="123" t="n"/>
      <c r="F84" s="124" t="n"/>
      <c r="G84" s="124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467" t="n"/>
      <c r="Q84" s="471" t="n"/>
      <c r="R84" s="471" t="n"/>
      <c r="S84" s="471" t="n"/>
      <c r="T84" s="471" t="n"/>
      <c r="U84" s="583">
        <f>TEXT(Q84,"YYMM")</f>
        <v/>
      </c>
      <c r="V84" s="584">
        <f>TEXT(T84,"YYMM")</f>
        <v/>
      </c>
    </row>
    <row r="85">
      <c r="A85" s="123" t="n"/>
      <c r="B85" s="400" t="n"/>
      <c r="C85" s="401" t="n"/>
      <c r="D85" s="124" t="n"/>
      <c r="E85" s="123" t="n"/>
      <c r="F85" s="124" t="n"/>
      <c r="G85" s="124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467" t="n"/>
      <c r="Q85" s="471" t="n"/>
      <c r="R85" s="471" t="n"/>
      <c r="S85" s="471" t="n"/>
      <c r="T85" s="471" t="n"/>
      <c r="U85" s="583">
        <f>TEXT(Q85,"YYMM")</f>
        <v/>
      </c>
      <c r="V85" s="584">
        <f>TEXT(T85,"YYMM")</f>
        <v/>
      </c>
    </row>
    <row r="86">
      <c r="A86" s="123" t="n"/>
      <c r="B86" s="400" t="n"/>
      <c r="C86" s="403" t="n"/>
      <c r="D86" s="126" t="n"/>
      <c r="E86" s="123" t="n"/>
      <c r="F86" s="124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467" t="n"/>
      <c r="Q86" s="471" t="n"/>
      <c r="R86" s="471" t="n"/>
      <c r="S86" s="471" t="n"/>
      <c r="T86" s="471" t="n"/>
      <c r="U86" s="583">
        <f>TEXT(Q86,"YYMM")</f>
        <v/>
      </c>
      <c r="V86" s="584">
        <f>TEXT(T86,"YYMM")</f>
        <v/>
      </c>
    </row>
    <row r="87">
      <c r="A87" s="123" t="n"/>
      <c r="B87" s="400" t="n"/>
      <c r="C87" s="403" t="n"/>
      <c r="D87" s="126" t="n"/>
      <c r="E87" s="123" t="n"/>
      <c r="F87" s="124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467" t="n"/>
      <c r="Q87" s="471" t="n"/>
      <c r="R87" s="471" t="n"/>
      <c r="S87" s="471" t="n"/>
      <c r="T87" s="471" t="n"/>
      <c r="U87" s="583">
        <f>TEXT(Q87,"YYMM")</f>
        <v/>
      </c>
      <c r="V87" s="584">
        <f>TEXT(T87,"YYMM")</f>
        <v/>
      </c>
    </row>
    <row r="88">
      <c r="A88" s="123" t="n"/>
      <c r="B88" s="400" t="n"/>
      <c r="C88" s="403" t="n"/>
      <c r="D88" s="126" t="n"/>
      <c r="E88" s="123" t="n"/>
      <c r="F88" s="124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467" t="n"/>
      <c r="Q88" s="471" t="n"/>
      <c r="R88" s="471" t="n"/>
      <c r="S88" s="471" t="n"/>
      <c r="T88" s="471" t="n"/>
      <c r="U88" s="583">
        <f>TEXT(Q88,"YYMM")</f>
        <v/>
      </c>
      <c r="V88" s="584">
        <f>TEXT(T88,"YYMM")</f>
        <v/>
      </c>
    </row>
    <row r="89">
      <c r="A89" s="123" t="n"/>
      <c r="B89" s="400" t="n"/>
      <c r="C89" s="400" t="n"/>
      <c r="D89" s="123" t="n"/>
      <c r="E89" s="123" t="n"/>
      <c r="F89" s="124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467" t="n"/>
      <c r="Q89" s="471" t="n"/>
      <c r="R89" s="471" t="n"/>
      <c r="S89" s="471" t="n"/>
      <c r="T89" s="471" t="n"/>
      <c r="U89" s="583">
        <f>TEXT(Q89,"YYMM")</f>
        <v/>
      </c>
      <c r="V89" s="584">
        <f>TEXT(T89,"YYMM")</f>
        <v/>
      </c>
    </row>
    <row r="90">
      <c r="A90" s="123" t="n"/>
      <c r="B90" s="400" t="n"/>
      <c r="C90" s="400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467" t="n"/>
      <c r="Q90" s="469" t="n"/>
      <c r="R90" s="469" t="n"/>
      <c r="S90" s="470" t="n"/>
      <c r="T90" s="468" t="n"/>
      <c r="U90" s="583">
        <f>TEXT(Q90,"YYMM")</f>
        <v/>
      </c>
      <c r="V90" s="584">
        <f>TEXT(T90,"YYMM")</f>
        <v/>
      </c>
    </row>
    <row r="91">
      <c r="U91" s="583">
        <f>TEXT(Q91,"YYMM")</f>
        <v/>
      </c>
      <c r="V91" s="584">
        <f>TEXT(T91,"YYMM")</f>
        <v/>
      </c>
    </row>
    <row r="92">
      <c r="U92" s="583">
        <f>TEXT(Q92,"YYMM")</f>
        <v/>
      </c>
      <c r="V92" s="584">
        <f>TEXT(T92,"YYMM")</f>
        <v/>
      </c>
    </row>
    <row r="93">
      <c r="U93" s="583">
        <f>TEXT(Q93,"YYMM")</f>
        <v/>
      </c>
      <c r="V93" s="584">
        <f>TEXT(T93,"YYMM")</f>
        <v/>
      </c>
    </row>
    <row r="94">
      <c r="U94" s="583">
        <f>TEXT(Q94,"YYMM")</f>
        <v/>
      </c>
      <c r="V94" s="584">
        <f>TEXT(T94,"YYMM")</f>
        <v/>
      </c>
    </row>
    <row r="95">
      <c r="U95" s="583">
        <f>TEXT(Q95,"YYMM")</f>
        <v/>
      </c>
      <c r="V95" s="584">
        <f>TEXT(T95,"YYMM")</f>
        <v/>
      </c>
    </row>
    <row r="96">
      <c r="U96" s="583">
        <f>TEXT(Q96,"YYMM")</f>
        <v/>
      </c>
      <c r="V96" s="584">
        <f>TEXT(T96,"YYMM")</f>
        <v/>
      </c>
    </row>
    <row r="97">
      <c r="U97" s="583">
        <f>TEXT(Q97,"YYMM")</f>
        <v/>
      </c>
      <c r="V97" s="584">
        <f>TEXT(T97,"YYMM")</f>
        <v/>
      </c>
    </row>
    <row r="98">
      <c r="U98" s="583">
        <f>TEXT(Q98,"YYMM")</f>
        <v/>
      </c>
      <c r="V98" s="584">
        <f>TEXT(T98,"YYMM")</f>
        <v/>
      </c>
    </row>
    <row r="99">
      <c r="U99" s="583">
        <f>TEXT(Q99,"YYMM")</f>
        <v/>
      </c>
      <c r="V99" s="584">
        <f>TEXT(T99,"YYMM")</f>
        <v/>
      </c>
    </row>
    <row r="100">
      <c r="U100" s="583">
        <f>TEXT(Q100,"YYMM")</f>
        <v/>
      </c>
      <c r="V100" s="584">
        <f>TEXT(T100,"YYMM")</f>
        <v/>
      </c>
    </row>
    <row r="101">
      <c r="U101" s="583">
        <f>TEXT(Q101,"YYMM")</f>
        <v/>
      </c>
      <c r="V101" s="584">
        <f>TEXT(T101,"YYMM")</f>
        <v/>
      </c>
    </row>
    <row r="102">
      <c r="U102" s="583">
        <f>TEXT(Q102,"YYMM")</f>
        <v/>
      </c>
      <c r="V102" s="584">
        <f>TEXT(T102,"YYMM")</f>
        <v/>
      </c>
    </row>
    <row r="103">
      <c r="U103" s="583">
        <f>TEXT(Q103,"YYMM")</f>
        <v/>
      </c>
      <c r="V103" s="584">
        <f>TEXT(T103,"YYMM")</f>
        <v/>
      </c>
    </row>
    <row r="104">
      <c r="U104" s="583">
        <f>TEXT(Q104,"YYMM")</f>
        <v/>
      </c>
      <c r="V104" s="584">
        <f>TEXT(T104,"YYMM")</f>
        <v/>
      </c>
    </row>
    <row r="105">
      <c r="U105" s="583">
        <f>TEXT(Q105,"YYMM")</f>
        <v/>
      </c>
      <c r="V105" s="584">
        <f>TEXT(T105,"YYMM")</f>
        <v/>
      </c>
    </row>
    <row r="106">
      <c r="U106" s="583">
        <f>TEXT(Q106,"YYMM")</f>
        <v/>
      </c>
      <c r="V106" s="584">
        <f>TEXT(T106,"YYMM")</f>
        <v/>
      </c>
    </row>
    <row r="107">
      <c r="U107" s="583">
        <f>TEXT(Q107,"YYMM")</f>
        <v/>
      </c>
      <c r="V107" s="584">
        <f>TEXT(T107,"YYMM")</f>
        <v/>
      </c>
    </row>
    <row r="108">
      <c r="U108" s="583">
        <f>TEXT(Q108,"YYMM")</f>
        <v/>
      </c>
      <c r="V108" s="584">
        <f>TEXT(T108,"YYMM")</f>
        <v/>
      </c>
    </row>
    <row r="109">
      <c r="U109" s="583">
        <f>TEXT(Q109,"YYMM")</f>
        <v/>
      </c>
      <c r="V109" s="584">
        <f>TEXT(T109,"YYMM")</f>
        <v/>
      </c>
    </row>
    <row r="110">
      <c r="U110" s="583">
        <f>TEXT(Q110,"YYMM")</f>
        <v/>
      </c>
      <c r="V110" s="584">
        <f>TEXT(T110,"YYMM")</f>
        <v/>
      </c>
    </row>
    <row r="111">
      <c r="U111" s="583">
        <f>TEXT(Q111,"YYMM")</f>
        <v/>
      </c>
      <c r="V111" s="584">
        <f>TEXT(T111,"YYMM")</f>
        <v/>
      </c>
    </row>
    <row r="112">
      <c r="U112" s="583">
        <f>TEXT(Q112,"YYMM")</f>
        <v/>
      </c>
      <c r="V112" s="584">
        <f>TEXT(T112,"YYMM")</f>
        <v/>
      </c>
    </row>
    <row r="113">
      <c r="U113" s="583">
        <f>TEXT(Q113,"YYMM")</f>
        <v/>
      </c>
      <c r="V113" s="584">
        <f>TEXT(T113,"YYMM")</f>
        <v/>
      </c>
    </row>
    <row r="114">
      <c r="U114" s="583">
        <f>TEXT(Q114,"YYMM")</f>
        <v/>
      </c>
      <c r="V114" s="584">
        <f>TEXT(T114,"YYMM")</f>
        <v/>
      </c>
    </row>
    <row r="115">
      <c r="U115" s="583">
        <f>TEXT(Q115,"YYMM")</f>
        <v/>
      </c>
      <c r="V115" s="584">
        <f>TEXT(T115,"YYMM")</f>
        <v/>
      </c>
    </row>
    <row r="116">
      <c r="U116" s="583">
        <f>TEXT(Q116,"YYMM")</f>
        <v/>
      </c>
      <c r="V116" s="584">
        <f>TEXT(T116,"YYMM")</f>
        <v/>
      </c>
    </row>
    <row r="117">
      <c r="U117" s="583">
        <f>TEXT(Q117,"YYMM")</f>
        <v/>
      </c>
      <c r="V117" s="584">
        <f>TEXT(T117,"YYMM")</f>
        <v/>
      </c>
    </row>
    <row r="118">
      <c r="U118" s="583">
        <f>TEXT(Q118,"YYMM")</f>
        <v/>
      </c>
      <c r="V118" s="584">
        <f>TEXT(T118,"YYMM")</f>
        <v/>
      </c>
    </row>
    <row r="119">
      <c r="U119" s="583">
        <f>TEXT(Q119,"YYMM")</f>
        <v/>
      </c>
      <c r="V119" s="584">
        <f>TEXT(T119,"YYMM")</f>
        <v/>
      </c>
    </row>
    <row r="120">
      <c r="U120" s="583">
        <f>TEXT(Q120,"YYMM")</f>
        <v/>
      </c>
      <c r="V120" s="584">
        <f>TEXT(T120,"YYMM")</f>
        <v/>
      </c>
    </row>
    <row r="121">
      <c r="U121" s="583">
        <f>TEXT(Q121,"YYMM")</f>
        <v/>
      </c>
      <c r="V121" s="584">
        <f>TEXT(T121,"YYMM")</f>
        <v/>
      </c>
    </row>
    <row r="122">
      <c r="U122" s="583">
        <f>TEXT(Q122,"YYMM")</f>
        <v/>
      </c>
      <c r="V122" s="584">
        <f>TEXT(T122,"YYMM")</f>
        <v/>
      </c>
    </row>
    <row r="123">
      <c r="U123" s="583">
        <f>TEXT(Q123,"YYMM")</f>
        <v/>
      </c>
      <c r="V123" s="584">
        <f>TEXT(T123,"YYMM")</f>
        <v/>
      </c>
    </row>
    <row r="124">
      <c r="U124" s="583">
        <f>TEXT(Q124,"YYMM")</f>
        <v/>
      </c>
      <c r="V124" s="584">
        <f>TEXT(T124,"YYMM")</f>
        <v/>
      </c>
    </row>
    <row r="125">
      <c r="U125" s="583">
        <f>TEXT(Q125,"YYMM")</f>
        <v/>
      </c>
      <c r="V125" s="584">
        <f>TEXT(T125,"YYMM")</f>
        <v/>
      </c>
    </row>
    <row r="126">
      <c r="U126" s="583">
        <f>TEXT(Q126,"YYMM")</f>
        <v/>
      </c>
      <c r="V126" s="584">
        <f>TEXT(T126,"YYMM")</f>
        <v/>
      </c>
    </row>
    <row r="127">
      <c r="U127" s="583">
        <f>TEXT(Q127,"YYMM")</f>
        <v/>
      </c>
      <c r="V127" s="584">
        <f>TEXT(T127,"YYMM")</f>
        <v/>
      </c>
    </row>
    <row r="128">
      <c r="U128" s="583">
        <f>TEXT(Q128,"YYMM")</f>
        <v/>
      </c>
      <c r="V128" s="584">
        <f>TEXT(T128,"YYMM")</f>
        <v/>
      </c>
    </row>
    <row r="129">
      <c r="U129" s="583">
        <f>TEXT(Q129,"YYMM")</f>
        <v/>
      </c>
      <c r="V129" s="584">
        <f>TEXT(T129,"YYMM")</f>
        <v/>
      </c>
    </row>
    <row r="130">
      <c r="U130" s="583">
        <f>TEXT(Q130,"YYMM")</f>
        <v/>
      </c>
      <c r="V130" s="584">
        <f>TEXT(T130,"YYMM")</f>
        <v/>
      </c>
    </row>
    <row r="131">
      <c r="U131" s="583">
        <f>TEXT(Q131,"YYMM")</f>
        <v/>
      </c>
      <c r="V131" s="584">
        <f>TEXT(T131,"YYMM")</f>
        <v/>
      </c>
    </row>
    <row r="132">
      <c r="U132" s="583">
        <f>TEXT(Q132,"YYMM")</f>
        <v/>
      </c>
      <c r="V132" s="584">
        <f>TEXT(T132,"YYMM")</f>
        <v/>
      </c>
    </row>
    <row r="133">
      <c r="U133" s="583">
        <f>TEXT(Q133,"YYMM")</f>
        <v/>
      </c>
      <c r="V133" s="584">
        <f>TEXT(T133,"YYMM")</f>
        <v/>
      </c>
    </row>
    <row r="134">
      <c r="U134" s="583">
        <f>TEXT(Q134,"YYMM")</f>
        <v/>
      </c>
      <c r="V134" s="584">
        <f>TEXT(T134,"YYMM")</f>
        <v/>
      </c>
    </row>
    <row r="135">
      <c r="U135" s="583">
        <f>TEXT(Q135,"YYMM")</f>
        <v/>
      </c>
      <c r="V135" s="584">
        <f>TEXT(T135,"YYMM")</f>
        <v/>
      </c>
    </row>
    <row r="136">
      <c r="U136" s="583">
        <f>TEXT(Q136,"YYMM")</f>
        <v/>
      </c>
      <c r="V136" s="584">
        <f>TEXT(T136,"YYMM")</f>
        <v/>
      </c>
    </row>
    <row r="137">
      <c r="U137" s="583">
        <f>TEXT(Q137,"YYMM")</f>
        <v/>
      </c>
      <c r="V137" s="584">
        <f>TEXT(T137,"YYMM")</f>
        <v/>
      </c>
    </row>
    <row r="138">
      <c r="U138" s="583">
        <f>TEXT(Q138,"YYMM")</f>
        <v/>
      </c>
      <c r="V138" s="584">
        <f>TEXT(T138,"YYMM")</f>
        <v/>
      </c>
    </row>
    <row r="139">
      <c r="U139" s="583">
        <f>TEXT(Q139,"YYMM")</f>
        <v/>
      </c>
      <c r="V139" s="584">
        <f>TEXT(T139,"YYMM")</f>
        <v/>
      </c>
    </row>
    <row r="140">
      <c r="U140" s="583">
        <f>TEXT(Q140,"YYMM")</f>
        <v/>
      </c>
      <c r="V140" s="584">
        <f>TEXT(T140,"YYMM")</f>
        <v/>
      </c>
    </row>
    <row r="141">
      <c r="U141" s="583">
        <f>TEXT(Q141,"YYMM")</f>
        <v/>
      </c>
      <c r="V141" s="584">
        <f>TEXT(T141,"YYMM")</f>
        <v/>
      </c>
    </row>
    <row r="142">
      <c r="U142" s="583">
        <f>TEXT(Q142,"YYMM")</f>
        <v/>
      </c>
      <c r="V142" s="584">
        <f>TEXT(T142,"YYMM")</f>
        <v/>
      </c>
    </row>
    <row r="143">
      <c r="U143" s="583">
        <f>TEXT(Q143,"YYMM")</f>
        <v/>
      </c>
      <c r="V143" s="584">
        <f>TEXT(T143,"YYMM")</f>
        <v/>
      </c>
    </row>
    <row r="144">
      <c r="U144" s="583">
        <f>TEXT(Q144,"YYMM")</f>
        <v/>
      </c>
      <c r="V144" s="584">
        <f>TEXT(T144,"YYMM")</f>
        <v/>
      </c>
    </row>
    <row r="145">
      <c r="U145" s="583">
        <f>TEXT(Q145,"YYMM")</f>
        <v/>
      </c>
      <c r="V145" s="584">
        <f>TEXT(T145,"YYMM")</f>
        <v/>
      </c>
    </row>
    <row r="146">
      <c r="U146" s="583">
        <f>TEXT(Q146,"YYMM")</f>
        <v/>
      </c>
      <c r="V146" s="584">
        <f>TEXT(T146,"YYMM")</f>
        <v/>
      </c>
    </row>
    <row r="147">
      <c r="U147" s="583">
        <f>TEXT(Q147,"YYMM")</f>
        <v/>
      </c>
      <c r="V147" s="584">
        <f>TEXT(T147,"YYMM")</f>
        <v/>
      </c>
    </row>
    <row r="148">
      <c r="U148" s="583">
        <f>TEXT(Q148,"YYMM")</f>
        <v/>
      </c>
      <c r="V148" s="584">
        <f>TEXT(T148,"YYMM")</f>
        <v/>
      </c>
    </row>
    <row r="149">
      <c r="U149" s="583">
        <f>TEXT(Q149,"YYMM")</f>
        <v/>
      </c>
      <c r="V149" s="584">
        <f>TEXT(T149,"YYMM")</f>
        <v/>
      </c>
    </row>
    <row r="150">
      <c r="U150" s="583">
        <f>TEXT(Q150,"YYMM")</f>
        <v/>
      </c>
      <c r="V150" s="584">
        <f>TEXT(T150,"YYMM")</f>
        <v/>
      </c>
    </row>
    <row r="151">
      <c r="U151" s="583">
        <f>TEXT(Q151,"YYMM")</f>
        <v/>
      </c>
      <c r="V151" s="584">
        <f>TEXT(T151,"YYMM")</f>
        <v/>
      </c>
    </row>
    <row r="152">
      <c r="U152" s="583">
        <f>TEXT(Q152,"YYMM")</f>
        <v/>
      </c>
      <c r="V152" s="584">
        <f>TEXT(T152,"YYMM")</f>
        <v/>
      </c>
    </row>
    <row r="153">
      <c r="U153" s="583">
        <f>TEXT(Q153,"YYMM")</f>
        <v/>
      </c>
      <c r="V153" s="584">
        <f>TEXT(T153,"YYMM")</f>
        <v/>
      </c>
    </row>
    <row r="154">
      <c r="U154" s="583">
        <f>TEXT(Q154,"YYMM")</f>
        <v/>
      </c>
      <c r="V154" s="584">
        <f>TEXT(T154,"YYMM")</f>
        <v/>
      </c>
    </row>
    <row r="155">
      <c r="U155" s="583">
        <f>TEXT(Q155,"YYMM")</f>
        <v/>
      </c>
      <c r="V155" s="584">
        <f>TEXT(T155,"YYMM")</f>
        <v/>
      </c>
    </row>
    <row r="156">
      <c r="U156" s="583">
        <f>TEXT(Q156,"YYMM")</f>
        <v/>
      </c>
      <c r="V156" s="584">
        <f>TEXT(T156,"YYMM")</f>
        <v/>
      </c>
    </row>
    <row r="157">
      <c r="U157" s="583">
        <f>TEXT(Q157,"YYMM")</f>
        <v/>
      </c>
      <c r="V157" s="584">
        <f>TEXT(T157,"YYMM")</f>
        <v/>
      </c>
    </row>
    <row r="158">
      <c r="U158" s="583">
        <f>TEXT(Q158,"YYMM")</f>
        <v/>
      </c>
      <c r="V158" s="584">
        <f>TEXT(T158,"YYMM")</f>
        <v/>
      </c>
    </row>
    <row r="159">
      <c r="U159" s="583">
        <f>TEXT(Q159,"YYMM")</f>
        <v/>
      </c>
      <c r="V159" s="584">
        <f>TEXT(T159,"YYMM")</f>
        <v/>
      </c>
    </row>
    <row r="160">
      <c r="U160" s="583">
        <f>TEXT(Q160,"YYMM")</f>
        <v/>
      </c>
      <c r="V160" s="584">
        <f>TEXT(T160,"YYMM")</f>
        <v/>
      </c>
    </row>
    <row r="161">
      <c r="U161" s="583">
        <f>TEXT(Q161,"YYMM")</f>
        <v/>
      </c>
      <c r="V161" s="584">
        <f>TEXT(T161,"YYMM")</f>
        <v/>
      </c>
    </row>
    <row r="162">
      <c r="U162" s="583">
        <f>TEXT(Q162,"YYMM")</f>
        <v/>
      </c>
      <c r="V162" s="584">
        <f>TEXT(T162,"YYMM")</f>
        <v/>
      </c>
    </row>
    <row r="163">
      <c r="U163" s="583">
        <f>TEXT(Q163,"YYMM")</f>
        <v/>
      </c>
      <c r="V163" s="584">
        <f>TEXT(T163,"YYMM")</f>
        <v/>
      </c>
    </row>
    <row r="164">
      <c r="U164" s="583">
        <f>TEXT(Q164,"YYMM")</f>
        <v/>
      </c>
      <c r="V164" s="584">
        <f>TEXT(T164,"YYMM")</f>
        <v/>
      </c>
    </row>
    <row r="165">
      <c r="U165" s="583">
        <f>TEXT(Q165,"YYMM")</f>
        <v/>
      </c>
      <c r="V165" s="584">
        <f>TEXT(T165,"YYMM")</f>
        <v/>
      </c>
    </row>
    <row r="166">
      <c r="U166" s="583">
        <f>TEXT(Q166,"YYMM")</f>
        <v/>
      </c>
      <c r="V166" s="584">
        <f>TEXT(T166,"YYMM")</f>
        <v/>
      </c>
    </row>
    <row r="167">
      <c r="U167" s="583">
        <f>TEXT(Q167,"YYMM")</f>
        <v/>
      </c>
      <c r="V167" s="584">
        <f>TEXT(T167,"YYMM")</f>
        <v/>
      </c>
    </row>
    <row r="168">
      <c r="U168" s="583">
        <f>TEXT(Q168,"YYMM")</f>
        <v/>
      </c>
      <c r="V168" s="584">
        <f>TEXT(T168,"YYMM")</f>
        <v/>
      </c>
    </row>
    <row r="169">
      <c r="U169" s="583">
        <f>TEXT(Q169,"YYMM")</f>
        <v/>
      </c>
      <c r="V169" s="584">
        <f>TEXT(T169,"YYMM")</f>
        <v/>
      </c>
    </row>
    <row r="170">
      <c r="U170" s="583">
        <f>TEXT(Q170,"YYMM")</f>
        <v/>
      </c>
      <c r="V170" s="584">
        <f>TEXT(T170,"YYMM")</f>
        <v/>
      </c>
    </row>
    <row r="171">
      <c r="U171" s="583">
        <f>TEXT(Q171,"YYMM")</f>
        <v/>
      </c>
      <c r="V171" s="584">
        <f>TEXT(T171,"YYMM")</f>
        <v/>
      </c>
    </row>
    <row r="172">
      <c r="U172" s="583">
        <f>TEXT(Q172,"YYMM")</f>
        <v/>
      </c>
      <c r="V172" s="584">
        <f>TEXT(T172,"YYMM")</f>
        <v/>
      </c>
    </row>
    <row r="173">
      <c r="U173" s="583">
        <f>TEXT(Q173,"YYMM")</f>
        <v/>
      </c>
      <c r="V173" s="584">
        <f>TEXT(T173,"YYMM")</f>
        <v/>
      </c>
    </row>
    <row r="174">
      <c r="U174" s="583">
        <f>TEXT(Q174,"YYMM")</f>
        <v/>
      </c>
      <c r="V174" s="584">
        <f>TEXT(T174,"YYMM")</f>
        <v/>
      </c>
    </row>
    <row r="175">
      <c r="U175" s="583">
        <f>TEXT(Q175,"YYMM")</f>
        <v/>
      </c>
      <c r="V175" s="584">
        <f>TEXT(T175,"YYMM")</f>
        <v/>
      </c>
    </row>
    <row r="176">
      <c r="U176" s="583">
        <f>TEXT(Q176,"YYMM")</f>
        <v/>
      </c>
      <c r="V176" s="584">
        <f>TEXT(T176,"YYMM")</f>
        <v/>
      </c>
    </row>
    <row r="177">
      <c r="U177" s="583">
        <f>TEXT(Q177,"YYMM")</f>
        <v/>
      </c>
      <c r="V177" s="584">
        <f>TEXT(T177,"YYMM")</f>
        <v/>
      </c>
    </row>
    <row r="178">
      <c r="U178" s="583">
        <f>TEXT(Q178,"YYMM")</f>
        <v/>
      </c>
      <c r="V178" s="584">
        <f>TEXT(T178,"YYMM")</f>
        <v/>
      </c>
    </row>
    <row r="179">
      <c r="U179" s="583">
        <f>TEXT(Q179,"YYMM")</f>
        <v/>
      </c>
      <c r="V179" s="584">
        <f>TEXT(T179,"YYMM")</f>
        <v/>
      </c>
    </row>
    <row r="180">
      <c r="U180" s="583">
        <f>TEXT(Q180,"YYMM")</f>
        <v/>
      </c>
      <c r="V180" s="584">
        <f>TEXT(T180,"YYMM")</f>
        <v/>
      </c>
    </row>
    <row r="181">
      <c r="U181" s="583">
        <f>TEXT(Q181,"YYMM")</f>
        <v/>
      </c>
      <c r="V181" s="584">
        <f>TEXT(T181,"YYMM")</f>
        <v/>
      </c>
    </row>
    <row r="182">
      <c r="U182" s="583">
        <f>TEXT(Q182,"YYMM")</f>
        <v/>
      </c>
      <c r="V182" s="584">
        <f>TEXT(T182,"YYMM")</f>
        <v/>
      </c>
    </row>
    <row r="183">
      <c r="U183" s="583">
        <f>TEXT(Q183,"YYMM")</f>
        <v/>
      </c>
      <c r="V183" s="584">
        <f>TEXT(T183,"YYMM")</f>
        <v/>
      </c>
    </row>
    <row r="184" ht="17.25" customHeight="1" s="480">
      <c r="U184" s="583">
        <f>TEXT(Q184,"YYMM")</f>
        <v/>
      </c>
      <c r="V184" s="584">
        <f>TEXT(T184,"YYMM")</f>
        <v/>
      </c>
    </row>
    <row r="185" ht="17.25" customHeight="1" s="480">
      <c r="U185" s="583">
        <f>TEXT(Q185,"YYMM")</f>
        <v/>
      </c>
      <c r="V185" s="584">
        <f>TEXT(T185,"YYMM")</f>
        <v/>
      </c>
    </row>
    <row r="186" ht="17.25" customHeight="1" s="480">
      <c r="U186" s="583">
        <f>TEXT(Q186,"YYMM")</f>
        <v/>
      </c>
      <c r="V186" s="584">
        <f>TEXT(T186,"YYMM")</f>
        <v/>
      </c>
    </row>
    <row r="187" ht="17.25" customHeight="1" s="480">
      <c r="U187" s="583">
        <f>TEXT(Q187,"YYMM")</f>
        <v/>
      </c>
      <c r="V187" s="584">
        <f>TEXT(T187,"YYMM")</f>
        <v/>
      </c>
    </row>
    <row r="188" ht="17.25" customHeight="1" s="480">
      <c r="U188" s="583">
        <f>TEXT(Q188,"YYMM")</f>
        <v/>
      </c>
      <c r="V188" s="584">
        <f>TEXT(T188,"YYMM")</f>
        <v/>
      </c>
    </row>
    <row r="189" ht="17.25" customHeight="1" s="480">
      <c r="U189" s="583">
        <f>TEXT(Q189,"YYMM")</f>
        <v/>
      </c>
      <c r="V189" s="584">
        <f>TEXT(T189,"YYMM")</f>
        <v/>
      </c>
    </row>
    <row r="190" ht="17.25" customHeight="1" s="480">
      <c r="U190" s="583">
        <f>TEXT(Q190,"YYMM")</f>
        <v/>
      </c>
      <c r="V190" s="584">
        <f>TEXT(T190,"YYMM")</f>
        <v/>
      </c>
    </row>
    <row r="191" ht="17.25" customHeight="1" s="480">
      <c r="U191" s="583">
        <f>TEXT(Q191,"YYMM")</f>
        <v/>
      </c>
      <c r="V191" s="584">
        <f>TEXT(T191,"YYMM")</f>
        <v/>
      </c>
    </row>
    <row r="192" ht="17.25" customHeight="1" s="480">
      <c r="U192" s="583">
        <f>TEXT(Q192,"YYMM")</f>
        <v/>
      </c>
      <c r="V192" s="584">
        <f>TEXT(T192,"YYMM")</f>
        <v/>
      </c>
    </row>
    <row r="193" ht="17.25" customHeight="1" s="480">
      <c r="U193" s="583">
        <f>TEXT(Q193,"YYMM")</f>
        <v/>
      </c>
      <c r="V193" s="584">
        <f>TEXT(T193,"YYMM")</f>
        <v/>
      </c>
    </row>
    <row r="194" ht="17.25" customHeight="1" s="480">
      <c r="U194" s="583">
        <f>TEXT(Q194,"YYMM")</f>
        <v/>
      </c>
      <c r="V194" s="584">
        <f>TEXT(T194,"YYMM")</f>
        <v/>
      </c>
    </row>
    <row r="195" ht="17.25" customHeight="1" s="480">
      <c r="U195" s="583">
        <f>TEXT(Q195,"YYMM")</f>
        <v/>
      </c>
      <c r="V195" s="584">
        <f>TEXT(T195,"YYMM")</f>
        <v/>
      </c>
    </row>
    <row r="196" ht="17.25" customHeight="1" s="480">
      <c r="U196" s="583">
        <f>TEXT(Q196,"YYMM")</f>
        <v/>
      </c>
      <c r="V196" s="584">
        <f>TEXT(T196,"YYMM")</f>
        <v/>
      </c>
    </row>
    <row r="197" ht="17.25" customHeight="1" s="480">
      <c r="U197" s="583">
        <f>TEXT(Q197,"YYMM")</f>
        <v/>
      </c>
      <c r="V197" s="584">
        <f>TEXT(T197,"YYMM")</f>
        <v/>
      </c>
    </row>
    <row r="198" ht="17.25" customHeight="1" s="480">
      <c r="U198" s="583">
        <f>TEXT(Q198,"YYMM")</f>
        <v/>
      </c>
      <c r="V198" s="584">
        <f>TEXT(T198,"YYMM")</f>
        <v/>
      </c>
    </row>
    <row r="199" ht="17.25" customHeight="1" s="480">
      <c r="U199" s="583">
        <f>TEXT(Q199,"YYMM")</f>
        <v/>
      </c>
      <c r="V199" s="584">
        <f>TEXT(T199,"YYMM")</f>
        <v/>
      </c>
    </row>
    <row r="200" ht="17.25" customHeight="1" s="480">
      <c r="U200" s="583">
        <f>TEXT(Q200,"YYMM")</f>
        <v/>
      </c>
      <c r="V200" s="584">
        <f>TEXT(T200,"YYMM")</f>
        <v/>
      </c>
    </row>
    <row r="201" ht="17.25" customHeight="1" s="480">
      <c r="U201" s="583">
        <f>TEXT(Q201,"YYMM")</f>
        <v/>
      </c>
      <c r="V201" s="584">
        <f>TEXT(T201,"YYMM")</f>
        <v/>
      </c>
    </row>
    <row r="202" ht="17.25" customHeight="1" s="480">
      <c r="U202" s="583">
        <f>TEXT(Q202,"YYMM")</f>
        <v/>
      </c>
      <c r="V202" s="584">
        <f>TEXT(T202,"YYMM")</f>
        <v/>
      </c>
    </row>
    <row r="203" ht="17.25" customHeight="1" s="480">
      <c r="U203" s="583">
        <f>TEXT(Q203,"YYMM")</f>
        <v/>
      </c>
      <c r="V203" s="584">
        <f>TEXT(T203,"YYMM")</f>
        <v/>
      </c>
    </row>
    <row r="204" ht="17.25" customHeight="1" s="480">
      <c r="U204" s="583">
        <f>TEXT(Q204,"YYMM")</f>
        <v/>
      </c>
      <c r="V204" s="584">
        <f>TEXT(T204,"YYMM")</f>
        <v/>
      </c>
    </row>
    <row r="205" ht="17.25" customHeight="1" s="480">
      <c r="U205" s="583">
        <f>TEXT(Q205,"YYMM")</f>
        <v/>
      </c>
      <c r="V205" s="584">
        <f>TEXT(T205,"YYMM")</f>
        <v/>
      </c>
    </row>
    <row r="206" ht="17.25" customHeight="1" s="480">
      <c r="U206" s="583">
        <f>TEXT(Q206,"YYMM")</f>
        <v/>
      </c>
      <c r="V206" s="584">
        <f>TEXT(T206,"YYMM")</f>
        <v/>
      </c>
    </row>
    <row r="207" ht="17.25" customHeight="1" s="480">
      <c r="U207" s="583">
        <f>TEXT(Q207,"YYMM")</f>
        <v/>
      </c>
      <c r="V207" s="584">
        <f>TEXT(T207,"YYMM")</f>
        <v/>
      </c>
    </row>
    <row r="208" ht="17.25" customHeight="1" s="480">
      <c r="U208" s="583">
        <f>TEXT(Q208,"YYMM")</f>
        <v/>
      </c>
      <c r="V208" s="584">
        <f>TEXT(T208,"YYMM")</f>
        <v/>
      </c>
    </row>
    <row r="209" ht="17.25" customHeight="1" s="480">
      <c r="U209" s="583">
        <f>TEXT(Q209,"YYMM")</f>
        <v/>
      </c>
      <c r="V209" s="584">
        <f>TEXT(T209,"YYMM")</f>
        <v/>
      </c>
    </row>
    <row r="210" ht="17.25" customHeight="1" s="480">
      <c r="U210" s="583">
        <f>TEXT(Q210,"YYMM")</f>
        <v/>
      </c>
      <c r="V210" s="584">
        <f>TEXT(T210,"YYMM")</f>
        <v/>
      </c>
    </row>
    <row r="211" ht="17.25" customHeight="1" s="480">
      <c r="U211" s="583">
        <f>TEXT(Q211,"YYMM")</f>
        <v/>
      </c>
      <c r="V211" s="584">
        <f>TEXT(T211,"YYMM")</f>
        <v/>
      </c>
    </row>
    <row r="212" ht="17.25" customHeight="1" s="480">
      <c r="U212" s="583">
        <f>TEXT(Q212,"YYMM")</f>
        <v/>
      </c>
      <c r="V212" s="584">
        <f>TEXT(T212,"YYMM")</f>
        <v/>
      </c>
    </row>
    <row r="213" ht="17.25" customHeight="1" s="480">
      <c r="U213" s="583">
        <f>TEXT(Q213,"YYMM")</f>
        <v/>
      </c>
      <c r="V213" s="584">
        <f>TEXT(T213,"YYMM")</f>
        <v/>
      </c>
    </row>
    <row r="214" ht="17.25" customHeight="1" s="480">
      <c r="U214" s="583">
        <f>TEXT(Q214,"YYMM")</f>
        <v/>
      </c>
      <c r="V214" s="584">
        <f>TEXT(T214,"YYMM")</f>
        <v/>
      </c>
    </row>
    <row r="215" ht="17.25" customHeight="1" s="480">
      <c r="U215" s="583">
        <f>TEXT(Q215,"YYMM")</f>
        <v/>
      </c>
      <c r="V215" s="584">
        <f>TEXT(T215,"YYMM")</f>
        <v/>
      </c>
    </row>
    <row r="216" ht="17.25" customHeight="1" s="480">
      <c r="U216" s="583">
        <f>TEXT(Q216,"YYMM")</f>
        <v/>
      </c>
      <c r="V216" s="584">
        <f>TEXT(T216,"YYMM")</f>
        <v/>
      </c>
    </row>
    <row r="217" ht="17.25" customHeight="1" s="480">
      <c r="U217" s="583">
        <f>TEXT(Q217,"YYMM")</f>
        <v/>
      </c>
      <c r="V217" s="584">
        <f>TEXT(T217,"YYMM")</f>
        <v/>
      </c>
    </row>
    <row r="218" ht="17.25" customHeight="1" s="480">
      <c r="U218" s="583">
        <f>TEXT(Q218,"YYMM")</f>
        <v/>
      </c>
      <c r="V218" s="584">
        <f>TEXT(T218,"YYMM")</f>
        <v/>
      </c>
    </row>
    <row r="219" ht="17.25" customHeight="1" s="480">
      <c r="U219" s="583">
        <f>TEXT(Q219,"YYMM")</f>
        <v/>
      </c>
      <c r="V219" s="584">
        <f>TEXT(T219,"YYMM")</f>
        <v/>
      </c>
    </row>
    <row r="220" ht="17.25" customHeight="1" s="480">
      <c r="U220" s="583">
        <f>TEXT(Q220,"YYMM")</f>
        <v/>
      </c>
      <c r="V220" s="584">
        <f>TEXT(T220,"YYMM")</f>
        <v/>
      </c>
    </row>
    <row r="221" ht="17.25" customHeight="1" s="480">
      <c r="U221" s="583">
        <f>TEXT(Q221,"YYMM")</f>
        <v/>
      </c>
      <c r="V221" s="584">
        <f>TEXT(T221,"YYMM")</f>
        <v/>
      </c>
    </row>
    <row r="222" ht="17.25" customHeight="1" s="480">
      <c r="U222" s="583">
        <f>TEXT(Q222,"YYMM")</f>
        <v/>
      </c>
      <c r="V222" s="584">
        <f>TEXT(T222,"YYMM")</f>
        <v/>
      </c>
    </row>
    <row r="223" ht="17.25" customHeight="1" s="480">
      <c r="U223" s="583">
        <f>TEXT(Q223,"YYMM")</f>
        <v/>
      </c>
      <c r="V223" s="584">
        <f>TEXT(T223,"YYMM")</f>
        <v/>
      </c>
    </row>
    <row r="224" ht="17.25" customHeight="1" s="480">
      <c r="U224" s="583">
        <f>TEXT(Q224,"YYMM")</f>
        <v/>
      </c>
      <c r="V224" s="584">
        <f>TEXT(T224,"YYMM")</f>
        <v/>
      </c>
    </row>
    <row r="225" ht="17.25" customHeight="1" s="480">
      <c r="U225" s="583">
        <f>TEXT(Q225,"YYMM")</f>
        <v/>
      </c>
      <c r="V225" s="584">
        <f>TEXT(T225,"YYMM")</f>
        <v/>
      </c>
    </row>
    <row r="226" ht="17.25" customHeight="1" s="480">
      <c r="U226" s="583">
        <f>TEXT(Q226,"YYMM")</f>
        <v/>
      </c>
      <c r="V226" s="584">
        <f>TEXT(T226,"YYMM")</f>
        <v/>
      </c>
    </row>
    <row r="227" ht="17.25" customHeight="1" s="480">
      <c r="U227" s="583">
        <f>TEXT(Q227,"YYMM")</f>
        <v/>
      </c>
      <c r="V227" s="584">
        <f>TEXT(T227,"YYMM")</f>
        <v/>
      </c>
    </row>
    <row r="228" ht="17.25" customHeight="1" s="480">
      <c r="U228" s="583">
        <f>TEXT(Q228,"YYMM")</f>
        <v/>
      </c>
      <c r="V228" s="584">
        <f>TEXT(T228,"YYMM")</f>
        <v/>
      </c>
    </row>
    <row r="229" ht="17.25" customHeight="1" s="480">
      <c r="U229" s="583">
        <f>TEXT(Q229,"YYMM")</f>
        <v/>
      </c>
      <c r="V229" s="584">
        <f>TEXT(T229,"YYMM")</f>
        <v/>
      </c>
    </row>
    <row r="230" ht="17.25" customHeight="1" s="480">
      <c r="U230" s="583">
        <f>TEXT(Q230,"YYMM")</f>
        <v/>
      </c>
      <c r="V230" s="584">
        <f>TEXT(T230,"YYMM")</f>
        <v/>
      </c>
    </row>
    <row r="231" ht="17.25" customHeight="1" s="480">
      <c r="U231" s="583">
        <f>TEXT(Q231,"YYMM")</f>
        <v/>
      </c>
      <c r="V231" s="584">
        <f>TEXT(T231,"YYMM")</f>
        <v/>
      </c>
    </row>
    <row r="232" ht="17.25" customHeight="1" s="480">
      <c r="U232" s="583">
        <f>TEXT(Q232,"YYMM")</f>
        <v/>
      </c>
      <c r="V232" s="584">
        <f>TEXT(T232,"YYMM")</f>
        <v/>
      </c>
    </row>
    <row r="233" ht="17.25" customHeight="1" s="480">
      <c r="U233" s="583">
        <f>TEXT(Q233,"YYMM")</f>
        <v/>
      </c>
      <c r="V233" s="584">
        <f>TEXT(T233,"YYMM")</f>
        <v/>
      </c>
    </row>
    <row r="234" ht="17.25" customHeight="1" s="480">
      <c r="U234" s="583">
        <f>TEXT(Q234,"YYMM")</f>
        <v/>
      </c>
      <c r="V234" s="584">
        <f>TEXT(T234,"YYMM")</f>
        <v/>
      </c>
    </row>
    <row r="235" ht="17.25" customHeight="1" s="480">
      <c r="U235" s="583">
        <f>TEXT(Q235,"YYMM")</f>
        <v/>
      </c>
      <c r="V235" s="584">
        <f>TEXT(T235,"YYMM")</f>
        <v/>
      </c>
    </row>
    <row r="236" ht="17.25" customHeight="1" s="480">
      <c r="U236" s="583">
        <f>TEXT(Q236,"YYMM")</f>
        <v/>
      </c>
      <c r="V236" s="584">
        <f>TEXT(T236,"YYMM")</f>
        <v/>
      </c>
    </row>
    <row r="237" ht="17.25" customHeight="1" s="480">
      <c r="U237" s="583">
        <f>TEXT(Q237,"YYMM")</f>
        <v/>
      </c>
      <c r="V237" s="584">
        <f>TEXT(T237,"YYMM")</f>
        <v/>
      </c>
    </row>
    <row r="238" ht="17.25" customHeight="1" s="480">
      <c r="U238" s="583">
        <f>TEXT(Q238,"YYMM")</f>
        <v/>
      </c>
      <c r="V238" s="584">
        <f>TEXT(T238,"YYMM")</f>
        <v/>
      </c>
    </row>
    <row r="239" ht="17.25" customHeight="1" s="480">
      <c r="U239" s="583">
        <f>TEXT(Q239,"YYMM")</f>
        <v/>
      </c>
      <c r="V239" s="584">
        <f>TEXT(T239,"YYMM")</f>
        <v/>
      </c>
    </row>
    <row r="240" ht="17.25" customHeight="1" s="480">
      <c r="U240" s="583">
        <f>TEXT(Q240,"YYMM")</f>
        <v/>
      </c>
      <c r="V240" s="584">
        <f>TEXT(T240,"YYMM")</f>
        <v/>
      </c>
    </row>
    <row r="241" ht="17.25" customHeight="1" s="480">
      <c r="U241" s="583">
        <f>TEXT(Q241,"YYMM")</f>
        <v/>
      </c>
      <c r="V241" s="584">
        <f>TEXT(T241,"YYMM")</f>
        <v/>
      </c>
    </row>
    <row r="242" ht="17.25" customHeight="1" s="480">
      <c r="U242" s="583">
        <f>TEXT(Q242,"YYMM")</f>
        <v/>
      </c>
      <c r="V242" s="584">
        <f>TEXT(T242,"YYMM")</f>
        <v/>
      </c>
    </row>
    <row r="243" ht="17.25" customHeight="1" s="480">
      <c r="U243" s="583">
        <f>TEXT(Q243,"YYMM")</f>
        <v/>
      </c>
      <c r="V243" s="584">
        <f>TEXT(T243,"YYMM")</f>
        <v/>
      </c>
    </row>
    <row r="244" ht="17.25" customHeight="1" s="480">
      <c r="U244" s="583">
        <f>TEXT(Q244,"YYMM")</f>
        <v/>
      </c>
      <c r="V244" s="584">
        <f>TEXT(T244,"YYMM")</f>
        <v/>
      </c>
    </row>
    <row r="245" ht="17.25" customHeight="1" s="480">
      <c r="U245" s="583">
        <f>TEXT(Q245,"YYMM")</f>
        <v/>
      </c>
      <c r="V245" s="584">
        <f>TEXT(T245,"YYMM")</f>
        <v/>
      </c>
    </row>
    <row r="246" ht="17.25" customHeight="1" s="480">
      <c r="U246" s="583">
        <f>TEXT(Q246,"YYMM")</f>
        <v/>
      </c>
      <c r="V246" s="584">
        <f>TEXT(T246,"YYMM")</f>
        <v/>
      </c>
    </row>
    <row r="247" ht="17.25" customHeight="1" s="480">
      <c r="U247" s="583">
        <f>TEXT(Q247,"YYMM")</f>
        <v/>
      </c>
      <c r="V247" s="584">
        <f>TEXT(T247,"YYMM")</f>
        <v/>
      </c>
    </row>
    <row r="248" ht="17.25" customHeight="1" s="480">
      <c r="U248" s="583">
        <f>TEXT(Q248,"YYMM")</f>
        <v/>
      </c>
      <c r="V248" s="584">
        <f>TEXT(T248,"YYMM")</f>
        <v/>
      </c>
    </row>
    <row r="249" ht="17.25" customHeight="1" s="480">
      <c r="U249" s="583">
        <f>TEXT(Q249,"YYMM")</f>
        <v/>
      </c>
      <c r="V249" s="584">
        <f>TEXT(T249,"YYMM")</f>
        <v/>
      </c>
    </row>
    <row r="250" ht="17.25" customHeight="1" s="480">
      <c r="U250" s="583">
        <f>TEXT(Q250,"YYMM")</f>
        <v/>
      </c>
      <c r="V250" s="584">
        <f>TEXT(T250,"YYMM")</f>
        <v/>
      </c>
    </row>
    <row r="251" ht="17.25" customHeight="1" s="480">
      <c r="U251" s="583">
        <f>TEXT(Q251,"YYMM")</f>
        <v/>
      </c>
      <c r="V251" s="584">
        <f>TEXT(T251,"YYMM")</f>
        <v/>
      </c>
    </row>
    <row r="252" ht="17.25" customHeight="1" s="480">
      <c r="U252" s="583">
        <f>TEXT(Q252,"YYMM")</f>
        <v/>
      </c>
      <c r="V252" s="584">
        <f>TEXT(T252,"YYMM")</f>
        <v/>
      </c>
    </row>
    <row r="253" ht="17.25" customHeight="1" s="480">
      <c r="U253" s="583">
        <f>TEXT(Q253,"YYMM")</f>
        <v/>
      </c>
      <c r="V253" s="584">
        <f>TEXT(T253,"YYMM")</f>
        <v/>
      </c>
    </row>
    <row r="254" ht="17.25" customHeight="1" s="480">
      <c r="U254" s="583">
        <f>TEXT(Q254,"YYMM")</f>
        <v/>
      </c>
      <c r="V254" s="584">
        <f>TEXT(T254,"YYMM")</f>
        <v/>
      </c>
    </row>
    <row r="255" ht="17.25" customHeight="1" s="480">
      <c r="U255" s="583">
        <f>TEXT(Q255,"YYMM")</f>
        <v/>
      </c>
      <c r="V255" s="584">
        <f>TEXT(T255,"YYMM")</f>
        <v/>
      </c>
    </row>
    <row r="256" ht="17.25" customHeight="1" s="480">
      <c r="U256" s="583">
        <f>TEXT(Q256,"YYMM")</f>
        <v/>
      </c>
      <c r="V256" s="584">
        <f>TEXT(T256,"YYMM")</f>
        <v/>
      </c>
    </row>
    <row r="257" ht="17.25" customHeight="1" s="480">
      <c r="U257" s="583">
        <f>TEXT(Q257,"YYMM")</f>
        <v/>
      </c>
      <c r="V257" s="584">
        <f>TEXT(T257,"YYMM")</f>
        <v/>
      </c>
    </row>
    <row r="258">
      <c r="U258" s="583">
        <f>TEXT(Q258,"YYMM")</f>
        <v/>
      </c>
      <c r="V258" s="584">
        <f>TEXT(T258,"YYMM")</f>
        <v/>
      </c>
    </row>
    <row r="259">
      <c r="U259" s="583">
        <f>TEXT(Q259,"YYMM")</f>
        <v/>
      </c>
      <c r="V259" s="584">
        <f>TEXT(T259,"YYMM")</f>
        <v/>
      </c>
    </row>
    <row r="260">
      <c r="U260" s="583">
        <f>TEXT(Q260,"YYMM")</f>
        <v/>
      </c>
      <c r="V260" s="584">
        <f>TEXT(T260,"YYMM")</f>
        <v/>
      </c>
    </row>
    <row r="261">
      <c r="U261" s="583">
        <f>TEXT(Q261,"YYMM")</f>
        <v/>
      </c>
      <c r="V261" s="584">
        <f>TEXT(T261,"YYMM")</f>
        <v/>
      </c>
    </row>
    <row r="262">
      <c r="U262" s="583">
        <f>TEXT(Q262,"YYMM")</f>
        <v/>
      </c>
      <c r="V262" s="584">
        <f>TEXT(T262,"YYMM")</f>
        <v/>
      </c>
    </row>
    <row r="263">
      <c r="U263" s="583">
        <f>TEXT(Q263,"YYMM")</f>
        <v/>
      </c>
      <c r="V263" s="584">
        <f>TEXT(T263,"YYMM")</f>
        <v/>
      </c>
    </row>
    <row r="264">
      <c r="U264" s="583">
        <f>TEXT(Q264,"YYMM")</f>
        <v/>
      </c>
      <c r="V264" s="584">
        <f>TEXT(T264,"YYMM")</f>
        <v/>
      </c>
    </row>
    <row r="265">
      <c r="U265" s="583">
        <f>TEXT(Q265,"YYMM")</f>
        <v/>
      </c>
      <c r="V265" s="584">
        <f>TEXT(T265,"YYMM")</f>
        <v/>
      </c>
    </row>
    <row r="266">
      <c r="U266" s="583">
        <f>TEXT(Q266,"YYMM")</f>
        <v/>
      </c>
      <c r="V266" s="584">
        <f>TEXT(T266,"YYMM")</f>
        <v/>
      </c>
    </row>
    <row r="267">
      <c r="U267" s="583">
        <f>TEXT(Q267,"YYMM")</f>
        <v/>
      </c>
      <c r="V267" s="584">
        <f>TEXT(T267,"YYMM")</f>
        <v/>
      </c>
    </row>
    <row r="268">
      <c r="U268" s="583">
        <f>TEXT(Q268,"YYMM")</f>
        <v/>
      </c>
      <c r="V268" s="584">
        <f>TEXT(T268,"YYMM")</f>
        <v/>
      </c>
    </row>
    <row r="269">
      <c r="U269" s="583">
        <f>TEXT(Q269,"YYMM")</f>
        <v/>
      </c>
      <c r="V269" s="584">
        <f>TEXT(T269,"YYMM")</f>
        <v/>
      </c>
    </row>
    <row r="270">
      <c r="U270" s="583">
        <f>TEXT(Q270,"YYMM")</f>
        <v/>
      </c>
      <c r="V270" s="584">
        <f>TEXT(T270,"YYMM")</f>
        <v/>
      </c>
    </row>
    <row r="271">
      <c r="U271" s="583">
        <f>TEXT(Q271,"YYMM")</f>
        <v/>
      </c>
      <c r="V271" s="584">
        <f>TEXT(T271,"YYMM")</f>
        <v/>
      </c>
    </row>
    <row r="272" ht="17.25" customHeight="1" s="480">
      <c r="U272" s="583">
        <f>TEXT(Q272,"YYMM")</f>
        <v/>
      </c>
      <c r="V272" s="584">
        <f>TEXT(T272,"YYMM")</f>
        <v/>
      </c>
    </row>
    <row r="273" ht="17.25" customHeight="1" s="480">
      <c r="U273" s="583">
        <f>TEXT(Q273,"YYMM")</f>
        <v/>
      </c>
      <c r="V273" s="584">
        <f>TEXT(T273,"YYMM")</f>
        <v/>
      </c>
    </row>
    <row r="274" ht="17.25" customHeight="1" s="480">
      <c r="U274" s="583">
        <f>TEXT(Q274,"YYMM")</f>
        <v/>
      </c>
      <c r="V274" s="584">
        <f>TEXT(T274,"YYMM")</f>
        <v/>
      </c>
    </row>
    <row r="275" ht="17.25" customHeight="1" s="480">
      <c r="U275" s="583">
        <f>TEXT(Q275,"YYMM")</f>
        <v/>
      </c>
      <c r="V275" s="584">
        <f>TEXT(T275,"YYMM")</f>
        <v/>
      </c>
    </row>
    <row r="276" ht="17.25" customHeight="1" s="480">
      <c r="U276" s="583">
        <f>TEXT(Q276,"YYMM")</f>
        <v/>
      </c>
      <c r="V276" s="584">
        <f>TEXT(T276,"YYMM")</f>
        <v/>
      </c>
    </row>
    <row r="277" ht="17.25" customHeight="1" s="480">
      <c r="U277" s="583">
        <f>TEXT(Q277,"YYMM")</f>
        <v/>
      </c>
      <c r="V277" s="584">
        <f>TEXT(T277,"YYMM")</f>
        <v/>
      </c>
    </row>
    <row r="278" ht="17.25" customHeight="1" s="480">
      <c r="U278" s="583">
        <f>TEXT(Q278,"YYMM")</f>
        <v/>
      </c>
      <c r="V278" s="584">
        <f>TEXT(T278,"YYMM")</f>
        <v/>
      </c>
    </row>
    <row r="279" ht="17.25" customHeight="1" s="480">
      <c r="U279" s="583">
        <f>TEXT(Q279,"YYMM")</f>
        <v/>
      </c>
      <c r="V279" s="584">
        <f>TEXT(T279,"YYMM")</f>
        <v/>
      </c>
    </row>
    <row r="280" ht="17.25" customHeight="1" s="480">
      <c r="U280" s="583">
        <f>TEXT(Q280,"YYMM")</f>
        <v/>
      </c>
      <c r="V280" s="584">
        <f>TEXT(T280,"YYMM")</f>
        <v/>
      </c>
    </row>
    <row r="281" ht="17.25" customHeight="1" s="480">
      <c r="U281" s="583">
        <f>TEXT(Q281,"YYMM")</f>
        <v/>
      </c>
      <c r="V281" s="584">
        <f>TEXT(T281,"YYMM")</f>
        <v/>
      </c>
    </row>
    <row r="282" ht="17.25" customHeight="1" s="480">
      <c r="U282" s="583">
        <f>TEXT(Q282,"YYMM")</f>
        <v/>
      </c>
      <c r="V282" s="584">
        <f>TEXT(T282,"YYMM")</f>
        <v/>
      </c>
    </row>
    <row r="283" ht="17.25" customHeight="1" s="480">
      <c r="U283" s="583">
        <f>TEXT(Q283,"YYMM")</f>
        <v/>
      </c>
      <c r="V283" s="584">
        <f>TEXT(T283,"YYMM")</f>
        <v/>
      </c>
    </row>
    <row r="284" ht="17.25" customHeight="1" s="480">
      <c r="U284" s="583">
        <f>TEXT(Q284,"YYMM")</f>
        <v/>
      </c>
      <c r="V284" s="584">
        <f>TEXT(T284,"YYMM")</f>
        <v/>
      </c>
    </row>
    <row r="285" ht="17.25" customHeight="1" s="480">
      <c r="U285" s="583">
        <f>TEXT(Q285,"YYMM")</f>
        <v/>
      </c>
      <c r="V285" s="584">
        <f>TEXT(T285,"YYMM")</f>
        <v/>
      </c>
    </row>
    <row r="286" ht="17.25" customHeight="1" s="480">
      <c r="U286" s="583">
        <f>TEXT(Q286,"YYMM")</f>
        <v/>
      </c>
      <c r="V286" s="584">
        <f>TEXT(T286,"YYMM")</f>
        <v/>
      </c>
    </row>
    <row r="287">
      <c r="U287" s="583">
        <f>TEXT(Q287,"YYMM")</f>
        <v/>
      </c>
      <c r="V287" s="584">
        <f>TEXT(T287,"YYMM")</f>
        <v/>
      </c>
    </row>
    <row r="288">
      <c r="U288" s="583">
        <f>TEXT(Q288,"YYMM")</f>
        <v/>
      </c>
      <c r="V288" s="584">
        <f>TEXT(T288,"YYMM")</f>
        <v/>
      </c>
    </row>
    <row r="289">
      <c r="U289" s="583">
        <f>TEXT(Q289,"YYMM")</f>
        <v/>
      </c>
      <c r="V289" s="584">
        <f>TEXT(T289,"YYMM")</f>
        <v/>
      </c>
    </row>
    <row r="290">
      <c r="U290" s="583">
        <f>TEXT(Q290,"YYMM")</f>
        <v/>
      </c>
      <c r="V290" s="584">
        <f>TEXT(T290,"YYMM")</f>
        <v/>
      </c>
    </row>
    <row r="291">
      <c r="U291" s="583">
        <f>TEXT(Q291,"YYMM")</f>
        <v/>
      </c>
      <c r="V291" s="584">
        <f>TEXT(T291,"YYMM")</f>
        <v/>
      </c>
    </row>
    <row r="292">
      <c r="U292" s="583">
        <f>TEXT(Q292,"YYMM")</f>
        <v/>
      </c>
      <c r="V292" s="584">
        <f>TEXT(T292,"YYMM")</f>
        <v/>
      </c>
    </row>
    <row r="293">
      <c r="U293" s="583">
        <f>TEXT(Q293,"YYMM")</f>
        <v/>
      </c>
      <c r="V293" s="584">
        <f>TEXT(T293,"YYMM")</f>
        <v/>
      </c>
    </row>
    <row r="294">
      <c r="U294" s="583">
        <f>TEXT(Q294,"YYMM")</f>
        <v/>
      </c>
      <c r="V294" s="584">
        <f>TEXT(T294,"YYMM")</f>
        <v/>
      </c>
    </row>
    <row r="295">
      <c r="U295" s="583">
        <f>TEXT(Q295,"YYMM")</f>
        <v/>
      </c>
      <c r="V295" s="584">
        <f>TEXT(T295,"YYMM")</f>
        <v/>
      </c>
    </row>
    <row r="296">
      <c r="U296" s="583">
        <f>TEXT(Q296,"YYMM")</f>
        <v/>
      </c>
      <c r="V296" s="584">
        <f>TEXT(T296,"YYMM")</f>
        <v/>
      </c>
    </row>
    <row r="297">
      <c r="U297" s="583">
        <f>TEXT(Q297,"YYMM")</f>
        <v/>
      </c>
      <c r="V297" s="584">
        <f>TEXT(T297,"YYMM")</f>
        <v/>
      </c>
    </row>
    <row r="298">
      <c r="U298" s="583">
        <f>TEXT(Q298,"YYMM")</f>
        <v/>
      </c>
      <c r="V298" s="584">
        <f>TEXT(T298,"YYMM")</f>
        <v/>
      </c>
    </row>
    <row r="299">
      <c r="U299" s="583">
        <f>TEXT(Q299,"YYMM")</f>
        <v/>
      </c>
      <c r="V299" s="584">
        <f>TEXT(T299,"YYMM")</f>
        <v/>
      </c>
    </row>
    <row r="300">
      <c r="U300" s="583">
        <f>TEXT(Q300,"YYMM")</f>
        <v/>
      </c>
      <c r="V300" s="584">
        <f>TEXT(T300,"YYMM")</f>
        <v/>
      </c>
    </row>
    <row r="301">
      <c r="U301" s="583">
        <f>TEXT(Q301,"YYMM")</f>
        <v/>
      </c>
      <c r="V301" s="584">
        <f>TEXT(T301,"YYMM")</f>
        <v/>
      </c>
    </row>
    <row r="302">
      <c r="U302" s="583">
        <f>TEXT(Q302,"YYMM")</f>
        <v/>
      </c>
      <c r="V302" s="584">
        <f>TEXT(T302,"YYMM")</f>
        <v/>
      </c>
    </row>
    <row r="303">
      <c r="U303" s="583">
        <f>TEXT(Q303,"YYMM")</f>
        <v/>
      </c>
      <c r="V303" s="584">
        <f>TEXT(T303,"YYMM")</f>
        <v/>
      </c>
    </row>
    <row r="304">
      <c r="U304" s="583">
        <f>TEXT(Q304,"YYMM")</f>
        <v/>
      </c>
      <c r="V304" s="584">
        <f>TEXT(T304,"YYMM")</f>
        <v/>
      </c>
    </row>
    <row r="305">
      <c r="U305" s="583">
        <f>TEXT(Q305,"YYMM")</f>
        <v/>
      </c>
      <c r="V305" s="584">
        <f>TEXT(T305,"YYMM")</f>
        <v/>
      </c>
    </row>
    <row r="306">
      <c r="U306" s="583">
        <f>TEXT(Q306,"YYMM")</f>
        <v/>
      </c>
      <c r="V306" s="584">
        <f>TEXT(T306,"YYMM")</f>
        <v/>
      </c>
    </row>
    <row r="307">
      <c r="U307" s="583">
        <f>TEXT(Q307,"YYMM")</f>
        <v/>
      </c>
      <c r="V307" s="584">
        <f>TEXT(T307,"YYMM")</f>
        <v/>
      </c>
    </row>
    <row r="308">
      <c r="U308" s="583">
        <f>TEXT(Q308,"YYMM")</f>
        <v/>
      </c>
      <c r="V308" s="584">
        <f>TEXT(T308,"YYMM")</f>
        <v/>
      </c>
    </row>
    <row r="309">
      <c r="U309" s="583">
        <f>TEXT(Q309,"YYMM")</f>
        <v/>
      </c>
      <c r="V309" s="584">
        <f>TEXT(T309,"YYMM")</f>
        <v/>
      </c>
    </row>
    <row r="310">
      <c r="U310" s="583">
        <f>TEXT(Q310,"YYMM")</f>
        <v/>
      </c>
      <c r="V310" s="584">
        <f>TEXT(T310,"YYMM")</f>
        <v/>
      </c>
    </row>
    <row r="311">
      <c r="U311" s="583">
        <f>TEXT(Q311,"YYMM")</f>
        <v/>
      </c>
      <c r="V311" s="584">
        <f>TEXT(T311,"YYMM")</f>
        <v/>
      </c>
    </row>
    <row r="312">
      <c r="U312" s="583">
        <f>TEXT(Q312,"YYMM")</f>
        <v/>
      </c>
      <c r="V312" s="584">
        <f>TEXT(T312,"YYMM")</f>
        <v/>
      </c>
    </row>
    <row r="313">
      <c r="U313" s="583">
        <f>TEXT(Q313,"YYMM")</f>
        <v/>
      </c>
      <c r="V313" s="584">
        <f>TEXT(T313,"YYMM")</f>
        <v/>
      </c>
    </row>
    <row r="314">
      <c r="U314" s="583">
        <f>TEXT(Q314,"YYMM")</f>
        <v/>
      </c>
      <c r="V314" s="584">
        <f>TEXT(T314,"YYMM")</f>
        <v/>
      </c>
    </row>
    <row r="315">
      <c r="U315" s="583">
        <f>TEXT(Q315,"YYMM")</f>
        <v/>
      </c>
      <c r="V315" s="584">
        <f>TEXT(T315,"YYMM")</f>
        <v/>
      </c>
    </row>
    <row r="316">
      <c r="U316" s="583">
        <f>TEXT(Q316,"YYMM")</f>
        <v/>
      </c>
      <c r="V316" s="584">
        <f>TEXT(T316,"YYMM")</f>
        <v/>
      </c>
    </row>
    <row r="317">
      <c r="U317" s="583">
        <f>TEXT(Q317,"YYMM")</f>
        <v/>
      </c>
      <c r="V317" s="584">
        <f>TEXT(T317,"YYMM")</f>
        <v/>
      </c>
    </row>
    <row r="318">
      <c r="U318" s="583">
        <f>TEXT(Q318,"YYMM")</f>
        <v/>
      </c>
      <c r="V318" s="584">
        <f>TEXT(T318,"YYMM")</f>
        <v/>
      </c>
    </row>
    <row r="319">
      <c r="U319" s="583">
        <f>TEXT(Q319,"YYMM")</f>
        <v/>
      </c>
      <c r="V319" s="584">
        <f>TEXT(T319,"YYMM")</f>
        <v/>
      </c>
    </row>
    <row r="320">
      <c r="U320" s="583">
        <f>TEXT(Q320,"YYMM")</f>
        <v/>
      </c>
      <c r="V320" s="584">
        <f>TEXT(T320,"YYMM")</f>
        <v/>
      </c>
    </row>
    <row r="321">
      <c r="U321" s="583">
        <f>TEXT(Q321,"YYMM")</f>
        <v/>
      </c>
      <c r="V321" s="584">
        <f>TEXT(T321,"YYMM")</f>
        <v/>
      </c>
    </row>
    <row r="322">
      <c r="U322" s="583">
        <f>TEXT(Q322,"YYMM")</f>
        <v/>
      </c>
      <c r="V322" s="584">
        <f>TEXT(T322,"YYMM")</f>
        <v/>
      </c>
    </row>
    <row r="323">
      <c r="U323" s="583">
        <f>TEXT(Q323,"YYMM")</f>
        <v/>
      </c>
      <c r="V323" s="584">
        <f>TEXT(T323,"YYMM")</f>
        <v/>
      </c>
    </row>
    <row r="324">
      <c r="U324" s="583">
        <f>TEXT(Q324,"YYMM")</f>
        <v/>
      </c>
      <c r="V324" s="584">
        <f>TEXT(T324,"YYMM")</f>
        <v/>
      </c>
    </row>
    <row r="325">
      <c r="U325" s="583">
        <f>TEXT(Q325,"YYMM")</f>
        <v/>
      </c>
      <c r="V325" s="584">
        <f>TEXT(T325,"YYMM")</f>
        <v/>
      </c>
    </row>
    <row r="326">
      <c r="U326" s="583">
        <f>TEXT(Q326,"YYMM")</f>
        <v/>
      </c>
      <c r="V326" s="584">
        <f>TEXT(T326,"YYMM")</f>
        <v/>
      </c>
    </row>
    <row r="327">
      <c r="U327" s="583">
        <f>TEXT(Q327,"YYMM")</f>
        <v/>
      </c>
      <c r="V327" s="584">
        <f>TEXT(T327,"YYMM")</f>
        <v/>
      </c>
    </row>
    <row r="328">
      <c r="U328" s="583">
        <f>TEXT(Q328,"YYMM")</f>
        <v/>
      </c>
      <c r="V328" s="584">
        <f>TEXT(T328,"YYMM")</f>
        <v/>
      </c>
    </row>
    <row r="329">
      <c r="U329" s="583">
        <f>TEXT(Q329,"YYMM")</f>
        <v/>
      </c>
      <c r="V329" s="584">
        <f>TEXT(T329,"YYMM")</f>
        <v/>
      </c>
    </row>
    <row r="330">
      <c r="U330" s="583">
        <f>TEXT(Q330,"YYMM")</f>
        <v/>
      </c>
      <c r="V330" s="584">
        <f>TEXT(T330,"YYMM")</f>
        <v/>
      </c>
    </row>
    <row r="331">
      <c r="U331" s="583">
        <f>TEXT(Q331,"YYMM")</f>
        <v/>
      </c>
      <c r="V331" s="584">
        <f>TEXT(T331,"YYMM")</f>
        <v/>
      </c>
    </row>
    <row r="332">
      <c r="U332" s="583">
        <f>TEXT(Q332,"YYMM")</f>
        <v/>
      </c>
      <c r="V332" s="584">
        <f>TEXT(T332,"YYMM")</f>
        <v/>
      </c>
    </row>
    <row r="333">
      <c r="U333" s="583">
        <f>TEXT(Q333,"YYMM")</f>
        <v/>
      </c>
      <c r="V333" s="584">
        <f>TEXT(T333,"YYMM")</f>
        <v/>
      </c>
    </row>
    <row r="334">
      <c r="U334" s="583">
        <f>TEXT(Q334,"YYMM")</f>
        <v/>
      </c>
      <c r="V334" s="584">
        <f>TEXT(T334,"YYMM")</f>
        <v/>
      </c>
    </row>
    <row r="335">
      <c r="U335" s="583">
        <f>TEXT(Q335,"YYMM")</f>
        <v/>
      </c>
      <c r="V335" s="584">
        <f>TEXT(T335,"YYMM")</f>
        <v/>
      </c>
    </row>
    <row r="336">
      <c r="U336" s="583">
        <f>TEXT(Q336,"YYMM")</f>
        <v/>
      </c>
      <c r="V336" s="584">
        <f>TEXT(T336,"YYMM")</f>
        <v/>
      </c>
    </row>
    <row r="337">
      <c r="U337" s="583">
        <f>TEXT(Q337,"YYMM")</f>
        <v/>
      </c>
      <c r="V337" s="584">
        <f>TEXT(T337,"YYMM")</f>
        <v/>
      </c>
    </row>
    <row r="338">
      <c r="U338" s="583">
        <f>TEXT(Q338,"YYMM")</f>
        <v/>
      </c>
      <c r="V338" s="584">
        <f>TEXT(T338,"YYMM")</f>
        <v/>
      </c>
    </row>
    <row r="339">
      <c r="U339" s="583">
        <f>TEXT(Q339,"YYMM")</f>
        <v/>
      </c>
      <c r="V339" s="584">
        <f>TEXT(T339,"YYMM")</f>
        <v/>
      </c>
    </row>
    <row r="340">
      <c r="U340" s="583">
        <f>TEXT(Q340,"YYMM")</f>
        <v/>
      </c>
      <c r="V340" s="584">
        <f>TEXT(T340,"YYMM")</f>
        <v/>
      </c>
    </row>
    <row r="341">
      <c r="U341" s="583">
        <f>TEXT(Q341,"YYMM")</f>
        <v/>
      </c>
      <c r="V341" s="584">
        <f>TEXT(T341,"YYMM")</f>
        <v/>
      </c>
    </row>
    <row r="342">
      <c r="U342" s="583">
        <f>TEXT(Q342,"YYMM")</f>
        <v/>
      </c>
      <c r="V342" s="584">
        <f>TEXT(T342,"YYMM")</f>
        <v/>
      </c>
    </row>
    <row r="343">
      <c r="U343" s="583">
        <f>TEXT(Q343,"YYMM")</f>
        <v/>
      </c>
      <c r="V343" s="584">
        <f>TEXT(T343,"YYMM")</f>
        <v/>
      </c>
    </row>
    <row r="344">
      <c r="U344" s="583">
        <f>TEXT(Q344,"YYMM")</f>
        <v/>
      </c>
      <c r="V344" s="584">
        <f>TEXT(T344,"YYMM")</f>
        <v/>
      </c>
    </row>
    <row r="345">
      <c r="U345" s="583">
        <f>TEXT(Q345,"YYMM")</f>
        <v/>
      </c>
      <c r="V345" s="584">
        <f>TEXT(T345,"YYMM")</f>
        <v/>
      </c>
    </row>
    <row r="346">
      <c r="U346" s="583">
        <f>TEXT(Q346,"YYMM")</f>
        <v/>
      </c>
      <c r="V346" s="584">
        <f>TEXT(T346,"YYMM")</f>
        <v/>
      </c>
    </row>
    <row r="347">
      <c r="U347" s="583">
        <f>TEXT(Q347,"YYMM")</f>
        <v/>
      </c>
      <c r="V347" s="584">
        <f>TEXT(T347,"YYMM")</f>
        <v/>
      </c>
    </row>
    <row r="348">
      <c r="U348" s="583">
        <f>TEXT(Q348,"YYMM")</f>
        <v/>
      </c>
      <c r="V348" s="584">
        <f>TEXT(T348,"YYMM")</f>
        <v/>
      </c>
    </row>
    <row r="349">
      <c r="U349" s="583">
        <f>TEXT(Q349,"YYMM")</f>
        <v/>
      </c>
      <c r="V349" s="584">
        <f>TEXT(T349,"YYMM")</f>
        <v/>
      </c>
    </row>
    <row r="350">
      <c r="U350" s="583">
        <f>TEXT(Q350,"YYMM")</f>
        <v/>
      </c>
      <c r="V350" s="584">
        <f>TEXT(T350,"YYMM")</f>
        <v/>
      </c>
    </row>
    <row r="351">
      <c r="U351" s="583">
        <f>TEXT(Q351,"YYMM")</f>
        <v/>
      </c>
      <c r="V351" s="584">
        <f>TEXT(T351,"YYMM")</f>
        <v/>
      </c>
    </row>
    <row r="352">
      <c r="U352" s="583">
        <f>TEXT(Q352,"YYMM")</f>
        <v/>
      </c>
      <c r="V352" s="584">
        <f>TEXT(T352,"YYMM")</f>
        <v/>
      </c>
    </row>
    <row r="353">
      <c r="U353" s="583">
        <f>TEXT(Q353,"YYMM")</f>
        <v/>
      </c>
      <c r="V353" s="584">
        <f>TEXT(T353,"YYMM")</f>
        <v/>
      </c>
    </row>
    <row r="354">
      <c r="U354" s="583">
        <f>TEXT(Q354,"YYMM")</f>
        <v/>
      </c>
      <c r="V354" s="584">
        <f>TEXT(T354,"YYMM")</f>
        <v/>
      </c>
    </row>
    <row r="355">
      <c r="U355" s="583">
        <f>TEXT(Q355,"YYMM")</f>
        <v/>
      </c>
      <c r="V355" s="584">
        <f>TEXT(T355,"YYMM")</f>
        <v/>
      </c>
    </row>
    <row r="356">
      <c r="U356" s="583">
        <f>TEXT(Q356,"YYMM")</f>
        <v/>
      </c>
      <c r="V356" s="584">
        <f>TEXT(T356,"YYMM")</f>
        <v/>
      </c>
    </row>
    <row r="357">
      <c r="U357" s="583">
        <f>TEXT(Q357,"YYMM")</f>
        <v/>
      </c>
      <c r="V357" s="584">
        <f>TEXT(T357,"YYMM")</f>
        <v/>
      </c>
    </row>
    <row r="358">
      <c r="U358" s="583">
        <f>TEXT(Q358,"YYMM")</f>
        <v/>
      </c>
      <c r="V358" s="584">
        <f>TEXT(T358,"YYMM")</f>
        <v/>
      </c>
    </row>
    <row r="359">
      <c r="U359" s="583">
        <f>TEXT(Q359,"YYMM")</f>
        <v/>
      </c>
      <c r="V359" s="584">
        <f>TEXT(T359,"YYMM")</f>
        <v/>
      </c>
    </row>
    <row r="360">
      <c r="U360" s="583">
        <f>TEXT(Q360,"YYMM")</f>
        <v/>
      </c>
      <c r="V360" s="584">
        <f>TEXT(T360,"YYMM")</f>
        <v/>
      </c>
    </row>
    <row r="361">
      <c r="U361" s="583">
        <f>TEXT(Q361,"YYMM")</f>
        <v/>
      </c>
      <c r="V361" s="584">
        <f>TEXT(T361,"YYMM")</f>
        <v/>
      </c>
    </row>
    <row r="362">
      <c r="U362" s="583">
        <f>TEXT(Q362,"YYMM")</f>
        <v/>
      </c>
      <c r="V362" s="584">
        <f>TEXT(T362,"YYMM")</f>
        <v/>
      </c>
    </row>
    <row r="363">
      <c r="U363" s="583">
        <f>TEXT(Q363,"YYMM")</f>
        <v/>
      </c>
      <c r="V363" s="584">
        <f>TEXT(T363,"YYMM")</f>
        <v/>
      </c>
    </row>
    <row r="364">
      <c r="U364" s="583">
        <f>TEXT(Q364,"YYMM")</f>
        <v/>
      </c>
      <c r="V364" s="584">
        <f>TEXT(T364,"YYMM")</f>
        <v/>
      </c>
    </row>
    <row r="365">
      <c r="U365" s="583">
        <f>TEXT(Q365,"YYMM")</f>
        <v/>
      </c>
      <c r="V365" s="584">
        <f>TEXT(T365,"YYMM")</f>
        <v/>
      </c>
    </row>
    <row r="366">
      <c r="U366" s="583">
        <f>TEXT(Q366,"YYMM")</f>
        <v/>
      </c>
      <c r="V366" s="584">
        <f>TEXT(T366,"YYMM")</f>
        <v/>
      </c>
    </row>
    <row r="367">
      <c r="U367" s="583">
        <f>TEXT(Q367,"YYMM")</f>
        <v/>
      </c>
      <c r="V367" s="584">
        <f>TEXT(T367,"YYMM")</f>
        <v/>
      </c>
    </row>
    <row r="368">
      <c r="U368" s="583">
        <f>TEXT(Q368,"YYMM")</f>
        <v/>
      </c>
      <c r="V368" s="584">
        <f>TEXT(T368,"YYMM")</f>
        <v/>
      </c>
    </row>
    <row r="369">
      <c r="U369" s="583">
        <f>TEXT(Q369,"YYMM")</f>
        <v/>
      </c>
      <c r="V369" s="584">
        <f>TEXT(T369,"YYMM")</f>
        <v/>
      </c>
    </row>
    <row r="370">
      <c r="U370" s="583">
        <f>TEXT(Q370,"YYMM")</f>
        <v/>
      </c>
      <c r="V370" s="584">
        <f>TEXT(T370,"YYMM")</f>
        <v/>
      </c>
    </row>
    <row r="371">
      <c r="U371" s="583">
        <f>TEXT(Q371,"YYMM")</f>
        <v/>
      </c>
      <c r="V371" s="584">
        <f>TEXT(T371,"YYMM")</f>
        <v/>
      </c>
    </row>
    <row r="372">
      <c r="U372" s="583">
        <f>TEXT(Q372,"YYMM")</f>
        <v/>
      </c>
      <c r="V372" s="584">
        <f>TEXT(T372,"YYMM")</f>
        <v/>
      </c>
    </row>
    <row r="373">
      <c r="U373" s="583">
        <f>TEXT(Q373,"YYMM")</f>
        <v/>
      </c>
      <c r="V373" s="584">
        <f>TEXT(T373,"YYMM")</f>
        <v/>
      </c>
    </row>
    <row r="374">
      <c r="U374" s="583">
        <f>TEXT(Q374,"YYMM")</f>
        <v/>
      </c>
      <c r="V374" s="584">
        <f>TEXT(T374,"YYMM")</f>
        <v/>
      </c>
    </row>
    <row r="375">
      <c r="U375" s="583">
        <f>TEXT(Q375,"YYMM")</f>
        <v/>
      </c>
      <c r="V375" s="584">
        <f>TEXT(T375,"YYMM")</f>
        <v/>
      </c>
    </row>
    <row r="376">
      <c r="U376" s="583">
        <f>TEXT(Q376,"YYMM")</f>
        <v/>
      </c>
      <c r="V376" s="584">
        <f>TEXT(T376,"YYMM")</f>
        <v/>
      </c>
    </row>
    <row r="377">
      <c r="U377" s="583">
        <f>TEXT(Q377,"YYMM")</f>
        <v/>
      </c>
      <c r="V377" s="584">
        <f>TEXT(T377,"YYMM")</f>
        <v/>
      </c>
    </row>
    <row r="378">
      <c r="U378" s="583">
        <f>TEXT(Q378,"YYMM")</f>
        <v/>
      </c>
      <c r="V378" s="584">
        <f>TEXT(T378,"YYMM")</f>
        <v/>
      </c>
    </row>
    <row r="379">
      <c r="U379" s="583">
        <f>TEXT(Q379,"YYMM")</f>
        <v/>
      </c>
      <c r="V379" s="584">
        <f>TEXT(T379,"YYMM")</f>
        <v/>
      </c>
    </row>
    <row r="380">
      <c r="U380" s="583">
        <f>TEXT(Q380,"YYMM")</f>
        <v/>
      </c>
      <c r="V380" s="584">
        <f>TEXT(T380,"YYMM")</f>
        <v/>
      </c>
    </row>
    <row r="381">
      <c r="U381" s="583">
        <f>TEXT(Q381,"YYMM")</f>
        <v/>
      </c>
      <c r="V381" s="584">
        <f>TEXT(T381,"YYMM")</f>
        <v/>
      </c>
    </row>
    <row r="382">
      <c r="U382" s="583">
        <f>TEXT(Q382,"YYMM")</f>
        <v/>
      </c>
      <c r="V382" s="584">
        <f>TEXT(T382,"YYMM")</f>
        <v/>
      </c>
    </row>
    <row r="383">
      <c r="U383" s="583">
        <f>TEXT(Q383,"YYMM")</f>
        <v/>
      </c>
      <c r="V383" s="584">
        <f>TEXT(T383,"YYMM")</f>
        <v/>
      </c>
    </row>
    <row r="384">
      <c r="U384" s="583">
        <f>TEXT(Q384,"YYMM")</f>
        <v/>
      </c>
      <c r="V384" s="584">
        <f>TEXT(T384,"YYMM")</f>
        <v/>
      </c>
    </row>
    <row r="385">
      <c r="U385" s="583">
        <f>TEXT(Q385,"YYMM")</f>
        <v/>
      </c>
      <c r="V385" s="584">
        <f>TEXT(T385,"YYMM")</f>
        <v/>
      </c>
    </row>
    <row r="386">
      <c r="U386" s="583">
        <f>TEXT(Q386,"YYMM")</f>
        <v/>
      </c>
      <c r="V386" s="584">
        <f>TEXT(T386,"YYMM")</f>
        <v/>
      </c>
    </row>
    <row r="387">
      <c r="U387" s="583">
        <f>TEXT(Q387,"YYMM")</f>
        <v/>
      </c>
      <c r="V387" s="584">
        <f>TEXT(T387,"YYMM")</f>
        <v/>
      </c>
    </row>
    <row r="388">
      <c r="U388" s="583">
        <f>TEXT(Q388,"YYMM")</f>
        <v/>
      </c>
      <c r="V388" s="584">
        <f>TEXT(T388,"YYMM")</f>
        <v/>
      </c>
    </row>
    <row r="389">
      <c r="U389" s="583">
        <f>TEXT(Q389,"YYMM")</f>
        <v/>
      </c>
      <c r="V389" s="584">
        <f>TEXT(T389,"YYMM")</f>
        <v/>
      </c>
    </row>
    <row r="390">
      <c r="U390" s="583">
        <f>TEXT(Q390,"YYMM")</f>
        <v/>
      </c>
      <c r="V390" s="584">
        <f>TEXT(T390,"YYMM")</f>
        <v/>
      </c>
    </row>
    <row r="391">
      <c r="U391" s="583">
        <f>TEXT(Q391,"YYMM")</f>
        <v/>
      </c>
      <c r="V391" s="584">
        <f>TEXT(T391,"YYMM")</f>
        <v/>
      </c>
    </row>
    <row r="392">
      <c r="U392" s="583">
        <f>TEXT(Q392,"YYMM")</f>
        <v/>
      </c>
      <c r="V392" s="584">
        <f>TEXT(T392,"YYMM")</f>
        <v/>
      </c>
    </row>
    <row r="393">
      <c r="U393" s="583">
        <f>TEXT(Q393,"YYMM")</f>
        <v/>
      </c>
      <c r="V393" s="584">
        <f>TEXT(T393,"YYMM")</f>
        <v/>
      </c>
    </row>
    <row r="394">
      <c r="U394" s="583">
        <f>TEXT(Q394,"YYMM")</f>
        <v/>
      </c>
      <c r="V394" s="584">
        <f>TEXT(T394,"YYMM")</f>
        <v/>
      </c>
    </row>
    <row r="395">
      <c r="U395" s="583">
        <f>TEXT(Q395,"YYMM")</f>
        <v/>
      </c>
      <c r="V395" s="584">
        <f>TEXT(T395,"YYMM")</f>
        <v/>
      </c>
    </row>
    <row r="396">
      <c r="U396" s="583">
        <f>TEXT(Q396,"YYMM")</f>
        <v/>
      </c>
      <c r="V396" s="584">
        <f>TEXT(T396,"YYMM")</f>
        <v/>
      </c>
    </row>
    <row r="397">
      <c r="U397" s="583">
        <f>TEXT(Q397,"YYMM")</f>
        <v/>
      </c>
      <c r="V397" s="584">
        <f>TEXT(T397,"YYMM")</f>
        <v/>
      </c>
    </row>
    <row r="398">
      <c r="U398" s="583">
        <f>TEXT(Q398,"YYMM")</f>
        <v/>
      </c>
      <c r="V398" s="584">
        <f>TEXT(T398,"YYMM")</f>
        <v/>
      </c>
    </row>
    <row r="399">
      <c r="U399" s="583">
        <f>TEXT(Q399,"YYMM")</f>
        <v/>
      </c>
      <c r="V399" s="584">
        <f>TEXT(T399,"YYMM")</f>
        <v/>
      </c>
    </row>
    <row r="400">
      <c r="U400" s="583">
        <f>TEXT(Q400,"YYMM")</f>
        <v/>
      </c>
      <c r="V400" s="584">
        <f>TEXT(T400,"YYMM")</f>
        <v/>
      </c>
    </row>
    <row r="401">
      <c r="U401" s="583">
        <f>TEXT(Q401,"YYMM")</f>
        <v/>
      </c>
      <c r="V401" s="584">
        <f>TEXT(T401,"YYMM")</f>
        <v/>
      </c>
    </row>
    <row r="402">
      <c r="U402" s="583">
        <f>TEXT(Q402,"YYMM")</f>
        <v/>
      </c>
      <c r="V402" s="584">
        <f>TEXT(T402,"YYMM")</f>
        <v/>
      </c>
    </row>
    <row r="403">
      <c r="U403" s="583">
        <f>TEXT(Q403,"YYMM")</f>
        <v/>
      </c>
      <c r="V403" s="584">
        <f>TEXT(T403,"YYMM")</f>
        <v/>
      </c>
    </row>
    <row r="404">
      <c r="U404" s="583">
        <f>TEXT(Q404,"YYMM")</f>
        <v/>
      </c>
      <c r="V404" s="584">
        <f>TEXT(T404,"YYMM")</f>
        <v/>
      </c>
    </row>
    <row r="405">
      <c r="U405" s="583">
        <f>TEXT(Q405,"YYMM")</f>
        <v/>
      </c>
      <c r="V405" s="584">
        <f>TEXT(T405,"YYMM")</f>
        <v/>
      </c>
    </row>
    <row r="406">
      <c r="U406" s="583">
        <f>TEXT(Q406,"YYMM")</f>
        <v/>
      </c>
      <c r="V406" s="584">
        <f>TEXT(T406,"YYMM")</f>
        <v/>
      </c>
    </row>
    <row r="407">
      <c r="U407" s="583">
        <f>TEXT(Q407,"YYMM")</f>
        <v/>
      </c>
      <c r="V407" s="584">
        <f>TEXT(T407,"YYMM")</f>
        <v/>
      </c>
    </row>
    <row r="408">
      <c r="U408" s="583">
        <f>TEXT(Q408,"YYMM")</f>
        <v/>
      </c>
      <c r="V408" s="584">
        <f>TEXT(T408,"YYMM")</f>
        <v/>
      </c>
    </row>
    <row r="409">
      <c r="U409" s="583">
        <f>TEXT(Q409,"YYMM")</f>
        <v/>
      </c>
      <c r="V409" s="584">
        <f>TEXT(T409,"YYMM")</f>
        <v/>
      </c>
    </row>
    <row r="410">
      <c r="U410" s="583">
        <f>TEXT(Q410,"YYMM")</f>
        <v/>
      </c>
      <c r="V410" s="584">
        <f>TEXT(T410,"YYMM")</f>
        <v/>
      </c>
    </row>
    <row r="411">
      <c r="U411" s="583">
        <f>TEXT(Q411,"YYMM")</f>
        <v/>
      </c>
      <c r="V411" s="584">
        <f>TEXT(T411,"YYMM")</f>
        <v/>
      </c>
    </row>
    <row r="412">
      <c r="U412" s="583">
        <f>TEXT(Q412,"YYMM")</f>
        <v/>
      </c>
      <c r="V412" s="584">
        <f>TEXT(T412,"YYMM")</f>
        <v/>
      </c>
    </row>
    <row r="413">
      <c r="U413" s="583">
        <f>TEXT(Q413,"YYMM")</f>
        <v/>
      </c>
      <c r="V413" s="584">
        <f>TEXT(T413,"YYMM")</f>
        <v/>
      </c>
    </row>
    <row r="414">
      <c r="U414" s="583">
        <f>TEXT(Q414,"YYMM")</f>
        <v/>
      </c>
      <c r="V414" s="584">
        <f>TEXT(T414,"YYMM")</f>
        <v/>
      </c>
    </row>
    <row r="415">
      <c r="U415" s="583">
        <f>TEXT(Q415,"YYMM")</f>
        <v/>
      </c>
      <c r="V415" s="584">
        <f>TEXT(T415,"YYMM")</f>
        <v/>
      </c>
    </row>
    <row r="416">
      <c r="U416" s="583">
        <f>TEXT(Q416,"YYMM")</f>
        <v/>
      </c>
      <c r="V416" s="584">
        <f>TEXT(T416,"YYMM")</f>
        <v/>
      </c>
    </row>
    <row r="417">
      <c r="U417" s="583">
        <f>TEXT(Q417,"YYMM")</f>
        <v/>
      </c>
      <c r="V417" s="584">
        <f>TEXT(T417,"YYMM")</f>
        <v/>
      </c>
    </row>
    <row r="418">
      <c r="U418" s="583">
        <f>TEXT(Q418,"YYMM")</f>
        <v/>
      </c>
      <c r="V418" s="584">
        <f>TEXT(T418,"YYMM")</f>
        <v/>
      </c>
    </row>
    <row r="419">
      <c r="U419" s="583">
        <f>TEXT(Q419,"YYMM")</f>
        <v/>
      </c>
      <c r="V419" s="584">
        <f>TEXT(T419,"YYMM")</f>
        <v/>
      </c>
    </row>
    <row r="420">
      <c r="U420" s="583">
        <f>TEXT(Q420,"YYMM")</f>
        <v/>
      </c>
      <c r="V420" s="584">
        <f>TEXT(T420,"YYMM")</f>
        <v/>
      </c>
    </row>
    <row r="421">
      <c r="U421" s="583">
        <f>TEXT(Q421,"YYMM")</f>
        <v/>
      </c>
      <c r="V421" s="584">
        <f>TEXT(T421,"YYMM")</f>
        <v/>
      </c>
    </row>
    <row r="422">
      <c r="U422" s="583">
        <f>TEXT(Q422,"YYMM")</f>
        <v/>
      </c>
      <c r="V422" s="584">
        <f>TEXT(T422,"YYMM")</f>
        <v/>
      </c>
    </row>
    <row r="423">
      <c r="U423" s="583">
        <f>TEXT(Q423,"YYMM")</f>
        <v/>
      </c>
      <c r="V423" s="584">
        <f>TEXT(T423,"YYMM")</f>
        <v/>
      </c>
    </row>
    <row r="424">
      <c r="U424" s="583">
        <f>TEXT(Q424,"YYMM")</f>
        <v/>
      </c>
      <c r="V424" s="584">
        <f>TEXT(T424,"YYMM")</f>
        <v/>
      </c>
    </row>
    <row r="425">
      <c r="U425" s="583">
        <f>TEXT(Q425,"YYMM")</f>
        <v/>
      </c>
      <c r="V425" s="584">
        <f>TEXT(T425,"YYMM")</f>
        <v/>
      </c>
    </row>
    <row r="426">
      <c r="U426" s="583">
        <f>TEXT(Q426,"YYMM")</f>
        <v/>
      </c>
      <c r="V426" s="584">
        <f>TEXT(T426,"YYMM")</f>
        <v/>
      </c>
    </row>
    <row r="427">
      <c r="U427" s="583">
        <f>TEXT(Q427,"YYMM")</f>
        <v/>
      </c>
      <c r="V427" s="584">
        <f>TEXT(T427,"YYMM")</f>
        <v/>
      </c>
    </row>
    <row r="428">
      <c r="U428" s="583">
        <f>TEXT(Q428,"YYMM")</f>
        <v/>
      </c>
      <c r="V428" s="584">
        <f>TEXT(T428,"YYMM")</f>
        <v/>
      </c>
    </row>
    <row r="429">
      <c r="U429" s="583">
        <f>TEXT(Q429,"YYMM")</f>
        <v/>
      </c>
      <c r="V429" s="584">
        <f>TEXT(T429,"YYMM")</f>
        <v/>
      </c>
    </row>
    <row r="430">
      <c r="U430" s="583">
        <f>TEXT(Q430,"YYMM")</f>
        <v/>
      </c>
      <c r="V430" s="584">
        <f>TEXT(T430,"YYMM")</f>
        <v/>
      </c>
    </row>
    <row r="431">
      <c r="U431" s="583">
        <f>TEXT(Q431,"YYMM")</f>
        <v/>
      </c>
      <c r="V431" s="584">
        <f>TEXT(T431,"YYMM")</f>
        <v/>
      </c>
    </row>
    <row r="432">
      <c r="U432" s="583">
        <f>TEXT(Q432,"YYMM")</f>
        <v/>
      </c>
      <c r="V432" s="584">
        <f>TEXT(T432,"YYMM")</f>
        <v/>
      </c>
    </row>
    <row r="433">
      <c r="U433" s="583">
        <f>TEXT(Q433,"YYMM")</f>
        <v/>
      </c>
      <c r="V433" s="584">
        <f>TEXT(T433,"YYMM")</f>
        <v/>
      </c>
    </row>
    <row r="434">
      <c r="U434" s="583">
        <f>TEXT(Q434,"YYMM")</f>
        <v/>
      </c>
      <c r="V434" s="584">
        <f>TEXT(T434,"YYMM")</f>
        <v/>
      </c>
    </row>
    <row r="435">
      <c r="U435" s="583">
        <f>TEXT(Q435,"YYMM")</f>
        <v/>
      </c>
      <c r="V435" s="584">
        <f>TEXT(T435,"YYMM")</f>
        <v/>
      </c>
    </row>
    <row r="436">
      <c r="U436" s="583">
        <f>TEXT(Q436,"YYMM")</f>
        <v/>
      </c>
      <c r="V436" s="584">
        <f>TEXT(T436,"YYMM")</f>
        <v/>
      </c>
    </row>
    <row r="437">
      <c r="U437" s="583">
        <f>TEXT(Q437,"YYMM")</f>
        <v/>
      </c>
      <c r="V437" s="584">
        <f>TEXT(T437,"YYMM")</f>
        <v/>
      </c>
    </row>
    <row r="438">
      <c r="U438" s="583">
        <f>TEXT(Q438,"YYMM")</f>
        <v/>
      </c>
      <c r="V438" s="584">
        <f>TEXT(T438,"YYMM")</f>
        <v/>
      </c>
    </row>
    <row r="439">
      <c r="U439" s="583">
        <f>TEXT(Q439,"YYMM")</f>
        <v/>
      </c>
      <c r="V439" s="584">
        <f>TEXT(T439,"YYMM")</f>
        <v/>
      </c>
    </row>
    <row r="440">
      <c r="U440" s="583">
        <f>TEXT(Q440,"YYMM")</f>
        <v/>
      </c>
      <c r="V440" s="584">
        <f>TEXT(T440,"YYMM")</f>
        <v/>
      </c>
    </row>
    <row r="441">
      <c r="U441" s="583">
        <f>TEXT(Q441,"YYMM")</f>
        <v/>
      </c>
      <c r="V441" s="584">
        <f>TEXT(T441,"YYMM")</f>
        <v/>
      </c>
    </row>
    <row r="442">
      <c r="U442" s="583">
        <f>TEXT(Q442,"YYMM")</f>
        <v/>
      </c>
      <c r="V442" s="584">
        <f>TEXT(T442,"YYMM")</f>
        <v/>
      </c>
    </row>
    <row r="443">
      <c r="U443" s="583">
        <f>TEXT(Q443,"YYMM")</f>
        <v/>
      </c>
      <c r="V443" s="584">
        <f>TEXT(T443,"YYMM")</f>
        <v/>
      </c>
    </row>
    <row r="444">
      <c r="U444" s="583">
        <f>TEXT(Q444,"YYMM")</f>
        <v/>
      </c>
      <c r="V444" s="584">
        <f>TEXT(T444,"YYMM")</f>
        <v/>
      </c>
    </row>
    <row r="445">
      <c r="U445" s="583">
        <f>TEXT(Q445,"YYMM")</f>
        <v/>
      </c>
      <c r="V445" s="584">
        <f>TEXT(T445,"YYMM")</f>
        <v/>
      </c>
    </row>
    <row r="446">
      <c r="U446" s="583">
        <f>TEXT(Q446,"YYMM")</f>
        <v/>
      </c>
      <c r="V446" s="584">
        <f>TEXT(T446,"YYMM")</f>
        <v/>
      </c>
    </row>
    <row r="447">
      <c r="U447" s="583">
        <f>TEXT(Q447,"YYMM")</f>
        <v/>
      </c>
      <c r="V447" s="584">
        <f>TEXT(T447,"YYMM")</f>
        <v/>
      </c>
    </row>
    <row r="448">
      <c r="U448" s="583">
        <f>TEXT(Q448,"YYMM")</f>
        <v/>
      </c>
      <c r="V448" s="584">
        <f>TEXT(T448,"YYMM")</f>
        <v/>
      </c>
    </row>
    <row r="449">
      <c r="U449" s="583">
        <f>TEXT(Q449,"YYMM")</f>
        <v/>
      </c>
      <c r="V449" s="584">
        <f>TEXT(T449,"YYMM")</f>
        <v/>
      </c>
    </row>
    <row r="450">
      <c r="U450" s="583">
        <f>TEXT(Q450,"YYMM")</f>
        <v/>
      </c>
      <c r="V450" s="584">
        <f>TEXT(T450,"YYMM")</f>
        <v/>
      </c>
    </row>
    <row r="451">
      <c r="U451" s="583">
        <f>TEXT(Q451,"YYMM")</f>
        <v/>
      </c>
      <c r="V451" s="584">
        <f>TEXT(T451,"YYMM")</f>
        <v/>
      </c>
    </row>
    <row r="452">
      <c r="U452" s="583">
        <f>TEXT(Q452,"YYMM")</f>
        <v/>
      </c>
      <c r="V452" s="584">
        <f>TEXT(T452,"YYMM")</f>
        <v/>
      </c>
    </row>
    <row r="453">
      <c r="U453" s="583">
        <f>TEXT(Q453,"YYMM")</f>
        <v/>
      </c>
      <c r="V453" s="584">
        <f>TEXT(T453,"YYMM")</f>
        <v/>
      </c>
    </row>
    <row r="454">
      <c r="U454" s="583">
        <f>TEXT(Q454,"YYMM")</f>
        <v/>
      </c>
      <c r="V454" s="584">
        <f>TEXT(T454,"YYMM")</f>
        <v/>
      </c>
    </row>
    <row r="455">
      <c r="U455" s="583">
        <f>TEXT(Q455,"YYMM")</f>
        <v/>
      </c>
      <c r="V455" s="584">
        <f>TEXT(T455,"YYMM")</f>
        <v/>
      </c>
    </row>
    <row r="456">
      <c r="U456" s="583">
        <f>TEXT(Q456,"YYMM")</f>
        <v/>
      </c>
      <c r="V456" s="584">
        <f>TEXT(T456,"YYMM")</f>
        <v/>
      </c>
    </row>
    <row r="457">
      <c r="U457" s="583">
        <f>TEXT(Q457,"YYMM")</f>
        <v/>
      </c>
      <c r="V457" s="584">
        <f>TEXT(T457,"YYMM")</f>
        <v/>
      </c>
    </row>
    <row r="458">
      <c r="U458" s="583">
        <f>TEXT(Q458,"YYMM")</f>
        <v/>
      </c>
      <c r="V458" s="584">
        <f>TEXT(T458,"YYMM")</f>
        <v/>
      </c>
    </row>
    <row r="459">
      <c r="U459" s="583">
        <f>TEXT(Q459,"YYMM")</f>
        <v/>
      </c>
      <c r="V459" s="584">
        <f>TEXT(T459,"YYMM")</f>
        <v/>
      </c>
    </row>
    <row r="460">
      <c r="U460" s="583">
        <f>TEXT(Q460,"YYMM")</f>
        <v/>
      </c>
      <c r="V460" s="584">
        <f>TEXT(T460,"YYMM")</f>
        <v/>
      </c>
    </row>
    <row r="461">
      <c r="U461" s="583">
        <f>TEXT(Q461,"YYMM")</f>
        <v/>
      </c>
      <c r="V461" s="584">
        <f>TEXT(T461,"YYMM")</f>
        <v/>
      </c>
    </row>
    <row r="462">
      <c r="U462" s="583">
        <f>TEXT(Q462,"YYMM")</f>
        <v/>
      </c>
      <c r="V462" s="584">
        <f>TEXT(T462,"YYMM")</f>
        <v/>
      </c>
    </row>
    <row r="463">
      <c r="U463" s="583">
        <f>TEXT(Q463,"YYMM")</f>
        <v/>
      </c>
      <c r="V463" s="584">
        <f>TEXT(T463,"YYMM")</f>
        <v/>
      </c>
    </row>
    <row r="464">
      <c r="U464" s="583">
        <f>TEXT(Q464,"YYMM")</f>
        <v/>
      </c>
      <c r="V464" s="584">
        <f>TEXT(T464,"YYMM")</f>
        <v/>
      </c>
    </row>
    <row r="465">
      <c r="U465" s="583">
        <f>TEXT(Q465,"YYMM")</f>
        <v/>
      </c>
      <c r="V465" s="584">
        <f>TEXT(T465,"YYMM")</f>
        <v/>
      </c>
    </row>
    <row r="466">
      <c r="U466" s="583">
        <f>TEXT(Q466,"YYMM")</f>
        <v/>
      </c>
      <c r="V466" s="584">
        <f>TEXT(T466,"YYMM")</f>
        <v/>
      </c>
    </row>
    <row r="467">
      <c r="U467" s="583">
        <f>TEXT(Q467,"YYMM")</f>
        <v/>
      </c>
      <c r="V467" s="584">
        <f>TEXT(T467,"YYMM")</f>
        <v/>
      </c>
    </row>
    <row r="468">
      <c r="U468" s="583">
        <f>TEXT(Q468,"YYMM")</f>
        <v/>
      </c>
      <c r="V468" s="584">
        <f>TEXT(T468,"YYMM")</f>
        <v/>
      </c>
    </row>
    <row r="469">
      <c r="U469" s="583">
        <f>TEXT(Q469,"YYMM")</f>
        <v/>
      </c>
      <c r="V469" s="584">
        <f>TEXT(T469,"YYMM")</f>
        <v/>
      </c>
    </row>
    <row r="470">
      <c r="U470" s="583">
        <f>TEXT(Q470,"YYMM")</f>
        <v/>
      </c>
      <c r="V470" s="584">
        <f>TEXT(T470,"YYMM")</f>
        <v/>
      </c>
    </row>
    <row r="471">
      <c r="U471" s="583">
        <f>TEXT(Q471,"YYMM")</f>
        <v/>
      </c>
      <c r="V471" s="584">
        <f>TEXT(T471,"YYMM")</f>
        <v/>
      </c>
    </row>
    <row r="472">
      <c r="U472" s="583">
        <f>TEXT(Q472,"YYMM")</f>
        <v/>
      </c>
      <c r="V472" s="584">
        <f>TEXT(T472,"YYMM")</f>
        <v/>
      </c>
    </row>
    <row r="473">
      <c r="U473" s="583">
        <f>TEXT(Q473,"YYMM")</f>
        <v/>
      </c>
      <c r="V473" s="584">
        <f>TEXT(T473,"YYMM")</f>
        <v/>
      </c>
    </row>
    <row r="474">
      <c r="U474" s="583">
        <f>TEXT(Q474,"YYMM")</f>
        <v/>
      </c>
      <c r="V474" s="584">
        <f>TEXT(T474,"YYMM")</f>
        <v/>
      </c>
    </row>
    <row r="475">
      <c r="U475" s="583">
        <f>TEXT(Q475,"YYMM")</f>
        <v/>
      </c>
      <c r="V475" s="584">
        <f>TEXT(T475,"YYMM")</f>
        <v/>
      </c>
    </row>
    <row r="476">
      <c r="U476" s="583">
        <f>TEXT(Q476,"YYMM")</f>
        <v/>
      </c>
      <c r="V476" s="584">
        <f>TEXT(T476,"YYMM")</f>
        <v/>
      </c>
    </row>
    <row r="477">
      <c r="U477" s="583">
        <f>TEXT(Q477,"YYMM")</f>
        <v/>
      </c>
      <c r="V477" s="584">
        <f>TEXT(T477,"YYMM")</f>
        <v/>
      </c>
    </row>
    <row r="478">
      <c r="U478" s="583">
        <f>TEXT(Q478,"YYMM")</f>
        <v/>
      </c>
      <c r="V478" s="584">
        <f>TEXT(T478,"YYMM")</f>
        <v/>
      </c>
    </row>
    <row r="479">
      <c r="U479" s="583">
        <f>TEXT(Q479,"YYMM")</f>
        <v/>
      </c>
      <c r="V479" s="584">
        <f>TEXT(T479,"YYMM")</f>
        <v/>
      </c>
    </row>
    <row r="480">
      <c r="U480" s="583">
        <f>TEXT(Q480,"YYMM")</f>
        <v/>
      </c>
      <c r="V480" s="584">
        <f>TEXT(T480,"YYMM")</f>
        <v/>
      </c>
    </row>
    <row r="481">
      <c r="U481" s="583">
        <f>TEXT(Q481,"YYMM")</f>
        <v/>
      </c>
      <c r="V481" s="584">
        <f>TEXT(T481,"YYMM")</f>
        <v/>
      </c>
    </row>
    <row r="482">
      <c r="U482" s="583">
        <f>TEXT(Q482,"YYMM")</f>
        <v/>
      </c>
      <c r="V482" s="584">
        <f>TEXT(T482,"YYMM")</f>
        <v/>
      </c>
    </row>
    <row r="483">
      <c r="U483" s="583">
        <f>TEXT(Q483,"YYMM")</f>
        <v/>
      </c>
      <c r="V483" s="584">
        <f>TEXT(T483,"YYMM")</f>
        <v/>
      </c>
    </row>
    <row r="484">
      <c r="U484" s="583">
        <f>TEXT(Q484,"YYMM")</f>
        <v/>
      </c>
      <c r="V484" s="584">
        <f>TEXT(T484,"YYMM")</f>
        <v/>
      </c>
    </row>
    <row r="485">
      <c r="U485" s="583">
        <f>TEXT(Q485,"YYMM")</f>
        <v/>
      </c>
      <c r="V485" s="584">
        <f>TEXT(T485,"YYMM")</f>
        <v/>
      </c>
    </row>
    <row r="486">
      <c r="U486" s="583">
        <f>TEXT(Q486,"YYMM")</f>
        <v/>
      </c>
      <c r="V486" s="584">
        <f>TEXT(T486,"YYMM")</f>
        <v/>
      </c>
    </row>
    <row r="487">
      <c r="U487" s="583">
        <f>TEXT(Q487,"YYMM")</f>
        <v/>
      </c>
      <c r="V487" s="584">
        <f>TEXT(T487,"YYMM")</f>
        <v/>
      </c>
    </row>
    <row r="488">
      <c r="U488" s="583">
        <f>TEXT(Q488,"YYMM")</f>
        <v/>
      </c>
      <c r="V488" s="584">
        <f>TEXT(T488,"YYMM")</f>
        <v/>
      </c>
    </row>
    <row r="489">
      <c r="U489" s="583">
        <f>TEXT(Q489,"YYMM")</f>
        <v/>
      </c>
      <c r="V489" s="584">
        <f>TEXT(T489,"YYMM")</f>
        <v/>
      </c>
    </row>
    <row r="490">
      <c r="U490" s="583">
        <f>TEXT(Q490,"YYMM")</f>
        <v/>
      </c>
      <c r="V490" s="584">
        <f>TEXT(T490,"YYMM")</f>
        <v/>
      </c>
    </row>
    <row r="491">
      <c r="U491" s="583">
        <f>TEXT(Q491,"YYMM")</f>
        <v/>
      </c>
      <c r="V491" s="584">
        <f>TEXT(T491,"YYMM")</f>
        <v/>
      </c>
    </row>
    <row r="492">
      <c r="U492" s="583">
        <f>TEXT(Q492,"YYMM")</f>
        <v/>
      </c>
      <c r="V492" s="584">
        <f>TEXT(T492,"YYMM")</f>
        <v/>
      </c>
    </row>
    <row r="493">
      <c r="U493" s="583">
        <f>TEXT(Q493,"YYMM")</f>
        <v/>
      </c>
      <c r="V493" s="584">
        <f>TEXT(T493,"YYMM")</f>
        <v/>
      </c>
    </row>
    <row r="494">
      <c r="U494" s="583">
        <f>TEXT(Q494,"YYMM")</f>
        <v/>
      </c>
      <c r="V494" s="584">
        <f>TEXT(T494,"YYMM")</f>
        <v/>
      </c>
    </row>
    <row r="495">
      <c r="U495" s="583">
        <f>TEXT(Q495,"YYMM")</f>
        <v/>
      </c>
      <c r="V495" s="584">
        <f>TEXT(T495,"YYMM")</f>
        <v/>
      </c>
    </row>
    <row r="496">
      <c r="U496" s="583">
        <f>TEXT(Q496,"YYMM")</f>
        <v/>
      </c>
      <c r="V496" s="584">
        <f>TEXT(T496,"YYMM")</f>
        <v/>
      </c>
    </row>
    <row r="497">
      <c r="U497" s="583">
        <f>TEXT(Q497,"YYMM")</f>
        <v/>
      </c>
      <c r="V497" s="584">
        <f>TEXT(T497,"YYMM")</f>
        <v/>
      </c>
    </row>
    <row r="498">
      <c r="U498" s="583">
        <f>TEXT(Q498,"YYMM")</f>
        <v/>
      </c>
      <c r="V498" s="584">
        <f>TEXT(T498,"YYMM")</f>
        <v/>
      </c>
    </row>
    <row r="499">
      <c r="U499" s="583">
        <f>TEXT(Q499,"YYMM")</f>
        <v/>
      </c>
      <c r="V499" s="584">
        <f>TEXT(T499,"YYMM")</f>
        <v/>
      </c>
    </row>
    <row r="500">
      <c r="U500" s="583">
        <f>TEXT(Q500,"YYMM")</f>
        <v/>
      </c>
      <c r="V500" s="584">
        <f>TEXT(T500,"YYMM")</f>
        <v/>
      </c>
    </row>
    <row r="501">
      <c r="U501" s="583">
        <f>TEXT(Q501,"YYMM")</f>
        <v/>
      </c>
      <c r="V501" s="584">
        <f>TEXT(T501,"YYMM")</f>
        <v/>
      </c>
    </row>
    <row r="502">
      <c r="U502" s="583">
        <f>TEXT(Q502,"YYMM")</f>
        <v/>
      </c>
      <c r="V502" s="584">
        <f>TEXT(T502,"YYMM")</f>
        <v/>
      </c>
    </row>
    <row r="503">
      <c r="U503" s="583">
        <f>TEXT(Q503,"YYMM")</f>
        <v/>
      </c>
      <c r="V503" s="584">
        <f>TEXT(T503,"YYMM")</f>
        <v/>
      </c>
    </row>
    <row r="504">
      <c r="U504" s="583">
        <f>TEXT(Q504,"YYMM")</f>
        <v/>
      </c>
      <c r="V504" s="584">
        <f>TEXT(T504,"YYMM")</f>
        <v/>
      </c>
    </row>
    <row r="505">
      <c r="U505" s="583">
        <f>TEXT(Q505,"YYMM")</f>
        <v/>
      </c>
      <c r="V505" s="584">
        <f>TEXT(T505,"YYMM")</f>
        <v/>
      </c>
    </row>
    <row r="506">
      <c r="U506" s="583">
        <f>TEXT(Q506,"YYMM")</f>
        <v/>
      </c>
      <c r="V506" s="584">
        <f>TEXT(T506,"YYMM")</f>
        <v/>
      </c>
    </row>
    <row r="507">
      <c r="U507" s="583">
        <f>TEXT(Q507,"YYMM")</f>
        <v/>
      </c>
      <c r="V507" s="584">
        <f>TEXT(T507,"YYMM")</f>
        <v/>
      </c>
    </row>
    <row r="508">
      <c r="U508" s="583">
        <f>TEXT(Q508,"YYMM")</f>
        <v/>
      </c>
      <c r="V508" s="584">
        <f>TEXT(T508,"YYMM")</f>
        <v/>
      </c>
    </row>
    <row r="509">
      <c r="U509" s="583">
        <f>TEXT(Q509,"YYMM")</f>
        <v/>
      </c>
      <c r="V509" s="584">
        <f>TEXT(T509,"YYMM")</f>
        <v/>
      </c>
    </row>
    <row r="510">
      <c r="U510" s="583">
        <f>TEXT(Q510,"YYMM")</f>
        <v/>
      </c>
      <c r="V510" s="584">
        <f>TEXT(T510,"YYMM")</f>
        <v/>
      </c>
    </row>
    <row r="511">
      <c r="U511" s="583">
        <f>TEXT(Q511,"YYMM")</f>
        <v/>
      </c>
      <c r="V511" s="584">
        <f>TEXT(T511,"YYMM")</f>
        <v/>
      </c>
    </row>
    <row r="512">
      <c r="U512" s="583">
        <f>TEXT(Q512,"YYMM")</f>
        <v/>
      </c>
      <c r="V512" s="584">
        <f>TEXT(T512,"YYMM")</f>
        <v/>
      </c>
    </row>
    <row r="513">
      <c r="U513" s="583">
        <f>TEXT(Q513,"YYMM")</f>
        <v/>
      </c>
      <c r="V513" s="584">
        <f>TEXT(T513,"YYMM")</f>
        <v/>
      </c>
    </row>
    <row r="514">
      <c r="U514" s="583">
        <f>TEXT(Q514,"YYMM")</f>
        <v/>
      </c>
      <c r="V514" s="584">
        <f>TEXT(T514,"YYMM")</f>
        <v/>
      </c>
    </row>
    <row r="515">
      <c r="U515" s="583">
        <f>TEXT(Q515,"YYMM")</f>
        <v/>
      </c>
      <c r="V515" s="584">
        <f>TEXT(T515,"YYMM")</f>
        <v/>
      </c>
    </row>
    <row r="516">
      <c r="U516" s="583">
        <f>TEXT(Q516,"YYMM")</f>
        <v/>
      </c>
      <c r="V516" s="584">
        <f>TEXT(T516,"YYMM")</f>
        <v/>
      </c>
    </row>
    <row r="517">
      <c r="U517" s="583">
        <f>TEXT(Q517,"YYMM")</f>
        <v/>
      </c>
      <c r="V517" s="584">
        <f>TEXT(T517,"YYMM")</f>
        <v/>
      </c>
    </row>
    <row r="518">
      <c r="U518" s="583">
        <f>TEXT(Q518,"YYMM")</f>
        <v/>
      </c>
      <c r="V518" s="584">
        <f>TEXT(T518,"YYMM")</f>
        <v/>
      </c>
    </row>
    <row r="519">
      <c r="U519" s="583">
        <f>TEXT(Q519,"YYMM")</f>
        <v/>
      </c>
      <c r="V519" s="584">
        <f>TEXT(T519,"YYMM")</f>
        <v/>
      </c>
    </row>
    <row r="520">
      <c r="U520" s="583">
        <f>TEXT(Q520,"YYMM")</f>
        <v/>
      </c>
      <c r="V520" s="584">
        <f>TEXT(T520,"YYMM")</f>
        <v/>
      </c>
    </row>
    <row r="521">
      <c r="U521" s="583">
        <f>TEXT(Q521,"YYMM")</f>
        <v/>
      </c>
      <c r="V521" s="584">
        <f>TEXT(T521,"YYMM")</f>
        <v/>
      </c>
    </row>
    <row r="522">
      <c r="U522" s="583">
        <f>TEXT(Q522,"YYMM")</f>
        <v/>
      </c>
      <c r="V522" s="584">
        <f>TEXT(T522,"YYMM")</f>
        <v/>
      </c>
    </row>
    <row r="523">
      <c r="U523" s="583">
        <f>TEXT(Q523,"YYMM")</f>
        <v/>
      </c>
      <c r="V523" s="584">
        <f>TEXT(T523,"YYMM")</f>
        <v/>
      </c>
    </row>
    <row r="524">
      <c r="U524" s="583">
        <f>TEXT(Q524,"YYMM")</f>
        <v/>
      </c>
      <c r="V524" s="584">
        <f>TEXT(T524,"YYMM")</f>
        <v/>
      </c>
    </row>
    <row r="525">
      <c r="U525" s="583">
        <f>TEXT(Q525,"YYMM")</f>
        <v/>
      </c>
      <c r="V525" s="584">
        <f>TEXT(T525,"YYMM")</f>
        <v/>
      </c>
    </row>
    <row r="526">
      <c r="U526" s="583">
        <f>TEXT(Q526,"YYMM")</f>
        <v/>
      </c>
      <c r="V526" s="584">
        <f>TEXT(T526,"YYMM")</f>
        <v/>
      </c>
    </row>
    <row r="527">
      <c r="U527" s="583">
        <f>TEXT(Q527,"YYMM")</f>
        <v/>
      </c>
      <c r="V527" s="584">
        <f>TEXT(T527,"YYMM")</f>
        <v/>
      </c>
    </row>
    <row r="528">
      <c r="U528" s="583">
        <f>TEXT(Q528,"YYMM")</f>
        <v/>
      </c>
      <c r="V528" s="584">
        <f>TEXT(T528,"YYMM")</f>
        <v/>
      </c>
    </row>
    <row r="529">
      <c r="U529" s="583">
        <f>TEXT(Q529,"YYMM")</f>
        <v/>
      </c>
      <c r="V529" s="584">
        <f>TEXT(T529,"YYMM")</f>
        <v/>
      </c>
    </row>
    <row r="530">
      <c r="U530" s="583">
        <f>TEXT(Q530,"YYMM")</f>
        <v/>
      </c>
      <c r="V530" s="584">
        <f>TEXT(T530,"YYMM")</f>
        <v/>
      </c>
    </row>
    <row r="531">
      <c r="U531" s="583">
        <f>TEXT(Q531,"YYMM")</f>
        <v/>
      </c>
      <c r="V531" s="584">
        <f>TEXT(T531,"YYMM")</f>
        <v/>
      </c>
    </row>
    <row r="532">
      <c r="U532" s="583">
        <f>TEXT(Q532,"YYMM")</f>
        <v/>
      </c>
      <c r="V532" s="584">
        <f>TEXT(T532,"YYMM")</f>
        <v/>
      </c>
    </row>
    <row r="533">
      <c r="U533" s="583">
        <f>TEXT(Q533,"YYMM")</f>
        <v/>
      </c>
      <c r="V533" s="584">
        <f>TEXT(T533,"YYMM")</f>
        <v/>
      </c>
    </row>
    <row r="534">
      <c r="U534" s="583">
        <f>TEXT(Q534,"YYMM")</f>
        <v/>
      </c>
      <c r="V534" s="584">
        <f>TEXT(T534,"YYMM")</f>
        <v/>
      </c>
    </row>
    <row r="535">
      <c r="U535" s="583">
        <f>TEXT(Q535,"YYMM")</f>
        <v/>
      </c>
      <c r="V535" s="584">
        <f>TEXT(T535,"YYMM")</f>
        <v/>
      </c>
    </row>
    <row r="536">
      <c r="U536" s="583">
        <f>TEXT(Q536,"YYMM")</f>
        <v/>
      </c>
      <c r="V536" s="584">
        <f>TEXT(T536,"YYMM")</f>
        <v/>
      </c>
    </row>
    <row r="537">
      <c r="U537" s="583">
        <f>TEXT(Q537,"YYMM")</f>
        <v/>
      </c>
      <c r="V537" s="584">
        <f>TEXT(T537,"YYMM")</f>
        <v/>
      </c>
    </row>
    <row r="538">
      <c r="U538" s="583">
        <f>TEXT(Q538,"YYMM")</f>
        <v/>
      </c>
      <c r="V538" s="584">
        <f>TEXT(T538,"YYMM")</f>
        <v/>
      </c>
    </row>
    <row r="539">
      <c r="U539" s="583">
        <f>TEXT(Q539,"YYMM")</f>
        <v/>
      </c>
      <c r="V539" s="584">
        <f>TEXT(T539,"YYMM")</f>
        <v/>
      </c>
    </row>
    <row r="540">
      <c r="U540" s="583">
        <f>TEXT(Q540,"YYMM")</f>
        <v/>
      </c>
      <c r="V540" s="584">
        <f>TEXT(T540,"YYMM")</f>
        <v/>
      </c>
    </row>
    <row r="541">
      <c r="U541" s="583">
        <f>TEXT(Q541,"YYMM")</f>
        <v/>
      </c>
      <c r="V541" s="584">
        <f>TEXT(T541,"YYMM")</f>
        <v/>
      </c>
    </row>
    <row r="542">
      <c r="U542" s="583">
        <f>TEXT(Q542,"YYMM")</f>
        <v/>
      </c>
      <c r="V542" s="584">
        <f>TEXT(T542,"YYMM")</f>
        <v/>
      </c>
    </row>
    <row r="543">
      <c r="U543" s="583">
        <f>TEXT(Q543,"YYMM")</f>
        <v/>
      </c>
      <c r="V543" s="584">
        <f>TEXT(T543,"YYMM")</f>
        <v/>
      </c>
    </row>
    <row r="544">
      <c r="U544" s="583">
        <f>TEXT(Q544,"YYMM")</f>
        <v/>
      </c>
      <c r="V544" s="584">
        <f>TEXT(T544,"YYMM")</f>
        <v/>
      </c>
    </row>
    <row r="545">
      <c r="U545" s="583">
        <f>TEXT(Q545,"YYMM")</f>
        <v/>
      </c>
      <c r="V545" s="584">
        <f>TEXT(T545,"YYMM")</f>
        <v/>
      </c>
    </row>
    <row r="546">
      <c r="U546" s="583">
        <f>TEXT(Q546,"YYMM")</f>
        <v/>
      </c>
      <c r="V546" s="584">
        <f>TEXT(T546,"YYMM")</f>
        <v/>
      </c>
    </row>
    <row r="547">
      <c r="U547" s="583">
        <f>TEXT(Q547,"YYMM")</f>
        <v/>
      </c>
      <c r="V547" s="584">
        <f>TEXT(T547,"YYMM")</f>
        <v/>
      </c>
    </row>
    <row r="548">
      <c r="U548" s="583">
        <f>TEXT(Q548,"YYMM")</f>
        <v/>
      </c>
      <c r="V548" s="584">
        <f>TEXT(T548,"YYMM")</f>
        <v/>
      </c>
    </row>
    <row r="549">
      <c r="U549" s="583">
        <f>TEXT(Q549,"YYMM")</f>
        <v/>
      </c>
      <c r="V549" s="584">
        <f>TEXT(T549,"YYMM")</f>
        <v/>
      </c>
    </row>
    <row r="550">
      <c r="U550" s="583">
        <f>TEXT(Q550,"YYMM")</f>
        <v/>
      </c>
      <c r="V550" s="584">
        <f>TEXT(T550,"YYMM")</f>
        <v/>
      </c>
    </row>
    <row r="551">
      <c r="U551" s="583">
        <f>TEXT(Q551,"YYMM")</f>
        <v/>
      </c>
      <c r="V551" s="584">
        <f>TEXT(T551,"YYMM")</f>
        <v/>
      </c>
    </row>
    <row r="552">
      <c r="U552" s="583">
        <f>TEXT(Q552,"YYMM")</f>
        <v/>
      </c>
      <c r="V552" s="584">
        <f>TEXT(T552,"YYMM")</f>
        <v/>
      </c>
    </row>
    <row r="553">
      <c r="U553" s="583">
        <f>TEXT(Q553,"YYMM")</f>
        <v/>
      </c>
      <c r="V553" s="584">
        <f>TEXT(T553,"YYMM")</f>
        <v/>
      </c>
    </row>
    <row r="554">
      <c r="U554" s="583">
        <f>TEXT(Q554,"YYMM")</f>
        <v/>
      </c>
      <c r="V554" s="584">
        <f>TEXT(T554,"YYMM")</f>
        <v/>
      </c>
    </row>
    <row r="555">
      <c r="U555" s="583">
        <f>TEXT(Q555,"YYMM")</f>
        <v/>
      </c>
      <c r="V555" s="584">
        <f>TEXT(T555,"YYMM")</f>
        <v/>
      </c>
    </row>
    <row r="556">
      <c r="U556" s="583">
        <f>TEXT(Q556,"YYMM")</f>
        <v/>
      </c>
      <c r="V556" s="584">
        <f>TEXT(T556,"YYMM")</f>
        <v/>
      </c>
    </row>
    <row r="557">
      <c r="U557" s="583">
        <f>TEXT(Q557,"YYMM")</f>
        <v/>
      </c>
      <c r="V557" s="584">
        <f>TEXT(T557,"YYMM")</f>
        <v/>
      </c>
    </row>
    <row r="558">
      <c r="U558" s="583">
        <f>TEXT(Q558,"YYMM")</f>
        <v/>
      </c>
      <c r="V558" s="584">
        <f>TEXT(T558,"YYMM")</f>
        <v/>
      </c>
    </row>
    <row r="559">
      <c r="U559" s="583">
        <f>TEXT(Q559,"YYMM")</f>
        <v/>
      </c>
      <c r="V559" s="584">
        <f>TEXT(T559,"YYMM")</f>
        <v/>
      </c>
    </row>
    <row r="560">
      <c r="U560" s="583">
        <f>TEXT(Q560,"YYMM")</f>
        <v/>
      </c>
      <c r="V560" s="584">
        <f>TEXT(T560,"YYMM")</f>
        <v/>
      </c>
    </row>
    <row r="561">
      <c r="U561" s="583">
        <f>TEXT(Q561,"YYMM")</f>
        <v/>
      </c>
      <c r="V561" s="584">
        <f>TEXT(T561,"YYMM")</f>
        <v/>
      </c>
    </row>
    <row r="562">
      <c r="U562" s="583">
        <f>TEXT(Q562,"YYMM")</f>
        <v/>
      </c>
      <c r="V562" s="584">
        <f>TEXT(T562,"YYMM")</f>
        <v/>
      </c>
    </row>
    <row r="563">
      <c r="U563" s="583">
        <f>TEXT(Q563,"YYMM")</f>
        <v/>
      </c>
      <c r="V563" s="584">
        <f>TEXT(T563,"YYMM")</f>
        <v/>
      </c>
    </row>
    <row r="564">
      <c r="U564" s="583">
        <f>TEXT(Q564,"YYMM")</f>
        <v/>
      </c>
      <c r="V564" s="584">
        <f>TEXT(T564,"YYMM")</f>
        <v/>
      </c>
    </row>
    <row r="565">
      <c r="U565" s="583">
        <f>TEXT(Q565,"YYMM")</f>
        <v/>
      </c>
      <c r="V565" s="584">
        <f>TEXT(T565,"YYMM")</f>
        <v/>
      </c>
    </row>
    <row r="566">
      <c r="U566" s="583">
        <f>TEXT(Q566,"YYMM")</f>
        <v/>
      </c>
      <c r="V566" s="584">
        <f>TEXT(T566,"YYMM")</f>
        <v/>
      </c>
    </row>
    <row r="567">
      <c r="U567" s="583">
        <f>TEXT(Q567,"YYMM")</f>
        <v/>
      </c>
      <c r="V567" s="584">
        <f>TEXT(T567,"YYMM")</f>
        <v/>
      </c>
    </row>
    <row r="568">
      <c r="U568" s="583">
        <f>TEXT(Q568,"YYMM")</f>
        <v/>
      </c>
      <c r="V568" s="584">
        <f>TEXT(T568,"YYMM")</f>
        <v/>
      </c>
    </row>
    <row r="569">
      <c r="U569" s="583">
        <f>TEXT(Q569,"YYMM")</f>
        <v/>
      </c>
      <c r="V569" s="584">
        <f>TEXT(T569,"YYMM")</f>
        <v/>
      </c>
    </row>
    <row r="570">
      <c r="U570" s="583">
        <f>TEXT(Q570,"YYMM")</f>
        <v/>
      </c>
      <c r="V570" s="584">
        <f>TEXT(T570,"YYMM")</f>
        <v/>
      </c>
    </row>
    <row r="571">
      <c r="U571" s="583">
        <f>TEXT(Q571,"YYMM")</f>
        <v/>
      </c>
      <c r="V571" s="584">
        <f>TEXT(T571,"YYMM")</f>
        <v/>
      </c>
    </row>
    <row r="572">
      <c r="U572" s="583">
        <f>TEXT(Q572,"YYMM")</f>
        <v/>
      </c>
      <c r="V572" s="584">
        <f>TEXT(T572,"YYMM")</f>
        <v/>
      </c>
    </row>
    <row r="573">
      <c r="U573" s="583">
        <f>TEXT(Q573,"YYMM")</f>
        <v/>
      </c>
      <c r="V573" s="584">
        <f>TEXT(T573,"YYMM")</f>
        <v/>
      </c>
    </row>
    <row r="574">
      <c r="U574" s="583">
        <f>TEXT(Q574,"YYMM")</f>
        <v/>
      </c>
      <c r="V574" s="584">
        <f>TEXT(T574,"YYMM")</f>
        <v/>
      </c>
    </row>
    <row r="575">
      <c r="U575" s="583">
        <f>TEXT(Q575,"YYMM")</f>
        <v/>
      </c>
      <c r="V575" s="584">
        <f>TEXT(T575,"YYMM")</f>
        <v/>
      </c>
    </row>
    <row r="576">
      <c r="U576" s="583">
        <f>TEXT(Q576,"YYMM")</f>
        <v/>
      </c>
      <c r="V576" s="584">
        <f>TEXT(T576,"YYMM")</f>
        <v/>
      </c>
    </row>
    <row r="577">
      <c r="U577" s="583">
        <f>TEXT(Q577,"YYMM")</f>
        <v/>
      </c>
      <c r="V577" s="584">
        <f>TEXT(T577,"YYMM")</f>
        <v/>
      </c>
    </row>
    <row r="578">
      <c r="U578" s="583">
        <f>TEXT(Q578,"YYMM")</f>
        <v/>
      </c>
      <c r="V578" s="584">
        <f>TEXT(T578,"YYMM")</f>
        <v/>
      </c>
    </row>
    <row r="579">
      <c r="U579" s="583">
        <f>TEXT(Q579,"YYMM")</f>
        <v/>
      </c>
      <c r="V579" s="584">
        <f>TEXT(T579,"YYMM")</f>
        <v/>
      </c>
    </row>
    <row r="580">
      <c r="U580" s="583">
        <f>TEXT(Q580,"YYMM")</f>
        <v/>
      </c>
      <c r="V580" s="584">
        <f>TEXT(T580,"YYMM")</f>
        <v/>
      </c>
    </row>
    <row r="581">
      <c r="U581" s="583">
        <f>TEXT(Q581,"YYMM")</f>
        <v/>
      </c>
      <c r="V581" s="584">
        <f>TEXT(T581,"YYMM")</f>
        <v/>
      </c>
    </row>
    <row r="582">
      <c r="U582" s="583">
        <f>TEXT(Q582,"YYMM")</f>
        <v/>
      </c>
      <c r="V582" s="584">
        <f>TEXT(T582,"YYMM")</f>
        <v/>
      </c>
    </row>
    <row r="583">
      <c r="U583" s="583">
        <f>TEXT(Q583,"YYMM")</f>
        <v/>
      </c>
      <c r="V583" s="584">
        <f>TEXT(T583,"YYMM")</f>
        <v/>
      </c>
    </row>
    <row r="584">
      <c r="U584" s="583">
        <f>TEXT(Q584,"YYMM")</f>
        <v/>
      </c>
      <c r="V584" s="584">
        <f>TEXT(T584,"YYMM")</f>
        <v/>
      </c>
    </row>
    <row r="585">
      <c r="U585" s="583">
        <f>TEXT(Q585,"YYMM")</f>
        <v/>
      </c>
      <c r="V585" s="584">
        <f>TEXT(T585,"YYMM")</f>
        <v/>
      </c>
    </row>
    <row r="586">
      <c r="U586" s="583">
        <f>TEXT(Q586,"YYMM")</f>
        <v/>
      </c>
      <c r="V586" s="584">
        <f>TEXT(T586,"YYMM")</f>
        <v/>
      </c>
    </row>
    <row r="587">
      <c r="U587" s="583">
        <f>TEXT(Q587,"YYMM")</f>
        <v/>
      </c>
      <c r="V587" s="584">
        <f>TEXT(T587,"YYMM")</f>
        <v/>
      </c>
    </row>
    <row r="588">
      <c r="U588" s="583">
        <f>TEXT(Q588,"YYMM")</f>
        <v/>
      </c>
      <c r="V588" s="584">
        <f>TEXT(T588,"YYMM")</f>
        <v/>
      </c>
    </row>
    <row r="589">
      <c r="U589" s="583">
        <f>TEXT(Q589,"YYMM")</f>
        <v/>
      </c>
      <c r="V589" s="584">
        <f>TEXT(T589,"YYMM")</f>
        <v/>
      </c>
    </row>
    <row r="590">
      <c r="U590" s="583">
        <f>TEXT(Q590,"YYMM")</f>
        <v/>
      </c>
      <c r="V590" s="584">
        <f>TEXT(T590,"YYMM")</f>
        <v/>
      </c>
    </row>
    <row r="591">
      <c r="U591" s="583">
        <f>TEXT(Q591,"YYMM")</f>
        <v/>
      </c>
      <c r="V591" s="584">
        <f>TEXT(T591,"YYMM")</f>
        <v/>
      </c>
    </row>
    <row r="592">
      <c r="U592" s="583">
        <f>TEXT(Q592,"YYMM")</f>
        <v/>
      </c>
      <c r="V592" s="584">
        <f>TEXT(T592,"YYMM")</f>
        <v/>
      </c>
    </row>
    <row r="593">
      <c r="U593" s="583">
        <f>TEXT(Q593,"YYMM")</f>
        <v/>
      </c>
      <c r="V593" s="584">
        <f>TEXT(T593,"YYMM")</f>
        <v/>
      </c>
    </row>
    <row r="594">
      <c r="U594" s="583">
        <f>TEXT(Q594,"YYMM")</f>
        <v/>
      </c>
      <c r="V594" s="584">
        <f>TEXT(T594,"YYMM")</f>
        <v/>
      </c>
    </row>
    <row r="595">
      <c r="U595" s="583">
        <f>TEXT(Q595,"YYMM")</f>
        <v/>
      </c>
      <c r="V595" s="584">
        <f>TEXT(T595,"YYMM")</f>
        <v/>
      </c>
    </row>
    <row r="596">
      <c r="U596" s="583">
        <f>TEXT(Q596,"YYMM")</f>
        <v/>
      </c>
      <c r="V596" s="584">
        <f>TEXT(T596,"YYMM")</f>
        <v/>
      </c>
    </row>
    <row r="597">
      <c r="U597" s="583">
        <f>TEXT(Q597,"YYMM")</f>
        <v/>
      </c>
      <c r="V597" s="584">
        <f>TEXT(T597,"YYMM")</f>
        <v/>
      </c>
    </row>
    <row r="598">
      <c r="U598" s="583">
        <f>TEXT(Q598,"YYMM")</f>
        <v/>
      </c>
      <c r="V598" s="584">
        <f>TEXT(T598,"YYMM")</f>
        <v/>
      </c>
    </row>
    <row r="599">
      <c r="U599" s="583">
        <f>TEXT(Q599,"YYMM")</f>
        <v/>
      </c>
      <c r="V599" s="584">
        <f>TEXT(T599,"YYMM")</f>
        <v/>
      </c>
    </row>
    <row r="600">
      <c r="U600" s="583">
        <f>TEXT(Q600,"YYMM")</f>
        <v/>
      </c>
      <c r="V600" s="584">
        <f>TEXT(T600,"YYMM")</f>
        <v/>
      </c>
    </row>
    <row r="601">
      <c r="U601" s="583">
        <f>TEXT(Q601,"YYMM")</f>
        <v/>
      </c>
      <c r="V601" s="584">
        <f>TEXT(T601,"YYMM")</f>
        <v/>
      </c>
    </row>
    <row r="602">
      <c r="U602" s="583">
        <f>TEXT(Q602,"YYMM")</f>
        <v/>
      </c>
      <c r="V602" s="584">
        <f>TEXT(T602,"YYMM")</f>
        <v/>
      </c>
    </row>
    <row r="603">
      <c r="U603" s="583">
        <f>TEXT(Q603,"YYMM")</f>
        <v/>
      </c>
      <c r="V603" s="584">
        <f>TEXT(T603,"YYMM")</f>
        <v/>
      </c>
    </row>
    <row r="604">
      <c r="U604" s="583">
        <f>TEXT(Q604,"YYMM")</f>
        <v/>
      </c>
      <c r="V604" s="584">
        <f>TEXT(T604,"YYMM")</f>
        <v/>
      </c>
    </row>
    <row r="605">
      <c r="U605" s="583">
        <f>TEXT(Q605,"YYMM")</f>
        <v/>
      </c>
      <c r="V605" s="584">
        <f>TEXT(T605,"YYMM")</f>
        <v/>
      </c>
    </row>
    <row r="606">
      <c r="U606" s="583">
        <f>TEXT(Q606,"YYMM")</f>
        <v/>
      </c>
      <c r="V606" s="584">
        <f>TEXT(T606,"YYMM")</f>
        <v/>
      </c>
    </row>
    <row r="607">
      <c r="U607" s="583">
        <f>TEXT(Q607,"YYMM")</f>
        <v/>
      </c>
      <c r="V607" s="584">
        <f>TEXT(T607,"YYMM")</f>
        <v/>
      </c>
    </row>
    <row r="608">
      <c r="U608" s="583">
        <f>TEXT(Q608,"YYMM")</f>
        <v/>
      </c>
      <c r="V608" s="584">
        <f>TEXT(T608,"YYMM")</f>
        <v/>
      </c>
    </row>
    <row r="609">
      <c r="U609" s="583">
        <f>TEXT(Q609,"YYMM")</f>
        <v/>
      </c>
      <c r="V609" s="584">
        <f>TEXT(T609,"YYMM")</f>
        <v/>
      </c>
    </row>
    <row r="610">
      <c r="U610" s="583">
        <f>TEXT(Q610,"YYMM")</f>
        <v/>
      </c>
      <c r="V610" s="584">
        <f>TEXT(T610,"YYMM")</f>
        <v/>
      </c>
    </row>
    <row r="611">
      <c r="U611" s="583">
        <f>TEXT(Q611,"YYMM")</f>
        <v/>
      </c>
      <c r="V611" s="584">
        <f>TEXT(T611,"YYMM")</f>
        <v/>
      </c>
    </row>
    <row r="612">
      <c r="U612" s="583">
        <f>TEXT(Q612,"YYMM")</f>
        <v/>
      </c>
      <c r="V612" s="584">
        <f>TEXT(T612,"YYMM")</f>
        <v/>
      </c>
    </row>
    <row r="613">
      <c r="U613" s="583">
        <f>TEXT(Q613,"YYMM")</f>
        <v/>
      </c>
      <c r="V613" s="584">
        <f>TEXT(T613,"YYMM")</f>
        <v/>
      </c>
    </row>
    <row r="614">
      <c r="U614" s="583">
        <f>TEXT(Q614,"YYMM")</f>
        <v/>
      </c>
      <c r="V614" s="584">
        <f>TEXT(T614,"YYMM")</f>
        <v/>
      </c>
    </row>
    <row r="615">
      <c r="U615" s="583">
        <f>TEXT(Q615,"YYMM")</f>
        <v/>
      </c>
      <c r="V615" s="584">
        <f>TEXT(T615,"YYMM")</f>
        <v/>
      </c>
    </row>
    <row r="616">
      <c r="U616" s="583">
        <f>TEXT(Q616,"YYMM")</f>
        <v/>
      </c>
      <c r="V616" s="584">
        <f>TEXT(T616,"YYMM")</f>
        <v/>
      </c>
    </row>
    <row r="617">
      <c r="U617" s="583">
        <f>TEXT(Q617,"YYMM")</f>
        <v/>
      </c>
      <c r="V617" s="584">
        <f>TEXT(T617,"YYMM")</f>
        <v/>
      </c>
    </row>
    <row r="618">
      <c r="U618" s="583">
        <f>TEXT(Q618,"YYMM")</f>
        <v/>
      </c>
      <c r="V618" s="584">
        <f>TEXT(T618,"YYMM")</f>
        <v/>
      </c>
    </row>
    <row r="619">
      <c r="U619" s="583">
        <f>TEXT(Q619,"YYMM")</f>
        <v/>
      </c>
      <c r="V619" s="584">
        <f>TEXT(T619,"YYMM")</f>
        <v/>
      </c>
    </row>
    <row r="620">
      <c r="U620" s="583">
        <f>TEXT(Q620,"YYMM")</f>
        <v/>
      </c>
      <c r="V620" s="584">
        <f>TEXT(T620,"YYMM")</f>
        <v/>
      </c>
    </row>
    <row r="621">
      <c r="U621" s="583">
        <f>TEXT(Q621,"YYMM")</f>
        <v/>
      </c>
      <c r="V621" s="584">
        <f>TEXT(T621,"YYMM")</f>
        <v/>
      </c>
    </row>
    <row r="622">
      <c r="U622" s="583">
        <f>TEXT(Q622,"YYMM")</f>
        <v/>
      </c>
      <c r="V622" s="584">
        <f>TEXT(T622,"YYMM")</f>
        <v/>
      </c>
    </row>
    <row r="623">
      <c r="U623" s="583">
        <f>TEXT(Q623,"YYMM")</f>
        <v/>
      </c>
      <c r="V623" s="584">
        <f>TEXT(T623,"YYMM")</f>
        <v/>
      </c>
    </row>
    <row r="624">
      <c r="U624" s="583">
        <f>TEXT(Q624,"YYMM")</f>
        <v/>
      </c>
      <c r="V624" s="584">
        <f>TEXT(T624,"YYMM")</f>
        <v/>
      </c>
    </row>
    <row r="625">
      <c r="U625" s="583">
        <f>TEXT(Q625,"YYMM")</f>
        <v/>
      </c>
      <c r="V625" s="584">
        <f>TEXT(T625,"YYMM")</f>
        <v/>
      </c>
    </row>
    <row r="626">
      <c r="U626" s="583">
        <f>TEXT(Q626,"YYMM")</f>
        <v/>
      </c>
      <c r="V626" s="584">
        <f>TEXT(T626,"YYMM")</f>
        <v/>
      </c>
    </row>
    <row r="627">
      <c r="U627" s="583">
        <f>TEXT(Q627,"YYMM")</f>
        <v/>
      </c>
      <c r="V627" s="584">
        <f>TEXT(T627,"YYMM")</f>
        <v/>
      </c>
    </row>
    <row r="628">
      <c r="U628" s="583">
        <f>TEXT(Q628,"YYMM")</f>
        <v/>
      </c>
      <c r="V628" s="584">
        <f>TEXT(T628,"YYMM")</f>
        <v/>
      </c>
    </row>
    <row r="629">
      <c r="U629" s="583">
        <f>TEXT(Q629,"YYMM")</f>
        <v/>
      </c>
      <c r="V629" s="584">
        <f>TEXT(T629,"YYMM")</f>
        <v/>
      </c>
    </row>
    <row r="630">
      <c r="U630" s="583">
        <f>TEXT(Q630,"YYMM")</f>
        <v/>
      </c>
      <c r="V630" s="584">
        <f>TEXT(T630,"YYMM")</f>
        <v/>
      </c>
    </row>
    <row r="631">
      <c r="U631" s="583">
        <f>TEXT(Q631,"YYMM")</f>
        <v/>
      </c>
      <c r="V631" s="584">
        <f>TEXT(T631,"YYMM")</f>
        <v/>
      </c>
    </row>
    <row r="632">
      <c r="U632" s="583">
        <f>TEXT(Q632,"YYMM")</f>
        <v/>
      </c>
      <c r="V632" s="584">
        <f>TEXT(T632,"YYMM")</f>
        <v/>
      </c>
    </row>
    <row r="633">
      <c r="U633" s="583">
        <f>TEXT(Q633,"YYMM")</f>
        <v/>
      </c>
      <c r="V633" s="584">
        <f>TEXT(T633,"YYMM")</f>
        <v/>
      </c>
    </row>
    <row r="634">
      <c r="U634" s="583">
        <f>TEXT(Q634,"YYMM")</f>
        <v/>
      </c>
      <c r="V634" s="584">
        <f>TEXT(T634,"YYMM")</f>
        <v/>
      </c>
    </row>
    <row r="635">
      <c r="U635" s="583">
        <f>TEXT(Q635,"YYMM")</f>
        <v/>
      </c>
      <c r="V635" s="584">
        <f>TEXT(T635,"YYMM")</f>
        <v/>
      </c>
    </row>
    <row r="636">
      <c r="U636" s="583">
        <f>TEXT(Q636,"YYMM")</f>
        <v/>
      </c>
      <c r="V636" s="584">
        <f>TEXT(T636,"YYMM")</f>
        <v/>
      </c>
    </row>
    <row r="637">
      <c r="U637" s="583">
        <f>TEXT(Q637,"YYMM")</f>
        <v/>
      </c>
      <c r="V637" s="584">
        <f>TEXT(T637,"YYMM")</f>
        <v/>
      </c>
    </row>
    <row r="638">
      <c r="U638" s="583">
        <f>TEXT(Q638,"YYMM")</f>
        <v/>
      </c>
      <c r="V638" s="584">
        <f>TEXT(T638,"YYMM")</f>
        <v/>
      </c>
    </row>
    <row r="639">
      <c r="U639" s="583">
        <f>TEXT(Q639,"YYMM")</f>
        <v/>
      </c>
      <c r="V639" s="584">
        <f>TEXT(T639,"YYMM")</f>
        <v/>
      </c>
    </row>
    <row r="640">
      <c r="U640" s="583">
        <f>TEXT(Q640,"YYMM")</f>
        <v/>
      </c>
      <c r="V640" s="584">
        <f>TEXT(T640,"YYMM")</f>
        <v/>
      </c>
    </row>
    <row r="641">
      <c r="U641" s="583">
        <f>TEXT(Q641,"YYMM")</f>
        <v/>
      </c>
      <c r="V641" s="584">
        <f>TEXT(T641,"YYMM")</f>
        <v/>
      </c>
    </row>
    <row r="642">
      <c r="U642" s="583">
        <f>TEXT(Q642,"YYMM")</f>
        <v/>
      </c>
      <c r="V642" s="584">
        <f>TEXT(T642,"YYMM")</f>
        <v/>
      </c>
    </row>
    <row r="643">
      <c r="U643" s="583">
        <f>TEXT(Q643,"YYMM")</f>
        <v/>
      </c>
      <c r="V643" s="584">
        <f>TEXT(T643,"YYMM")</f>
        <v/>
      </c>
    </row>
    <row r="644">
      <c r="U644" s="583">
        <f>TEXT(Q644,"YYMM")</f>
        <v/>
      </c>
      <c r="V644" s="584">
        <f>TEXT(T644,"YYMM")</f>
        <v/>
      </c>
    </row>
    <row r="645">
      <c r="U645" s="583">
        <f>TEXT(Q645,"YYMM")</f>
        <v/>
      </c>
      <c r="V645" s="584">
        <f>TEXT(T645,"YYMM")</f>
        <v/>
      </c>
    </row>
    <row r="646">
      <c r="U646" s="583">
        <f>TEXT(Q646,"YYMM")</f>
        <v/>
      </c>
      <c r="V646" s="584">
        <f>TEXT(T646,"YYMM")</f>
        <v/>
      </c>
    </row>
    <row r="647">
      <c r="U647" s="583">
        <f>TEXT(Q647,"YYMM")</f>
        <v/>
      </c>
      <c r="V647" s="584">
        <f>TEXT(T647,"YYMM")</f>
        <v/>
      </c>
    </row>
    <row r="648">
      <c r="U648" s="583">
        <f>TEXT(Q648,"YYMM")</f>
        <v/>
      </c>
      <c r="V648" s="584">
        <f>TEXT(T648,"YYMM")</f>
        <v/>
      </c>
    </row>
    <row r="649">
      <c r="U649" s="583">
        <f>TEXT(Q649,"YYMM")</f>
        <v/>
      </c>
      <c r="V649" s="584">
        <f>TEXT(T649,"YYMM")</f>
        <v/>
      </c>
    </row>
    <row r="650">
      <c r="U650" s="583">
        <f>TEXT(Q650,"YYMM")</f>
        <v/>
      </c>
      <c r="V650" s="584">
        <f>TEXT(T650,"YYMM")</f>
        <v/>
      </c>
    </row>
    <row r="651">
      <c r="U651" s="583">
        <f>TEXT(Q651,"YYMM")</f>
        <v/>
      </c>
      <c r="V651" s="584">
        <f>TEXT(T651,"YYMM")</f>
        <v/>
      </c>
    </row>
    <row r="652">
      <c r="U652" s="583">
        <f>TEXT(Q652,"YYMM")</f>
        <v/>
      </c>
      <c r="V652" s="584">
        <f>TEXT(T652,"YYMM")</f>
        <v/>
      </c>
    </row>
    <row r="653">
      <c r="U653" s="583">
        <f>TEXT(Q653,"YYMM")</f>
        <v/>
      </c>
      <c r="V653" s="584">
        <f>TEXT(T653,"YYMM")</f>
        <v/>
      </c>
    </row>
    <row r="654">
      <c r="U654" s="583">
        <f>TEXT(Q654,"YYMM")</f>
        <v/>
      </c>
      <c r="V654" s="584">
        <f>TEXT(T654,"YYMM")</f>
        <v/>
      </c>
    </row>
    <row r="655">
      <c r="U655" s="583">
        <f>TEXT(Q655,"YYMM")</f>
        <v/>
      </c>
      <c r="V655" s="584">
        <f>TEXT(T655,"YYMM")</f>
        <v/>
      </c>
    </row>
    <row r="656">
      <c r="U656" s="583">
        <f>TEXT(Q656,"YYMM")</f>
        <v/>
      </c>
      <c r="V656" s="584">
        <f>TEXT(T656,"YYMM")</f>
        <v/>
      </c>
    </row>
    <row r="657">
      <c r="U657" s="583">
        <f>TEXT(Q657,"YYMM")</f>
        <v/>
      </c>
      <c r="V657" s="584">
        <f>TEXT(T657,"YYMM")</f>
        <v/>
      </c>
    </row>
    <row r="658">
      <c r="U658" s="583">
        <f>TEXT(Q658,"YYMM")</f>
        <v/>
      </c>
      <c r="V658" s="584">
        <f>TEXT(T658,"YYMM")</f>
        <v/>
      </c>
    </row>
    <row r="659">
      <c r="U659" s="583">
        <f>TEXT(Q659,"YYMM")</f>
        <v/>
      </c>
      <c r="V659" s="584">
        <f>TEXT(T659,"YYMM")</f>
        <v/>
      </c>
    </row>
    <row r="660">
      <c r="U660" s="583">
        <f>TEXT(Q660,"YYMM")</f>
        <v/>
      </c>
      <c r="V660" s="584">
        <f>TEXT(T660,"YYMM")</f>
        <v/>
      </c>
    </row>
    <row r="661">
      <c r="U661" s="583">
        <f>TEXT(Q661,"YYMM")</f>
        <v/>
      </c>
      <c r="V661" s="584">
        <f>TEXT(T661,"YYMM")</f>
        <v/>
      </c>
    </row>
    <row r="662">
      <c r="U662" s="583">
        <f>TEXT(Q662,"YYMM")</f>
        <v/>
      </c>
      <c r="V662" s="584">
        <f>TEXT(T662,"YYMM")</f>
        <v/>
      </c>
    </row>
    <row r="663">
      <c r="U663" s="583">
        <f>TEXT(Q663,"YYMM")</f>
        <v/>
      </c>
      <c r="V663" s="584">
        <f>TEXT(T663,"YYMM")</f>
        <v/>
      </c>
    </row>
    <row r="664">
      <c r="U664" s="583">
        <f>TEXT(Q664,"YYMM")</f>
        <v/>
      </c>
      <c r="V664" s="584">
        <f>TEXT(T664,"YYMM")</f>
        <v/>
      </c>
    </row>
    <row r="665">
      <c r="U665" s="583">
        <f>TEXT(Q665,"YYMM")</f>
        <v/>
      </c>
      <c r="V665" s="584">
        <f>TEXT(T665,"YYMM")</f>
        <v/>
      </c>
    </row>
    <row r="666">
      <c r="U666" s="583">
        <f>TEXT(Q666,"YYMM")</f>
        <v/>
      </c>
      <c r="V666" s="584">
        <f>TEXT(T666,"YYMM")</f>
        <v/>
      </c>
    </row>
    <row r="667">
      <c r="U667" s="583">
        <f>TEXT(Q667,"YYMM")</f>
        <v/>
      </c>
      <c r="V667" s="584">
        <f>TEXT(T667,"YYMM")</f>
        <v/>
      </c>
    </row>
    <row r="668">
      <c r="U668" s="583">
        <f>TEXT(Q668,"YYMM")</f>
        <v/>
      </c>
      <c r="V668" s="584">
        <f>TEXT(T668,"YYMM")</f>
        <v/>
      </c>
    </row>
    <row r="669">
      <c r="U669" s="583">
        <f>TEXT(Q669,"YYMM")</f>
        <v/>
      </c>
      <c r="V669" s="584">
        <f>TEXT(T669,"YYMM")</f>
        <v/>
      </c>
    </row>
    <row r="670">
      <c r="U670" s="583">
        <f>TEXT(Q670,"YYMM")</f>
        <v/>
      </c>
      <c r="V670" s="584">
        <f>TEXT(T670,"YYMM")</f>
        <v/>
      </c>
    </row>
    <row r="671">
      <c r="U671" s="583">
        <f>TEXT(Q671,"YYMM")</f>
        <v/>
      </c>
      <c r="V671" s="584">
        <f>TEXT(T671,"YYMM")</f>
        <v/>
      </c>
    </row>
    <row r="672">
      <c r="U672" s="583">
        <f>TEXT(Q672,"YYMM")</f>
        <v/>
      </c>
      <c r="V672" s="584">
        <f>TEXT(T672,"YYMM")</f>
        <v/>
      </c>
    </row>
    <row r="673">
      <c r="U673" s="583">
        <f>TEXT(Q673,"YYMM")</f>
        <v/>
      </c>
      <c r="V673" s="584">
        <f>TEXT(T673,"YYMM")</f>
        <v/>
      </c>
    </row>
    <row r="674">
      <c r="U674" s="583">
        <f>TEXT(Q674,"YYMM")</f>
        <v/>
      </c>
      <c r="V674" s="584">
        <f>TEXT(T674,"YYMM")</f>
        <v/>
      </c>
    </row>
    <row r="675">
      <c r="U675" s="583">
        <f>TEXT(Q675,"YYMM")</f>
        <v/>
      </c>
      <c r="V675" s="584">
        <f>TEXT(T675,"YYMM")</f>
        <v/>
      </c>
    </row>
    <row r="676">
      <c r="U676" s="583">
        <f>TEXT(Q676,"YYMM")</f>
        <v/>
      </c>
      <c r="V676" s="584">
        <f>TEXT(T676,"YYMM")</f>
        <v/>
      </c>
    </row>
    <row r="677">
      <c r="U677" s="583">
        <f>TEXT(Q677,"YYMM")</f>
        <v/>
      </c>
      <c r="V677" s="584">
        <f>TEXT(T677,"YYMM")</f>
        <v/>
      </c>
    </row>
    <row r="678">
      <c r="U678" s="583">
        <f>TEXT(Q678,"YYMM")</f>
        <v/>
      </c>
      <c r="V678" s="584">
        <f>TEXT(T678,"YYMM")</f>
        <v/>
      </c>
    </row>
    <row r="679">
      <c r="U679" s="583">
        <f>TEXT(Q679,"YYMM")</f>
        <v/>
      </c>
      <c r="V679" s="584">
        <f>TEXT(T679,"YYMM")</f>
        <v/>
      </c>
    </row>
    <row r="680">
      <c r="U680" s="583">
        <f>TEXT(Q680,"YYMM")</f>
        <v/>
      </c>
      <c r="V680" s="584">
        <f>TEXT(T680,"YYMM")</f>
        <v/>
      </c>
    </row>
    <row r="681">
      <c r="U681" s="583">
        <f>TEXT(Q681,"YYMM")</f>
        <v/>
      </c>
      <c r="V681" s="584">
        <f>TEXT(T681,"YYMM")</f>
        <v/>
      </c>
    </row>
    <row r="682">
      <c r="U682" s="583">
        <f>TEXT(Q682,"YYMM")</f>
        <v/>
      </c>
      <c r="V682" s="584">
        <f>TEXT(T682,"YYMM")</f>
        <v/>
      </c>
    </row>
    <row r="683">
      <c r="U683" s="583">
        <f>TEXT(Q683,"YYMM")</f>
        <v/>
      </c>
      <c r="V683" s="584">
        <f>TEXT(T683,"YYMM")</f>
        <v/>
      </c>
    </row>
    <row r="684">
      <c r="U684" s="583">
        <f>TEXT(Q684,"YYMM")</f>
        <v/>
      </c>
      <c r="V684" s="584">
        <f>TEXT(T684,"YYMM")</f>
        <v/>
      </c>
    </row>
    <row r="685">
      <c r="U685" s="583">
        <f>TEXT(Q685,"YYMM")</f>
        <v/>
      </c>
      <c r="V685" s="584">
        <f>TEXT(T685,"YYMM")</f>
        <v/>
      </c>
    </row>
    <row r="686">
      <c r="U686" s="583">
        <f>TEXT(Q686,"YYMM")</f>
        <v/>
      </c>
      <c r="V686" s="584">
        <f>TEXT(T686,"YYMM")</f>
        <v/>
      </c>
    </row>
    <row r="687">
      <c r="U687" s="583">
        <f>TEXT(Q687,"YYMM")</f>
        <v/>
      </c>
      <c r="V687" s="584">
        <f>TEXT(T687,"YYMM")</f>
        <v/>
      </c>
    </row>
    <row r="688">
      <c r="U688" s="583">
        <f>TEXT(Q688,"YYMM")</f>
        <v/>
      </c>
      <c r="V688" s="584">
        <f>TEXT(T688,"YYMM")</f>
        <v/>
      </c>
    </row>
    <row r="689">
      <c r="U689" s="583">
        <f>TEXT(Q689,"YYMM")</f>
        <v/>
      </c>
      <c r="V689" s="584">
        <f>TEXT(T689,"YYMM")</f>
        <v/>
      </c>
    </row>
    <row r="690">
      <c r="U690" s="583">
        <f>TEXT(Q690,"YYMM")</f>
        <v/>
      </c>
      <c r="V690" s="584">
        <f>TEXT(T690,"YYMM")</f>
        <v/>
      </c>
    </row>
    <row r="691">
      <c r="U691" s="583">
        <f>TEXT(Q691,"YYMM")</f>
        <v/>
      </c>
      <c r="V691" s="584">
        <f>TEXT(T691,"YYMM")</f>
        <v/>
      </c>
    </row>
    <row r="692">
      <c r="U692" s="583">
        <f>TEXT(Q692,"YYMM")</f>
        <v/>
      </c>
      <c r="V692" s="584">
        <f>TEXT(T692,"YYMM")</f>
        <v/>
      </c>
    </row>
    <row r="693">
      <c r="U693" s="583">
        <f>TEXT(Q693,"YYMM")</f>
        <v/>
      </c>
      <c r="V693" s="584">
        <f>TEXT(T693,"YYMM")</f>
        <v/>
      </c>
    </row>
    <row r="694">
      <c r="U694" s="583">
        <f>TEXT(Q694,"YYMM")</f>
        <v/>
      </c>
      <c r="V694" s="584">
        <f>TEXT(T694,"YYMM")</f>
        <v/>
      </c>
    </row>
    <row r="695">
      <c r="U695" s="583">
        <f>TEXT(Q695,"YYMM")</f>
        <v/>
      </c>
      <c r="V695" s="584">
        <f>TEXT(T695,"YYMM")</f>
        <v/>
      </c>
    </row>
    <row r="696">
      <c r="U696" s="583">
        <f>TEXT(Q696,"YYMM")</f>
        <v/>
      </c>
      <c r="V696" s="584">
        <f>TEXT(T696,"YYMM")</f>
        <v/>
      </c>
    </row>
    <row r="697">
      <c r="U697" s="583">
        <f>TEXT(Q697,"YYMM")</f>
        <v/>
      </c>
      <c r="V697" s="584">
        <f>TEXT(T697,"YYMM")</f>
        <v/>
      </c>
    </row>
    <row r="698">
      <c r="U698" s="583">
        <f>TEXT(Q698,"YYMM")</f>
        <v/>
      </c>
      <c r="V698" s="584">
        <f>TEXT(T698,"YYMM")</f>
        <v/>
      </c>
    </row>
    <row r="699">
      <c r="U699" s="583">
        <f>TEXT(Q699,"YYMM")</f>
        <v/>
      </c>
      <c r="V699" s="584">
        <f>TEXT(T699,"YYMM")</f>
        <v/>
      </c>
    </row>
    <row r="700">
      <c r="U700" s="583">
        <f>TEXT(Q700,"YYMM")</f>
        <v/>
      </c>
      <c r="V700" s="584">
        <f>TEXT(T700,"YYMM")</f>
        <v/>
      </c>
    </row>
    <row r="701">
      <c r="U701" s="583">
        <f>TEXT(Q701,"YYMM")</f>
        <v/>
      </c>
      <c r="V701" s="584">
        <f>TEXT(T701,"YYMM")</f>
        <v/>
      </c>
    </row>
    <row r="702">
      <c r="U702" s="583">
        <f>TEXT(Q702,"YYMM")</f>
        <v/>
      </c>
      <c r="V702" s="584">
        <f>TEXT(T702,"YYMM")</f>
        <v/>
      </c>
    </row>
    <row r="703">
      <c r="U703" s="583">
        <f>TEXT(Q703,"YYMM")</f>
        <v/>
      </c>
      <c r="V703" s="584">
        <f>TEXT(T703,"YYMM")</f>
        <v/>
      </c>
    </row>
    <row r="704">
      <c r="U704" s="583">
        <f>TEXT(Q704,"YYMM")</f>
        <v/>
      </c>
      <c r="V704" s="584">
        <f>TEXT(T704,"YYMM")</f>
        <v/>
      </c>
    </row>
    <row r="705">
      <c r="U705" s="583">
        <f>TEXT(Q705,"YYMM")</f>
        <v/>
      </c>
      <c r="V705" s="584">
        <f>TEXT(T705,"YYMM")</f>
        <v/>
      </c>
    </row>
    <row r="706">
      <c r="U706" s="583">
        <f>TEXT(Q706,"YYMM")</f>
        <v/>
      </c>
      <c r="V706" s="584">
        <f>TEXT(T706,"YYMM")</f>
        <v/>
      </c>
    </row>
    <row r="707">
      <c r="U707" s="583">
        <f>TEXT(Q707,"YYMM")</f>
        <v/>
      </c>
      <c r="V707" s="584">
        <f>TEXT(T707,"YYMM")</f>
        <v/>
      </c>
    </row>
    <row r="708">
      <c r="U708" s="583">
        <f>TEXT(Q708,"YYMM")</f>
        <v/>
      </c>
      <c r="V708" s="584">
        <f>TEXT(T708,"YYMM")</f>
        <v/>
      </c>
    </row>
    <row r="709">
      <c r="U709" s="583">
        <f>TEXT(Q709,"YYMM")</f>
        <v/>
      </c>
      <c r="V709" s="584">
        <f>TEXT(T709,"YYMM")</f>
        <v/>
      </c>
    </row>
    <row r="710">
      <c r="U710" s="583">
        <f>TEXT(Q710,"YYMM")</f>
        <v/>
      </c>
      <c r="V710" s="584">
        <f>TEXT(T710,"YYMM")</f>
        <v/>
      </c>
    </row>
    <row r="711">
      <c r="U711" s="583">
        <f>TEXT(Q711,"YYMM")</f>
        <v/>
      </c>
      <c r="V711" s="584">
        <f>TEXT(T711,"YYMM")</f>
        <v/>
      </c>
    </row>
    <row r="712">
      <c r="U712" s="583">
        <f>TEXT(Q712,"YYMM")</f>
        <v/>
      </c>
      <c r="V712" s="584">
        <f>TEXT(T712,"YYMM")</f>
        <v/>
      </c>
    </row>
    <row r="713">
      <c r="U713" s="583">
        <f>TEXT(Q713,"YYMM")</f>
        <v/>
      </c>
      <c r="V713" s="584">
        <f>TEXT(T713,"YYMM")</f>
        <v/>
      </c>
    </row>
    <row r="714">
      <c r="U714" s="583">
        <f>TEXT(Q714,"YYMM")</f>
        <v/>
      </c>
      <c r="V714" s="584">
        <f>TEXT(T714,"YYMM")</f>
        <v/>
      </c>
    </row>
    <row r="715">
      <c r="U715" s="583">
        <f>TEXT(Q715,"YYMM")</f>
        <v/>
      </c>
      <c r="V715" s="584">
        <f>TEXT(T715,"YYMM")</f>
        <v/>
      </c>
    </row>
    <row r="716">
      <c r="U716" s="583">
        <f>TEXT(Q716,"YYMM")</f>
        <v/>
      </c>
      <c r="V716" s="584">
        <f>TEXT(T716,"YYMM")</f>
        <v/>
      </c>
    </row>
    <row r="717">
      <c r="U717" s="583">
        <f>TEXT(Q717,"YYMM")</f>
        <v/>
      </c>
      <c r="V717" s="584">
        <f>TEXT(T717,"YYMM")</f>
        <v/>
      </c>
    </row>
    <row r="718">
      <c r="U718" s="583">
        <f>TEXT(Q718,"YYMM")</f>
        <v/>
      </c>
      <c r="V718" s="584">
        <f>TEXT(T718,"YYMM")</f>
        <v/>
      </c>
    </row>
    <row r="719">
      <c r="U719" s="583">
        <f>TEXT(Q719,"YYMM")</f>
        <v/>
      </c>
      <c r="V719" s="584">
        <f>TEXT(T719,"YYMM")</f>
        <v/>
      </c>
    </row>
    <row r="720">
      <c r="U720" s="583">
        <f>TEXT(Q720,"YYMM")</f>
        <v/>
      </c>
      <c r="V720" s="584">
        <f>TEXT(T720,"YYMM")</f>
        <v/>
      </c>
    </row>
    <row r="721">
      <c r="U721" s="583">
        <f>TEXT(Q721,"YYMM")</f>
        <v/>
      </c>
      <c r="V721" s="584">
        <f>TEXT(T721,"YYMM")</f>
        <v/>
      </c>
    </row>
    <row r="722">
      <c r="U722" s="583">
        <f>TEXT(Q722,"YYMM")</f>
        <v/>
      </c>
      <c r="V722" s="584">
        <f>TEXT(T722,"YYMM")</f>
        <v/>
      </c>
    </row>
    <row r="723">
      <c r="U723" s="583">
        <f>TEXT(Q723,"YYMM")</f>
        <v/>
      </c>
      <c r="V723" s="584">
        <f>TEXT(T723,"YYMM")</f>
        <v/>
      </c>
    </row>
    <row r="724">
      <c r="U724" s="583">
        <f>TEXT(Q724,"YYMM")</f>
        <v/>
      </c>
      <c r="V724" s="584">
        <f>TEXT(T724,"YYMM")</f>
        <v/>
      </c>
    </row>
    <row r="725">
      <c r="U725" s="583">
        <f>TEXT(Q725,"YYMM")</f>
        <v/>
      </c>
      <c r="V725" s="584">
        <f>TEXT(T725,"YYMM")</f>
        <v/>
      </c>
    </row>
    <row r="726">
      <c r="U726" s="583">
        <f>TEXT(Q726,"YYMM")</f>
        <v/>
      </c>
      <c r="V726" s="584">
        <f>TEXT(T726,"YYMM")</f>
        <v/>
      </c>
    </row>
    <row r="727">
      <c r="U727" s="583">
        <f>TEXT(Q727,"YYMM")</f>
        <v/>
      </c>
      <c r="V727" s="584">
        <f>TEXT(T727,"YYMM")</f>
        <v/>
      </c>
    </row>
    <row r="728">
      <c r="U728" s="583">
        <f>TEXT(Q728,"YYMM")</f>
        <v/>
      </c>
      <c r="V728" s="584">
        <f>TEXT(T728,"YYMM")</f>
        <v/>
      </c>
    </row>
    <row r="729">
      <c r="U729" s="583">
        <f>TEXT(Q729,"YYMM")</f>
        <v/>
      </c>
      <c r="V729" s="584">
        <f>TEXT(T729,"YYMM")</f>
        <v/>
      </c>
    </row>
    <row r="730">
      <c r="U730" s="583">
        <f>TEXT(Q730,"YYMM")</f>
        <v/>
      </c>
      <c r="V730" s="584">
        <f>TEXT(T730,"YYMM")</f>
        <v/>
      </c>
    </row>
    <row r="731">
      <c r="U731" s="583">
        <f>TEXT(Q731,"YYMM")</f>
        <v/>
      </c>
      <c r="V731" s="584">
        <f>TEXT(T731,"YYMM")</f>
        <v/>
      </c>
    </row>
    <row r="732">
      <c r="U732" s="583">
        <f>TEXT(Q732,"YYMM")</f>
        <v/>
      </c>
      <c r="V732" s="584">
        <f>TEXT(T732,"YYMM")</f>
        <v/>
      </c>
    </row>
    <row r="733">
      <c r="U733" s="583">
        <f>TEXT(Q733,"YYMM")</f>
        <v/>
      </c>
      <c r="V733" s="584">
        <f>TEXT(T733,"YYMM")</f>
        <v/>
      </c>
    </row>
    <row r="734">
      <c r="U734" s="583">
        <f>TEXT(Q734,"YYMM")</f>
        <v/>
      </c>
      <c r="V734" s="584">
        <f>TEXT(T734,"YYMM")</f>
        <v/>
      </c>
    </row>
    <row r="735">
      <c r="U735" s="583">
        <f>TEXT(Q735,"YYMM")</f>
        <v/>
      </c>
      <c r="V735" s="584">
        <f>TEXT(T735,"YYMM")</f>
        <v/>
      </c>
    </row>
    <row r="736">
      <c r="U736" s="583">
        <f>TEXT(Q736,"YYMM")</f>
        <v/>
      </c>
      <c r="V736" s="584">
        <f>TEXT(T736,"YYMM")</f>
        <v/>
      </c>
    </row>
    <row r="737">
      <c r="U737" s="583">
        <f>TEXT(Q737,"YYMM")</f>
        <v/>
      </c>
      <c r="V737" s="584">
        <f>TEXT(T737,"YYMM")</f>
        <v/>
      </c>
    </row>
    <row r="738">
      <c r="U738" s="583">
        <f>TEXT(Q738,"YYMM")</f>
        <v/>
      </c>
      <c r="V738" s="584">
        <f>TEXT(T738,"YYMM")</f>
        <v/>
      </c>
    </row>
    <row r="739">
      <c r="U739" s="583">
        <f>TEXT(Q739,"YYMM")</f>
        <v/>
      </c>
      <c r="V739" s="584">
        <f>TEXT(T739,"YYMM")</f>
        <v/>
      </c>
    </row>
    <row r="740">
      <c r="U740" s="583">
        <f>TEXT(Q740,"YYMM")</f>
        <v/>
      </c>
      <c r="V740" s="584">
        <f>TEXT(T740,"YYMM")</f>
        <v/>
      </c>
    </row>
    <row r="741">
      <c r="U741" s="583">
        <f>TEXT(Q741,"YYMM")</f>
        <v/>
      </c>
      <c r="V741" s="584">
        <f>TEXT(T741,"YYMM")</f>
        <v/>
      </c>
    </row>
    <row r="742">
      <c r="U742" s="583">
        <f>TEXT(Q742,"YYMM")</f>
        <v/>
      </c>
      <c r="V742" s="584">
        <f>TEXT(T742,"YYMM")</f>
        <v/>
      </c>
    </row>
    <row r="743">
      <c r="U743" s="583">
        <f>TEXT(Q743,"YYMM")</f>
        <v/>
      </c>
      <c r="V743" s="584">
        <f>TEXT(T743,"YYMM")</f>
        <v/>
      </c>
    </row>
    <row r="744">
      <c r="U744" s="583">
        <f>TEXT(Q744,"YYMM")</f>
        <v/>
      </c>
      <c r="V744" s="584">
        <f>TEXT(T744,"YYMM")</f>
        <v/>
      </c>
    </row>
    <row r="745">
      <c r="U745" s="583">
        <f>TEXT(Q745,"YYMM")</f>
        <v/>
      </c>
      <c r="V745" s="584">
        <f>TEXT(T745,"YYMM")</f>
        <v/>
      </c>
    </row>
    <row r="746">
      <c r="U746" s="583">
        <f>TEXT(Q746,"YYMM")</f>
        <v/>
      </c>
      <c r="V746" s="584">
        <f>TEXT(T746,"YYMM")</f>
        <v/>
      </c>
    </row>
    <row r="747">
      <c r="U747" s="583">
        <f>TEXT(Q747,"YYMM")</f>
        <v/>
      </c>
      <c r="V747" s="584">
        <f>TEXT(T747,"YYMM")</f>
        <v/>
      </c>
    </row>
    <row r="748">
      <c r="U748" s="583">
        <f>TEXT(Q748,"YYMM")</f>
        <v/>
      </c>
      <c r="V748" s="584">
        <f>TEXT(T748,"YYMM")</f>
        <v/>
      </c>
    </row>
    <row r="749">
      <c r="U749" s="583">
        <f>TEXT(Q749,"YYMM")</f>
        <v/>
      </c>
      <c r="V749" s="584">
        <f>TEXT(T749,"YYMM")</f>
        <v/>
      </c>
    </row>
    <row r="750">
      <c r="U750" s="583">
        <f>TEXT(Q750,"YYMM")</f>
        <v/>
      </c>
      <c r="V750" s="584">
        <f>TEXT(T750,"YYMM")</f>
        <v/>
      </c>
    </row>
    <row r="751">
      <c r="U751" s="583">
        <f>TEXT(Q751,"YYMM")</f>
        <v/>
      </c>
      <c r="V751" s="584">
        <f>TEXT(T751,"YYMM")</f>
        <v/>
      </c>
    </row>
    <row r="752">
      <c r="U752" s="583">
        <f>TEXT(Q752,"YYMM")</f>
        <v/>
      </c>
      <c r="V752" s="584">
        <f>TEXT(T752,"YYMM")</f>
        <v/>
      </c>
    </row>
    <row r="753">
      <c r="U753" s="583">
        <f>TEXT(Q753,"YYMM")</f>
        <v/>
      </c>
      <c r="V753" s="584">
        <f>TEXT(T753,"YYMM")</f>
        <v/>
      </c>
    </row>
    <row r="754">
      <c r="U754" s="583">
        <f>TEXT(Q754,"YYMM")</f>
        <v/>
      </c>
      <c r="V754" s="584">
        <f>TEXT(T754,"YYMM")</f>
        <v/>
      </c>
    </row>
    <row r="755">
      <c r="U755" s="583">
        <f>TEXT(Q755,"YYMM")</f>
        <v/>
      </c>
      <c r="V755" s="584">
        <f>TEXT(T755,"YYMM")</f>
        <v/>
      </c>
    </row>
    <row r="756">
      <c r="U756" s="583">
        <f>TEXT(Q756,"YYMM")</f>
        <v/>
      </c>
      <c r="V756" s="584">
        <f>TEXT(T756,"YYMM")</f>
        <v/>
      </c>
    </row>
    <row r="757">
      <c r="U757" s="583">
        <f>TEXT(Q757,"YYMM")</f>
        <v/>
      </c>
      <c r="V757" s="584">
        <f>TEXT(T757,"YYMM")</f>
        <v/>
      </c>
    </row>
    <row r="758">
      <c r="U758" s="583">
        <f>TEXT(Q758,"YYMM")</f>
        <v/>
      </c>
      <c r="V758" s="584">
        <f>TEXT(T758,"YYMM")</f>
        <v/>
      </c>
    </row>
    <row r="759">
      <c r="U759" s="583">
        <f>TEXT(Q759,"YYMM")</f>
        <v/>
      </c>
      <c r="V759" s="584">
        <f>TEXT(T759,"YYMM")</f>
        <v/>
      </c>
    </row>
    <row r="760">
      <c r="U760" s="583">
        <f>TEXT(Q760,"YYMM")</f>
        <v/>
      </c>
      <c r="V760" s="584">
        <f>TEXT(T760,"YYMM")</f>
        <v/>
      </c>
    </row>
    <row r="761">
      <c r="U761" s="583">
        <f>TEXT(Q761,"YYMM")</f>
        <v/>
      </c>
      <c r="V761" s="584">
        <f>TEXT(T761,"YYMM")</f>
        <v/>
      </c>
    </row>
    <row r="762">
      <c r="U762" s="583">
        <f>TEXT(Q762,"YYMM")</f>
        <v/>
      </c>
      <c r="V762" s="584">
        <f>TEXT(T762,"YYMM")</f>
        <v/>
      </c>
    </row>
    <row r="763">
      <c r="U763" s="583">
        <f>TEXT(Q763,"YYMM")</f>
        <v/>
      </c>
      <c r="V763" s="584">
        <f>TEXT(T763,"YYMM")</f>
        <v/>
      </c>
    </row>
    <row r="764">
      <c r="U764" s="583">
        <f>TEXT(Q764,"YYMM")</f>
        <v/>
      </c>
      <c r="V764" s="584">
        <f>TEXT(T764,"YYMM")</f>
        <v/>
      </c>
    </row>
    <row r="765">
      <c r="U765" s="583">
        <f>TEXT(Q765,"YYMM")</f>
        <v/>
      </c>
      <c r="V765" s="584">
        <f>TEXT(T765,"YYMM")</f>
        <v/>
      </c>
    </row>
    <row r="766">
      <c r="U766" s="583">
        <f>TEXT(Q766,"YYMM")</f>
        <v/>
      </c>
      <c r="V766" s="584">
        <f>TEXT(T766,"YYMM")</f>
        <v/>
      </c>
    </row>
    <row r="767">
      <c r="U767" s="583">
        <f>TEXT(Q767,"YYMM")</f>
        <v/>
      </c>
      <c r="V767" s="584">
        <f>TEXT(T767,"YYMM")</f>
        <v/>
      </c>
    </row>
    <row r="768">
      <c r="U768" s="583">
        <f>TEXT(Q768,"YYMM")</f>
        <v/>
      </c>
      <c r="V768" s="584">
        <f>TEXT(T768,"YYMM")</f>
        <v/>
      </c>
    </row>
    <row r="769">
      <c r="U769" s="583">
        <f>TEXT(Q769,"YYMM")</f>
        <v/>
      </c>
      <c r="V769" s="584">
        <f>TEXT(T769,"YYMM")</f>
        <v/>
      </c>
    </row>
    <row r="770">
      <c r="U770" s="583">
        <f>TEXT(Q770,"YYMM")</f>
        <v/>
      </c>
      <c r="V770" s="584">
        <f>TEXT(T770,"YYMM")</f>
        <v/>
      </c>
    </row>
    <row r="771">
      <c r="U771" s="583">
        <f>TEXT(Q771,"YYMM")</f>
        <v/>
      </c>
      <c r="V771" s="584">
        <f>TEXT(T771,"YYMM")</f>
        <v/>
      </c>
    </row>
    <row r="772">
      <c r="U772" s="583">
        <f>TEXT(Q772,"YYMM")</f>
        <v/>
      </c>
      <c r="V772" s="584">
        <f>TEXT(T772,"YYMM")</f>
        <v/>
      </c>
    </row>
    <row r="773">
      <c r="U773" s="583">
        <f>TEXT(Q773,"YYMM")</f>
        <v/>
      </c>
      <c r="V773" s="584">
        <f>TEXT(T773,"YYMM")</f>
        <v/>
      </c>
    </row>
    <row r="774">
      <c r="U774" s="583">
        <f>TEXT(Q774,"YYMM")</f>
        <v/>
      </c>
      <c r="V774" s="584">
        <f>TEXT(T774,"YYMM")</f>
        <v/>
      </c>
    </row>
    <row r="775">
      <c r="U775" s="583">
        <f>TEXT(Q775,"YYMM")</f>
        <v/>
      </c>
      <c r="V775" s="584">
        <f>TEXT(T775,"YYMM")</f>
        <v/>
      </c>
    </row>
    <row r="776">
      <c r="U776" s="583">
        <f>TEXT(Q776,"YYMM")</f>
        <v/>
      </c>
      <c r="V776" s="584">
        <f>TEXT(T776,"YYMM")</f>
        <v/>
      </c>
    </row>
    <row r="777">
      <c r="U777" s="583">
        <f>TEXT(Q777,"YYMM")</f>
        <v/>
      </c>
      <c r="V777" s="584">
        <f>TEXT(T777,"YYMM")</f>
        <v/>
      </c>
    </row>
    <row r="778">
      <c r="U778" s="583">
        <f>TEXT(Q778,"YYMM")</f>
        <v/>
      </c>
      <c r="V778" s="584">
        <f>TEXT(T778,"YYMM")</f>
        <v/>
      </c>
    </row>
    <row r="779">
      <c r="U779" s="583">
        <f>TEXT(Q779,"YYMM")</f>
        <v/>
      </c>
      <c r="V779" s="584">
        <f>TEXT(T779,"YYMM")</f>
        <v/>
      </c>
    </row>
    <row r="780">
      <c r="U780" s="583">
        <f>TEXT(Q780,"YYMM")</f>
        <v/>
      </c>
      <c r="V780" s="584">
        <f>TEXT(T780,"YYMM")</f>
        <v/>
      </c>
    </row>
    <row r="781">
      <c r="U781" s="583">
        <f>TEXT(Q781,"YYMM")</f>
        <v/>
      </c>
      <c r="V781" s="584">
        <f>TEXT(T781,"YYMM")</f>
        <v/>
      </c>
    </row>
    <row r="782">
      <c r="U782" s="583">
        <f>TEXT(Q782,"YYMM")</f>
        <v/>
      </c>
      <c r="V782" s="584">
        <f>TEXT(T782,"YYMM")</f>
        <v/>
      </c>
    </row>
    <row r="783">
      <c r="U783" s="583">
        <f>TEXT(Q783,"YYMM")</f>
        <v/>
      </c>
      <c r="V783" s="584">
        <f>TEXT(T783,"YYMM")</f>
        <v/>
      </c>
    </row>
    <row r="784">
      <c r="U784" s="583">
        <f>TEXT(Q784,"YYMM")</f>
        <v/>
      </c>
      <c r="V784" s="584">
        <f>TEXT(T784,"YYMM")</f>
        <v/>
      </c>
    </row>
    <row r="785">
      <c r="U785" s="583">
        <f>TEXT(Q785,"YYMM")</f>
        <v/>
      </c>
      <c r="V785" s="584">
        <f>TEXT(T785,"YYMM")</f>
        <v/>
      </c>
    </row>
    <row r="786">
      <c r="U786" s="583">
        <f>TEXT(Q786,"YYMM")</f>
        <v/>
      </c>
      <c r="V786" s="584">
        <f>TEXT(T786,"YYMM")</f>
        <v/>
      </c>
    </row>
    <row r="787">
      <c r="U787" s="583">
        <f>TEXT(Q787,"YYMM")</f>
        <v/>
      </c>
      <c r="V787" s="584">
        <f>TEXT(T787,"YYMM")</f>
        <v/>
      </c>
    </row>
    <row r="788">
      <c r="U788" s="583">
        <f>TEXT(Q788,"YYMM")</f>
        <v/>
      </c>
      <c r="V788" s="584">
        <f>TEXT(T788,"YYMM")</f>
        <v/>
      </c>
    </row>
    <row r="789">
      <c r="U789" s="583">
        <f>TEXT(Q789,"YYMM")</f>
        <v/>
      </c>
      <c r="V789" s="584">
        <f>TEXT(T789,"YYMM")</f>
        <v/>
      </c>
    </row>
    <row r="790">
      <c r="U790" s="583">
        <f>TEXT(Q790,"YYMM")</f>
        <v/>
      </c>
      <c r="V790" s="584">
        <f>TEXT(T790,"YYMM")</f>
        <v/>
      </c>
    </row>
    <row r="791">
      <c r="U791" s="583">
        <f>TEXT(Q791,"YYMM")</f>
        <v/>
      </c>
      <c r="V791" s="584">
        <f>TEXT(T791,"YYMM")</f>
        <v/>
      </c>
    </row>
    <row r="792">
      <c r="U792" s="583">
        <f>TEXT(Q792,"YYMM")</f>
        <v/>
      </c>
      <c r="V792" s="584">
        <f>TEXT(T792,"YYMM")</f>
        <v/>
      </c>
    </row>
    <row r="793">
      <c r="U793" s="583">
        <f>TEXT(Q793,"YYMM")</f>
        <v/>
      </c>
      <c r="V793" s="584">
        <f>TEXT(T793,"YYMM")</f>
        <v/>
      </c>
    </row>
    <row r="794">
      <c r="U794" s="583">
        <f>TEXT(Q794,"YYMM")</f>
        <v/>
      </c>
      <c r="V794" s="584">
        <f>TEXT(T794,"YYMM")</f>
        <v/>
      </c>
    </row>
    <row r="795">
      <c r="U795" s="583">
        <f>TEXT(Q795,"YYMM")</f>
        <v/>
      </c>
      <c r="V795" s="584">
        <f>TEXT(T795,"YYMM")</f>
        <v/>
      </c>
    </row>
    <row r="796">
      <c r="U796" s="583">
        <f>TEXT(Q796,"YYMM")</f>
        <v/>
      </c>
      <c r="V796" s="584">
        <f>TEXT(T796,"YYMM")</f>
        <v/>
      </c>
    </row>
    <row r="797">
      <c r="U797" s="583">
        <f>TEXT(Q797,"YYMM")</f>
        <v/>
      </c>
      <c r="V797" s="584">
        <f>TEXT(T797,"YYMM")</f>
        <v/>
      </c>
    </row>
    <row r="798">
      <c r="U798" s="583">
        <f>TEXT(Q798,"YYMM")</f>
        <v/>
      </c>
      <c r="V798" s="584">
        <f>TEXT(T798,"YYMM")</f>
        <v/>
      </c>
    </row>
    <row r="799">
      <c r="U799" s="583">
        <f>TEXT(Q799,"YYMM")</f>
        <v/>
      </c>
      <c r="V799" s="584">
        <f>TEXT(T799,"YYMM")</f>
        <v/>
      </c>
    </row>
    <row r="800">
      <c r="U800" s="583">
        <f>TEXT(Q800,"YYMM")</f>
        <v/>
      </c>
      <c r="V800" s="584">
        <f>TEXT(T800,"YYMM")</f>
        <v/>
      </c>
    </row>
    <row r="801">
      <c r="U801" s="583">
        <f>TEXT(Q801,"YYMM")</f>
        <v/>
      </c>
      <c r="V801" s="584">
        <f>TEXT(T801,"YYMM")</f>
        <v/>
      </c>
    </row>
    <row r="802">
      <c r="U802" s="583">
        <f>TEXT(Q802,"YYMM")</f>
        <v/>
      </c>
      <c r="V802" s="584">
        <f>TEXT(T802,"YYMM")</f>
        <v/>
      </c>
    </row>
    <row r="803">
      <c r="U803" s="583">
        <f>TEXT(Q803,"YYMM")</f>
        <v/>
      </c>
      <c r="V803" s="584">
        <f>TEXT(T803,"YYMM")</f>
        <v/>
      </c>
    </row>
    <row r="804">
      <c r="U804" s="583">
        <f>TEXT(Q804,"YYMM")</f>
        <v/>
      </c>
      <c r="V804" s="584">
        <f>TEXT(T804,"YYMM")</f>
        <v/>
      </c>
    </row>
    <row r="805">
      <c r="U805" s="583">
        <f>TEXT(Q805,"YYMM")</f>
        <v/>
      </c>
      <c r="V805" s="584">
        <f>TEXT(T805,"YYMM")</f>
        <v/>
      </c>
    </row>
    <row r="806">
      <c r="U806" s="583">
        <f>TEXT(Q806,"YYMM")</f>
        <v/>
      </c>
      <c r="V806" s="584">
        <f>TEXT(T806,"YYMM")</f>
        <v/>
      </c>
    </row>
    <row r="807">
      <c r="U807" s="583">
        <f>TEXT(Q807,"YYMM")</f>
        <v/>
      </c>
      <c r="V807" s="584">
        <f>TEXT(T807,"YYMM")</f>
        <v/>
      </c>
    </row>
    <row r="808">
      <c r="U808" s="583">
        <f>TEXT(Q808,"YYMM")</f>
        <v/>
      </c>
      <c r="V808" s="584">
        <f>TEXT(T808,"YYMM")</f>
        <v/>
      </c>
    </row>
    <row r="809">
      <c r="U809" s="583">
        <f>TEXT(Q809,"YYMM")</f>
        <v/>
      </c>
      <c r="V809" s="584">
        <f>TEXT(T809,"YYMM")</f>
        <v/>
      </c>
    </row>
    <row r="810">
      <c r="U810" s="583">
        <f>TEXT(Q810,"YYMM")</f>
        <v/>
      </c>
      <c r="V810" s="584">
        <f>TEXT(T810,"YYMM")</f>
        <v/>
      </c>
    </row>
    <row r="811">
      <c r="U811" s="583">
        <f>TEXT(Q811,"YYMM")</f>
        <v/>
      </c>
      <c r="V811" s="584">
        <f>TEXT(T811,"YYMM")</f>
        <v/>
      </c>
    </row>
    <row r="812">
      <c r="U812" s="583">
        <f>TEXT(Q812,"YYMM")</f>
        <v/>
      </c>
      <c r="V812" s="584">
        <f>TEXT(T812,"YYMM")</f>
        <v/>
      </c>
    </row>
    <row r="813">
      <c r="U813" s="583">
        <f>TEXT(Q813,"YYMM")</f>
        <v/>
      </c>
      <c r="V813" s="584">
        <f>TEXT(T813,"YYMM")</f>
        <v/>
      </c>
    </row>
    <row r="814">
      <c r="U814" s="583">
        <f>TEXT(Q814,"YYMM")</f>
        <v/>
      </c>
      <c r="V814" s="584">
        <f>TEXT(T814,"YYMM")</f>
        <v/>
      </c>
    </row>
    <row r="815">
      <c r="U815" s="583">
        <f>TEXT(Q815,"YYMM")</f>
        <v/>
      </c>
      <c r="V815" s="584">
        <f>TEXT(T815,"YYMM")</f>
        <v/>
      </c>
    </row>
    <row r="816">
      <c r="U816" s="583">
        <f>TEXT(Q816,"YYMM")</f>
        <v/>
      </c>
      <c r="V816" s="584">
        <f>TEXT(T816,"YYMM")</f>
        <v/>
      </c>
    </row>
    <row r="817">
      <c r="U817" s="583">
        <f>TEXT(Q817,"YYMM")</f>
        <v/>
      </c>
      <c r="V817" s="584">
        <f>TEXT(T817,"YYMM")</f>
        <v/>
      </c>
    </row>
    <row r="818">
      <c r="U818" s="583">
        <f>TEXT(Q818,"YYMM")</f>
        <v/>
      </c>
      <c r="V818" s="584">
        <f>TEXT(T818,"YYMM")</f>
        <v/>
      </c>
    </row>
    <row r="819">
      <c r="U819" s="583">
        <f>TEXT(Q819,"YYMM")</f>
        <v/>
      </c>
      <c r="V819" s="584">
        <f>TEXT(T819,"YYMM")</f>
        <v/>
      </c>
    </row>
    <row r="820">
      <c r="U820" s="583">
        <f>TEXT(Q820,"YYMM")</f>
        <v/>
      </c>
      <c r="V820" s="584">
        <f>TEXT(T820,"YYMM")</f>
        <v/>
      </c>
    </row>
    <row r="821">
      <c r="U821" s="583">
        <f>TEXT(Q821,"YYMM")</f>
        <v/>
      </c>
      <c r="V821" s="584">
        <f>TEXT(T821,"YYMM")</f>
        <v/>
      </c>
    </row>
    <row r="822">
      <c r="U822" s="583">
        <f>TEXT(Q822,"YYMM")</f>
        <v/>
      </c>
      <c r="V822" s="584">
        <f>TEXT(T822,"YYMM")</f>
        <v/>
      </c>
    </row>
    <row r="823">
      <c r="U823" s="583">
        <f>TEXT(Q823,"YYMM")</f>
        <v/>
      </c>
      <c r="V823" s="584">
        <f>TEXT(T823,"YYMM")</f>
        <v/>
      </c>
    </row>
    <row r="824">
      <c r="U824" s="583">
        <f>TEXT(Q824,"YYMM")</f>
        <v/>
      </c>
      <c r="V824" s="584">
        <f>TEXT(T824,"YYMM")</f>
        <v/>
      </c>
    </row>
    <row r="825">
      <c r="U825" s="583">
        <f>TEXT(Q825,"YYMM")</f>
        <v/>
      </c>
      <c r="V825" s="584">
        <f>TEXT(T825,"YYMM")</f>
        <v/>
      </c>
    </row>
    <row r="826">
      <c r="U826" s="583">
        <f>TEXT(Q826,"YYMM")</f>
        <v/>
      </c>
      <c r="V826" s="584">
        <f>TEXT(T826,"YYMM")</f>
        <v/>
      </c>
    </row>
    <row r="827">
      <c r="U827" s="583">
        <f>TEXT(Q827,"YYMM")</f>
        <v/>
      </c>
      <c r="V827" s="584">
        <f>TEXT(T827,"YYMM")</f>
        <v/>
      </c>
    </row>
    <row r="828">
      <c r="U828" s="583">
        <f>TEXT(Q828,"YYMM")</f>
        <v/>
      </c>
      <c r="V828" s="584">
        <f>TEXT(T828,"YYMM")</f>
        <v/>
      </c>
    </row>
    <row r="829">
      <c r="U829" s="583">
        <f>TEXT(Q829,"YYMM")</f>
        <v/>
      </c>
      <c r="V829" s="584">
        <f>TEXT(T829,"YYMM")</f>
        <v/>
      </c>
    </row>
    <row r="830">
      <c r="U830" s="583">
        <f>TEXT(Q830,"YYMM")</f>
        <v/>
      </c>
      <c r="V830" s="584">
        <f>TEXT(T830,"YYMM")</f>
        <v/>
      </c>
    </row>
    <row r="831">
      <c r="U831" s="583">
        <f>TEXT(Q831,"YYMM")</f>
        <v/>
      </c>
      <c r="V831" s="584">
        <f>TEXT(T831,"YYMM")</f>
        <v/>
      </c>
    </row>
    <row r="832">
      <c r="U832" s="583">
        <f>TEXT(Q832,"YYMM")</f>
        <v/>
      </c>
      <c r="V832" s="584">
        <f>TEXT(T832,"YYMM")</f>
        <v/>
      </c>
    </row>
    <row r="833">
      <c r="U833" s="583">
        <f>TEXT(Q833,"YYMM")</f>
        <v/>
      </c>
      <c r="V833" s="584">
        <f>TEXT(T833,"YYMM")</f>
        <v/>
      </c>
    </row>
    <row r="834">
      <c r="U834" s="583">
        <f>TEXT(Q834,"YYMM")</f>
        <v/>
      </c>
      <c r="V834" s="584">
        <f>TEXT(T834,"YYMM")</f>
        <v/>
      </c>
    </row>
    <row r="835">
      <c r="U835" s="583">
        <f>TEXT(Q835,"YYMM")</f>
        <v/>
      </c>
      <c r="V835" s="584">
        <f>TEXT(T835,"YYMM")</f>
        <v/>
      </c>
    </row>
    <row r="836">
      <c r="U836" s="583">
        <f>TEXT(Q836,"YYMM")</f>
        <v/>
      </c>
      <c r="V836" s="584">
        <f>TEXT(T836,"YYMM")</f>
        <v/>
      </c>
    </row>
    <row r="837">
      <c r="U837" s="583">
        <f>TEXT(Q837,"YYMM")</f>
        <v/>
      </c>
      <c r="V837" s="584">
        <f>TEXT(T837,"YYMM")</f>
        <v/>
      </c>
    </row>
    <row r="838">
      <c r="U838" s="583">
        <f>TEXT(Q838,"YYMM")</f>
        <v/>
      </c>
      <c r="V838" s="584">
        <f>TEXT(T838,"YYMM")</f>
        <v/>
      </c>
    </row>
    <row r="839">
      <c r="U839" s="583">
        <f>TEXT(Q839,"YYMM")</f>
        <v/>
      </c>
      <c r="V839" s="584">
        <f>TEXT(T839,"YYMM")</f>
        <v/>
      </c>
    </row>
    <row r="840">
      <c r="U840" s="583">
        <f>TEXT(Q840,"YYMM")</f>
        <v/>
      </c>
      <c r="V840" s="584">
        <f>TEXT(T840,"YYMM")</f>
        <v/>
      </c>
    </row>
    <row r="841">
      <c r="U841" s="583">
        <f>TEXT(Q841,"YYMM")</f>
        <v/>
      </c>
      <c r="V841" s="584">
        <f>TEXT(T841,"YYMM")</f>
        <v/>
      </c>
    </row>
    <row r="842">
      <c r="U842" s="583">
        <f>TEXT(Q842,"YYMM")</f>
        <v/>
      </c>
      <c r="V842" s="584">
        <f>TEXT(T842,"YYMM")</f>
        <v/>
      </c>
    </row>
    <row r="843">
      <c r="U843" s="583">
        <f>TEXT(Q843,"YYMM")</f>
        <v/>
      </c>
      <c r="V843" s="584">
        <f>TEXT(T843,"YYMM")</f>
        <v/>
      </c>
    </row>
    <row r="844">
      <c r="U844" s="583">
        <f>TEXT(Q844,"YYMM")</f>
        <v/>
      </c>
      <c r="V844" s="584">
        <f>TEXT(T844,"YYMM")</f>
        <v/>
      </c>
    </row>
    <row r="845">
      <c r="U845" s="583">
        <f>TEXT(Q845,"YYMM")</f>
        <v/>
      </c>
      <c r="V845" s="584">
        <f>TEXT(T845,"YYMM")</f>
        <v/>
      </c>
    </row>
    <row r="846">
      <c r="U846" s="583">
        <f>TEXT(Q846,"YYMM")</f>
        <v/>
      </c>
      <c r="V846" s="584">
        <f>TEXT(T846,"YYMM")</f>
        <v/>
      </c>
    </row>
    <row r="847">
      <c r="U847" s="583">
        <f>TEXT(Q847,"YYMM")</f>
        <v/>
      </c>
      <c r="V847" s="584">
        <f>TEXT(T847,"YYMM")</f>
        <v/>
      </c>
    </row>
    <row r="848">
      <c r="U848" s="583">
        <f>TEXT(Q848,"YYMM")</f>
        <v/>
      </c>
      <c r="V848" s="584">
        <f>TEXT(T848,"YYMM")</f>
        <v/>
      </c>
    </row>
    <row r="849">
      <c r="U849" s="583">
        <f>TEXT(Q849,"YYMM")</f>
        <v/>
      </c>
      <c r="V849" s="584">
        <f>TEXT(T849,"YYMM")</f>
        <v/>
      </c>
    </row>
    <row r="850">
      <c r="U850" s="583">
        <f>TEXT(Q850,"YYMM")</f>
        <v/>
      </c>
      <c r="V850" s="584">
        <f>TEXT(T850,"YYMM")</f>
        <v/>
      </c>
    </row>
    <row r="851">
      <c r="U851" s="583">
        <f>TEXT(Q851,"YYMM")</f>
        <v/>
      </c>
      <c r="V851" s="584">
        <f>TEXT(T851,"YYMM")</f>
        <v/>
      </c>
    </row>
    <row r="852">
      <c r="U852" s="583">
        <f>TEXT(Q852,"YYMM")</f>
        <v/>
      </c>
      <c r="V852" s="584">
        <f>TEXT(T852,"YYMM")</f>
        <v/>
      </c>
    </row>
    <row r="853">
      <c r="U853" s="583">
        <f>TEXT(Q853,"YYMM")</f>
        <v/>
      </c>
      <c r="V853" s="584">
        <f>TEXT(T853,"YYMM")</f>
        <v/>
      </c>
    </row>
    <row r="854">
      <c r="U854" s="583">
        <f>TEXT(Q854,"YYMM")</f>
        <v/>
      </c>
      <c r="V854" s="584">
        <f>TEXT(T854,"YYMM")</f>
        <v/>
      </c>
    </row>
    <row r="855">
      <c r="U855" s="583">
        <f>TEXT(Q855,"YYMM")</f>
        <v/>
      </c>
      <c r="V855" s="584">
        <f>TEXT(T855,"YYMM")</f>
        <v/>
      </c>
    </row>
    <row r="856">
      <c r="U856" s="583">
        <f>TEXT(Q856,"YYMM")</f>
        <v/>
      </c>
      <c r="V856" s="584">
        <f>TEXT(T856,"YYMM")</f>
        <v/>
      </c>
    </row>
    <row r="857">
      <c r="U857" s="583">
        <f>TEXT(Q857,"YYMM")</f>
        <v/>
      </c>
      <c r="V857" s="584">
        <f>TEXT(T857,"YYMM")</f>
        <v/>
      </c>
    </row>
    <row r="858">
      <c r="U858" s="583">
        <f>TEXT(Q858,"YYMM")</f>
        <v/>
      </c>
      <c r="V858" s="584">
        <f>TEXT(T858,"YYMM")</f>
        <v/>
      </c>
    </row>
    <row r="859">
      <c r="U859" s="583">
        <f>TEXT(Q859,"YYMM")</f>
        <v/>
      </c>
      <c r="V859" s="584">
        <f>TEXT(T859,"YYMM")</f>
        <v/>
      </c>
    </row>
    <row r="860">
      <c r="U860" s="583">
        <f>TEXT(Q860,"YYMM")</f>
        <v/>
      </c>
      <c r="V860" s="584">
        <f>TEXT(T860,"YYMM")</f>
        <v/>
      </c>
    </row>
    <row r="861">
      <c r="U861" s="583">
        <f>TEXT(Q861,"YYMM")</f>
        <v/>
      </c>
      <c r="V861" s="584">
        <f>TEXT(T861,"YYMM")</f>
        <v/>
      </c>
    </row>
    <row r="862">
      <c r="U862" s="583">
        <f>TEXT(Q862,"YYMM")</f>
        <v/>
      </c>
      <c r="V862" s="584">
        <f>TEXT(T862,"YYMM")</f>
        <v/>
      </c>
    </row>
    <row r="863">
      <c r="U863" s="583">
        <f>TEXT(Q863,"YYMM")</f>
        <v/>
      </c>
      <c r="V863" s="584">
        <f>TEXT(T863,"YYMM")</f>
        <v/>
      </c>
    </row>
    <row r="864">
      <c r="U864" s="583">
        <f>TEXT(Q864,"YYMM")</f>
        <v/>
      </c>
      <c r="V864" s="584">
        <f>TEXT(T864,"YYMM")</f>
        <v/>
      </c>
    </row>
    <row r="865">
      <c r="U865" s="583">
        <f>TEXT(Q865,"YYMM")</f>
        <v/>
      </c>
      <c r="V865" s="584">
        <f>TEXT(T865,"YYMM")</f>
        <v/>
      </c>
    </row>
    <row r="866">
      <c r="U866" s="583">
        <f>TEXT(Q866,"YYMM")</f>
        <v/>
      </c>
      <c r="V866" s="584">
        <f>TEXT(T866,"YYMM")</f>
        <v/>
      </c>
    </row>
    <row r="867">
      <c r="U867" s="583">
        <f>TEXT(Q867,"YYMM")</f>
        <v/>
      </c>
      <c r="V867" s="584">
        <f>TEXT(T867,"YYMM")</f>
        <v/>
      </c>
    </row>
    <row r="868">
      <c r="U868" s="583">
        <f>TEXT(Q868,"YYMM")</f>
        <v/>
      </c>
      <c r="V868" s="584">
        <f>TEXT(T868,"YYMM")</f>
        <v/>
      </c>
    </row>
    <row r="869">
      <c r="U869" s="583">
        <f>TEXT(Q869,"YYMM")</f>
        <v/>
      </c>
      <c r="V869" s="584">
        <f>TEXT(T869,"YYMM")</f>
        <v/>
      </c>
    </row>
    <row r="870">
      <c r="U870" s="583">
        <f>TEXT(Q870,"YYMM")</f>
        <v/>
      </c>
      <c r="V870" s="584">
        <f>TEXT(T870,"YYMM")</f>
        <v/>
      </c>
    </row>
    <row r="871">
      <c r="U871" s="583">
        <f>TEXT(Q871,"YYMM")</f>
        <v/>
      </c>
      <c r="V871" s="584">
        <f>TEXT(T871,"YYMM")</f>
        <v/>
      </c>
    </row>
    <row r="872">
      <c r="U872" s="583">
        <f>TEXT(Q872,"YYMM")</f>
        <v/>
      </c>
      <c r="V872" s="584">
        <f>TEXT(T872,"YYMM")</f>
        <v/>
      </c>
    </row>
    <row r="873">
      <c r="U873" s="583">
        <f>TEXT(Q873,"YYMM")</f>
        <v/>
      </c>
      <c r="V873" s="584">
        <f>TEXT(T873,"YYMM")</f>
        <v/>
      </c>
    </row>
    <row r="874">
      <c r="U874" s="583">
        <f>TEXT(Q874,"YYMM")</f>
        <v/>
      </c>
      <c r="V874" s="584">
        <f>TEXT(T874,"YYMM")</f>
        <v/>
      </c>
    </row>
    <row r="875">
      <c r="U875" s="583">
        <f>TEXT(Q875,"YYMM")</f>
        <v/>
      </c>
      <c r="V875" s="584">
        <f>TEXT(T875,"YYMM")</f>
        <v/>
      </c>
    </row>
    <row r="876">
      <c r="U876" s="583">
        <f>TEXT(Q876,"YYMM")</f>
        <v/>
      </c>
      <c r="V876" s="584">
        <f>TEXT(T876,"YYMM")</f>
        <v/>
      </c>
    </row>
    <row r="877">
      <c r="U877" s="583">
        <f>TEXT(Q877,"YYMM")</f>
        <v/>
      </c>
      <c r="V877" s="584">
        <f>TEXT(T877,"YYMM")</f>
        <v/>
      </c>
    </row>
    <row r="878">
      <c r="U878" s="583">
        <f>TEXT(Q878,"YYMM")</f>
        <v/>
      </c>
      <c r="V878" s="584">
        <f>TEXT(T878,"YYMM")</f>
        <v/>
      </c>
    </row>
    <row r="879">
      <c r="U879" s="583">
        <f>TEXT(Q879,"YYMM")</f>
        <v/>
      </c>
      <c r="V879" s="584">
        <f>TEXT(T879,"YYMM")</f>
        <v/>
      </c>
    </row>
    <row r="880">
      <c r="U880" s="583">
        <f>TEXT(Q880,"YYMM")</f>
        <v/>
      </c>
      <c r="V880" s="584">
        <f>TEXT(T880,"YYMM")</f>
        <v/>
      </c>
    </row>
    <row r="881">
      <c r="U881" s="583">
        <f>TEXT(Q881,"YYMM")</f>
        <v/>
      </c>
      <c r="V881" s="584">
        <f>TEXT(T881,"YYMM")</f>
        <v/>
      </c>
    </row>
    <row r="882">
      <c r="U882" s="583">
        <f>TEXT(Q882,"YYMM")</f>
        <v/>
      </c>
      <c r="V882" s="584">
        <f>TEXT(T882,"YYMM")</f>
        <v/>
      </c>
    </row>
    <row r="883">
      <c r="U883" s="583">
        <f>TEXT(Q883,"YYMM")</f>
        <v/>
      </c>
      <c r="V883" s="584">
        <f>TEXT(T883,"YYMM")</f>
        <v/>
      </c>
    </row>
    <row r="884">
      <c r="U884" s="583">
        <f>TEXT(Q884,"YYMM")</f>
        <v/>
      </c>
      <c r="V884" s="584">
        <f>TEXT(T884,"YYMM")</f>
        <v/>
      </c>
    </row>
    <row r="885">
      <c r="U885" s="583">
        <f>TEXT(Q885,"YYMM")</f>
        <v/>
      </c>
      <c r="V885" s="584">
        <f>TEXT(T885,"YYMM")</f>
        <v/>
      </c>
    </row>
    <row r="886">
      <c r="U886" s="583">
        <f>TEXT(Q886,"YYMM")</f>
        <v/>
      </c>
      <c r="V886" s="584">
        <f>TEXT(T886,"YYMM")</f>
        <v/>
      </c>
    </row>
    <row r="887">
      <c r="U887" s="583">
        <f>TEXT(Q887,"YYMM")</f>
        <v/>
      </c>
      <c r="V887" s="584">
        <f>TEXT(T887,"YYMM")</f>
        <v/>
      </c>
    </row>
    <row r="888">
      <c r="U888" s="583">
        <f>TEXT(Q888,"YYMM")</f>
        <v/>
      </c>
      <c r="V888" s="584">
        <f>TEXT(T888,"YYMM")</f>
        <v/>
      </c>
    </row>
    <row r="889">
      <c r="U889" s="583">
        <f>TEXT(Q889,"YYMM")</f>
        <v/>
      </c>
      <c r="V889" s="584">
        <f>TEXT(T889,"YYMM")</f>
        <v/>
      </c>
    </row>
    <row r="890">
      <c r="U890" s="583">
        <f>TEXT(Q890,"YYMM")</f>
        <v/>
      </c>
      <c r="V890" s="584">
        <f>TEXT(T890,"YYMM")</f>
        <v/>
      </c>
    </row>
    <row r="891">
      <c r="U891" s="583">
        <f>TEXT(Q891,"YYMM")</f>
        <v/>
      </c>
      <c r="V891" s="584">
        <f>TEXT(T891,"YYMM")</f>
        <v/>
      </c>
    </row>
    <row r="892">
      <c r="U892" s="583">
        <f>TEXT(Q892,"YYMM")</f>
        <v/>
      </c>
      <c r="V892" s="584">
        <f>TEXT(T892,"YYMM")</f>
        <v/>
      </c>
    </row>
    <row r="893">
      <c r="U893" s="583">
        <f>TEXT(Q893,"YYMM")</f>
        <v/>
      </c>
      <c r="V893" s="584">
        <f>TEXT(T893,"YYMM")</f>
        <v/>
      </c>
    </row>
    <row r="894">
      <c r="U894" s="583">
        <f>TEXT(Q894,"YYMM")</f>
        <v/>
      </c>
      <c r="V894" s="584">
        <f>TEXT(T894,"YYMM")</f>
        <v/>
      </c>
    </row>
    <row r="895">
      <c r="U895" s="583">
        <f>TEXT(Q895,"YYMM")</f>
        <v/>
      </c>
      <c r="V895" s="584">
        <f>TEXT(T895,"YYMM")</f>
        <v/>
      </c>
    </row>
    <row r="896">
      <c r="U896" s="583">
        <f>TEXT(Q896,"YYMM")</f>
        <v/>
      </c>
      <c r="V896" s="584">
        <f>TEXT(T896,"YYMM")</f>
        <v/>
      </c>
    </row>
    <row r="897">
      <c r="U897" s="583">
        <f>TEXT(Q897,"YYMM")</f>
        <v/>
      </c>
      <c r="V897" s="584">
        <f>TEXT(T897,"YYMM")</f>
        <v/>
      </c>
    </row>
    <row r="898">
      <c r="U898" s="583">
        <f>TEXT(Q898,"YYMM")</f>
        <v/>
      </c>
      <c r="V898" s="584">
        <f>TEXT(T898,"YYMM")</f>
        <v/>
      </c>
    </row>
    <row r="899">
      <c r="U899" s="583">
        <f>TEXT(Q899,"YYMM")</f>
        <v/>
      </c>
      <c r="V899" s="584">
        <f>TEXT(T899,"YYMM")</f>
        <v/>
      </c>
    </row>
    <row r="900">
      <c r="U900" s="583">
        <f>TEXT(Q900,"YYMM")</f>
        <v/>
      </c>
      <c r="V900" s="584">
        <f>TEXT(T900,"YYMM")</f>
        <v/>
      </c>
    </row>
    <row r="901">
      <c r="U901" s="583">
        <f>TEXT(Q901,"YYMM")</f>
        <v/>
      </c>
      <c r="V901" s="584">
        <f>TEXT(T901,"YYMM")</f>
        <v/>
      </c>
    </row>
    <row r="902">
      <c r="U902" s="583">
        <f>TEXT(Q902,"YYMM")</f>
        <v/>
      </c>
      <c r="V902" s="584">
        <f>TEXT(T902,"YYMM")</f>
        <v/>
      </c>
    </row>
    <row r="903">
      <c r="U903" s="583">
        <f>TEXT(Q903,"YYMM")</f>
        <v/>
      </c>
      <c r="V903" s="584">
        <f>TEXT(T903,"YYMM")</f>
        <v/>
      </c>
    </row>
    <row r="904">
      <c r="U904" s="583">
        <f>TEXT(Q904,"YYMM")</f>
        <v/>
      </c>
      <c r="V904" s="584">
        <f>TEXT(T904,"YYMM")</f>
        <v/>
      </c>
    </row>
    <row r="905">
      <c r="U905" s="583">
        <f>TEXT(Q905,"YYMM")</f>
        <v/>
      </c>
      <c r="V905" s="584">
        <f>TEXT(T905,"YYMM")</f>
        <v/>
      </c>
    </row>
    <row r="906">
      <c r="U906" s="583">
        <f>TEXT(Q906,"YYMM")</f>
        <v/>
      </c>
      <c r="V906" s="584">
        <f>TEXT(T906,"YYMM")</f>
        <v/>
      </c>
    </row>
    <row r="907">
      <c r="U907" s="583">
        <f>TEXT(Q907,"YYMM")</f>
        <v/>
      </c>
      <c r="V907" s="584">
        <f>TEXT(T907,"YYMM")</f>
        <v/>
      </c>
    </row>
    <row r="908">
      <c r="U908" s="583">
        <f>TEXT(Q908,"YYMM")</f>
        <v/>
      </c>
      <c r="V908" s="584">
        <f>TEXT(T908,"YYMM")</f>
        <v/>
      </c>
    </row>
    <row r="909">
      <c r="U909" s="583">
        <f>TEXT(Q909,"YYMM")</f>
        <v/>
      </c>
      <c r="V909" s="584">
        <f>TEXT(T909,"YYMM")</f>
        <v/>
      </c>
    </row>
    <row r="910">
      <c r="U910" s="583">
        <f>TEXT(Q910,"YYMM")</f>
        <v/>
      </c>
      <c r="V910" s="584">
        <f>TEXT(T910,"YYMM")</f>
        <v/>
      </c>
    </row>
    <row r="911">
      <c r="U911" s="583">
        <f>TEXT(Q911,"YYMM")</f>
        <v/>
      </c>
      <c r="V911" s="584">
        <f>TEXT(T911,"YYMM")</f>
        <v/>
      </c>
    </row>
    <row r="912">
      <c r="U912" s="583">
        <f>TEXT(Q912,"YYMM")</f>
        <v/>
      </c>
      <c r="V912" s="584">
        <f>TEXT(T912,"YYMM")</f>
        <v/>
      </c>
    </row>
    <row r="913">
      <c r="U913" s="583">
        <f>TEXT(Q913,"YYMM")</f>
        <v/>
      </c>
      <c r="V913" s="584">
        <f>TEXT(T913,"YYMM")</f>
        <v/>
      </c>
    </row>
    <row r="914">
      <c r="U914" s="583">
        <f>TEXT(Q914,"YYMM")</f>
        <v/>
      </c>
      <c r="V914" s="584">
        <f>TEXT(T914,"YYMM")</f>
        <v/>
      </c>
    </row>
    <row r="915">
      <c r="U915" s="583">
        <f>TEXT(Q915,"YYMM")</f>
        <v/>
      </c>
      <c r="V915" s="584">
        <f>TEXT(T915,"YYMM")</f>
        <v/>
      </c>
    </row>
    <row r="916">
      <c r="U916" s="583">
        <f>TEXT(Q916,"YYMM")</f>
        <v/>
      </c>
      <c r="V916" s="584">
        <f>TEXT(T916,"YYMM")</f>
        <v/>
      </c>
    </row>
    <row r="917">
      <c r="U917" s="583">
        <f>TEXT(Q917,"YYMM")</f>
        <v/>
      </c>
      <c r="V917" s="584">
        <f>TEXT(T917,"YYMM")</f>
        <v/>
      </c>
    </row>
    <row r="918">
      <c r="U918" s="583">
        <f>TEXT(Q918,"YYMM")</f>
        <v/>
      </c>
      <c r="V918" s="584">
        <f>TEXT(T918,"YYMM")</f>
        <v/>
      </c>
    </row>
    <row r="919">
      <c r="U919" s="583">
        <f>TEXT(Q919,"YYMM")</f>
        <v/>
      </c>
      <c r="V919" s="584">
        <f>TEXT(T919,"YYMM")</f>
        <v/>
      </c>
    </row>
    <row r="920">
      <c r="U920" s="583">
        <f>TEXT(Q920,"YYMM")</f>
        <v/>
      </c>
      <c r="V920" s="584">
        <f>TEXT(T920,"YYMM")</f>
        <v/>
      </c>
    </row>
    <row r="921">
      <c r="U921" s="583">
        <f>TEXT(Q921,"YYMM")</f>
        <v/>
      </c>
      <c r="V921" s="584">
        <f>TEXT(T921,"YYMM")</f>
        <v/>
      </c>
    </row>
    <row r="922">
      <c r="U922" s="583">
        <f>TEXT(Q922,"YYMM")</f>
        <v/>
      </c>
      <c r="V922" s="584">
        <f>TEXT(T922,"YYMM")</f>
        <v/>
      </c>
    </row>
    <row r="923">
      <c r="U923" s="583">
        <f>TEXT(Q923,"YYMM")</f>
        <v/>
      </c>
      <c r="V923" s="584">
        <f>TEXT(T923,"YYMM")</f>
        <v/>
      </c>
    </row>
    <row r="924">
      <c r="U924" s="583">
        <f>TEXT(Q924,"YYMM")</f>
        <v/>
      </c>
      <c r="V924" s="584">
        <f>TEXT(T924,"YYMM")</f>
        <v/>
      </c>
    </row>
    <row r="925">
      <c r="U925" s="583">
        <f>TEXT(Q925,"YYMM")</f>
        <v/>
      </c>
      <c r="V925" s="584">
        <f>TEXT(T925,"YYMM")</f>
        <v/>
      </c>
    </row>
    <row r="926">
      <c r="U926" s="583">
        <f>TEXT(Q926,"YYMM")</f>
        <v/>
      </c>
      <c r="V926" s="584">
        <f>TEXT(T926,"YYMM")</f>
        <v/>
      </c>
    </row>
    <row r="927">
      <c r="U927" s="583">
        <f>TEXT(Q927,"YYMM")</f>
        <v/>
      </c>
      <c r="V927" s="584">
        <f>TEXT(T927,"YYMM")</f>
        <v/>
      </c>
    </row>
    <row r="928">
      <c r="U928" s="583">
        <f>TEXT(Q928,"YYMM")</f>
        <v/>
      </c>
      <c r="V928" s="584">
        <f>TEXT(T928,"YYMM")</f>
        <v/>
      </c>
    </row>
    <row r="929">
      <c r="U929" s="583">
        <f>TEXT(Q929,"YYMM")</f>
        <v/>
      </c>
      <c r="V929" s="584">
        <f>TEXT(T929,"YYMM")</f>
        <v/>
      </c>
    </row>
    <row r="930">
      <c r="U930" s="583">
        <f>TEXT(Q930,"YYMM")</f>
        <v/>
      </c>
      <c r="V930" s="584">
        <f>TEXT(T930,"YYMM")</f>
        <v/>
      </c>
    </row>
    <row r="931">
      <c r="U931" s="583">
        <f>TEXT(Q931,"YYMM")</f>
        <v/>
      </c>
      <c r="V931" s="584">
        <f>TEXT(T931,"YYMM")</f>
        <v/>
      </c>
    </row>
    <row r="932">
      <c r="U932" s="583">
        <f>TEXT(Q932,"YYMM")</f>
        <v/>
      </c>
      <c r="V932" s="584">
        <f>TEXT(T932,"YYMM")</f>
        <v/>
      </c>
    </row>
    <row r="933">
      <c r="U933" s="583">
        <f>TEXT(Q933,"YYMM")</f>
        <v/>
      </c>
      <c r="V933" s="584">
        <f>TEXT(T933,"YYMM")</f>
        <v/>
      </c>
    </row>
    <row r="934">
      <c r="U934" s="583">
        <f>TEXT(Q934,"YYMM")</f>
        <v/>
      </c>
      <c r="V934" s="584">
        <f>TEXT(T934,"YYMM")</f>
        <v/>
      </c>
    </row>
    <row r="935">
      <c r="U935" s="583">
        <f>TEXT(Q935,"YYMM")</f>
        <v/>
      </c>
      <c r="V935" s="584">
        <f>TEXT(T935,"YYMM")</f>
        <v/>
      </c>
    </row>
    <row r="936">
      <c r="U936" s="583">
        <f>TEXT(Q936,"YYMM")</f>
        <v/>
      </c>
      <c r="V936" s="584">
        <f>TEXT(T936,"YYMM")</f>
        <v/>
      </c>
    </row>
    <row r="937">
      <c r="U937" s="583">
        <f>TEXT(Q937,"YYMM")</f>
        <v/>
      </c>
      <c r="V937" s="584">
        <f>TEXT(T937,"YYMM")</f>
        <v/>
      </c>
    </row>
    <row r="938">
      <c r="U938" s="583">
        <f>TEXT(Q938,"YYMM")</f>
        <v/>
      </c>
      <c r="V938" s="584">
        <f>TEXT(T938,"YYMM")</f>
        <v/>
      </c>
    </row>
    <row r="939">
      <c r="U939" s="583">
        <f>TEXT(Q939,"YYMM")</f>
        <v/>
      </c>
      <c r="V939" s="584">
        <f>TEXT(T939,"YYMM")</f>
        <v/>
      </c>
    </row>
    <row r="940">
      <c r="U940" s="583">
        <f>TEXT(Q940,"YYMM")</f>
        <v/>
      </c>
      <c r="V940" s="584">
        <f>TEXT(T940,"YYMM")</f>
        <v/>
      </c>
    </row>
    <row r="941">
      <c r="U941" s="583">
        <f>TEXT(Q941,"YYMM")</f>
        <v/>
      </c>
      <c r="V941" s="584">
        <f>TEXT(T941,"YYMM")</f>
        <v/>
      </c>
    </row>
    <row r="942">
      <c r="U942" s="583">
        <f>TEXT(Q942,"YYMM")</f>
        <v/>
      </c>
      <c r="V942" s="584">
        <f>TEXT(T942,"YYMM")</f>
        <v/>
      </c>
    </row>
    <row r="943">
      <c r="U943" s="583">
        <f>TEXT(Q943,"YYMM")</f>
        <v/>
      </c>
      <c r="V943" s="584">
        <f>TEXT(T943,"YYMM")</f>
        <v/>
      </c>
    </row>
    <row r="944">
      <c r="U944" s="583">
        <f>TEXT(Q944,"YYMM")</f>
        <v/>
      </c>
      <c r="V944" s="584">
        <f>TEXT(T944,"YYMM")</f>
        <v/>
      </c>
    </row>
    <row r="945">
      <c r="U945" s="583">
        <f>TEXT(Q945,"YYMM")</f>
        <v/>
      </c>
      <c r="V945" s="584">
        <f>TEXT(T945,"YYMM")</f>
        <v/>
      </c>
    </row>
    <row r="946">
      <c r="U946" s="583">
        <f>TEXT(Q946,"YYMM")</f>
        <v/>
      </c>
      <c r="V946" s="584">
        <f>TEXT(T946,"YYMM")</f>
        <v/>
      </c>
    </row>
    <row r="947">
      <c r="U947" s="583">
        <f>TEXT(Q947,"YYMM")</f>
        <v/>
      </c>
      <c r="V947" s="584">
        <f>TEXT(T947,"YYMM")</f>
        <v/>
      </c>
    </row>
    <row r="948">
      <c r="U948" s="583">
        <f>TEXT(Q948,"YYMM")</f>
        <v/>
      </c>
      <c r="V948" s="584">
        <f>TEXT(T948,"YYMM")</f>
        <v/>
      </c>
    </row>
    <row r="949">
      <c r="U949" s="583">
        <f>TEXT(Q949,"YYMM")</f>
        <v/>
      </c>
      <c r="V949" s="584">
        <f>TEXT(T949,"YYMM")</f>
        <v/>
      </c>
    </row>
    <row r="950">
      <c r="U950" s="583">
        <f>TEXT(Q950,"YYMM")</f>
        <v/>
      </c>
      <c r="V950" s="584">
        <f>TEXT(T950,"YYMM")</f>
        <v/>
      </c>
    </row>
    <row r="951">
      <c r="U951" s="583">
        <f>TEXT(Q951,"YYMM")</f>
        <v/>
      </c>
      <c r="V951" s="584">
        <f>TEXT(T951,"YYMM")</f>
        <v/>
      </c>
    </row>
    <row r="952">
      <c r="U952" s="583">
        <f>TEXT(Q952,"YYMM")</f>
        <v/>
      </c>
      <c r="V952" s="584">
        <f>TEXT(T952,"YYMM")</f>
        <v/>
      </c>
    </row>
    <row r="953">
      <c r="U953" s="583">
        <f>TEXT(Q953,"YYMM")</f>
        <v/>
      </c>
      <c r="V953" s="584">
        <f>TEXT(T953,"YYMM")</f>
        <v/>
      </c>
    </row>
    <row r="954">
      <c r="U954" s="583">
        <f>TEXT(Q954,"YYMM")</f>
        <v/>
      </c>
      <c r="V954" s="584">
        <f>TEXT(T954,"YYMM")</f>
        <v/>
      </c>
    </row>
    <row r="955">
      <c r="U955" s="583">
        <f>TEXT(Q955,"YYMM")</f>
        <v/>
      </c>
      <c r="V955" s="584">
        <f>TEXT(T955,"YYMM")</f>
        <v/>
      </c>
    </row>
    <row r="956">
      <c r="U956" s="583">
        <f>TEXT(Q956,"YYMM")</f>
        <v/>
      </c>
      <c r="V956" s="584">
        <f>TEXT(T956,"YYMM")</f>
        <v/>
      </c>
    </row>
    <row r="957">
      <c r="U957" s="583">
        <f>TEXT(Q957,"YYMM")</f>
        <v/>
      </c>
      <c r="V957" s="584">
        <f>TEXT(T957,"YYMM")</f>
        <v/>
      </c>
    </row>
    <row r="958">
      <c r="U958" s="583">
        <f>TEXT(Q958,"YYMM")</f>
        <v/>
      </c>
      <c r="V958" s="584">
        <f>TEXT(T958,"YYMM")</f>
        <v/>
      </c>
    </row>
    <row r="959">
      <c r="U959" s="583">
        <f>TEXT(Q959,"YYMM")</f>
        <v/>
      </c>
      <c r="V959" s="584">
        <f>TEXT(T959,"YYMM")</f>
        <v/>
      </c>
    </row>
    <row r="960">
      <c r="U960" s="583">
        <f>TEXT(Q960,"YYMM")</f>
        <v/>
      </c>
      <c r="V960" s="584">
        <f>TEXT(T960,"YYMM")</f>
        <v/>
      </c>
    </row>
    <row r="961">
      <c r="U961" s="583">
        <f>TEXT(Q961,"YYMM")</f>
        <v/>
      </c>
      <c r="V961" s="584">
        <f>TEXT(T961,"YYMM")</f>
        <v/>
      </c>
    </row>
    <row r="962">
      <c r="U962" s="583">
        <f>TEXT(Q962,"YYMM")</f>
        <v/>
      </c>
      <c r="V962" s="584">
        <f>TEXT(T962,"YYMM")</f>
        <v/>
      </c>
    </row>
    <row r="963">
      <c r="U963" s="583">
        <f>TEXT(Q963,"YYMM")</f>
        <v/>
      </c>
      <c r="V963" s="584">
        <f>TEXT(T963,"YYMM")</f>
        <v/>
      </c>
    </row>
    <row r="964">
      <c r="U964" s="583">
        <f>TEXT(Q964,"YYMM")</f>
        <v/>
      </c>
      <c r="V964" s="584">
        <f>TEXT(T964,"YYMM")</f>
        <v/>
      </c>
    </row>
    <row r="965">
      <c r="U965" s="583">
        <f>TEXT(Q965,"YYMM")</f>
        <v/>
      </c>
      <c r="V965" s="584">
        <f>TEXT(T965,"YYMM")</f>
        <v/>
      </c>
    </row>
    <row r="966">
      <c r="U966" s="583">
        <f>TEXT(Q966,"YYMM")</f>
        <v/>
      </c>
      <c r="V966" s="584">
        <f>TEXT(T966,"YYMM")</f>
        <v/>
      </c>
    </row>
    <row r="967">
      <c r="U967" s="583">
        <f>TEXT(Q967,"YYMM")</f>
        <v/>
      </c>
      <c r="V967" s="584">
        <f>TEXT(T967,"YYMM")</f>
        <v/>
      </c>
    </row>
    <row r="968">
      <c r="U968" s="583">
        <f>TEXT(Q968,"YYMM")</f>
        <v/>
      </c>
      <c r="V968" s="584">
        <f>TEXT(T968,"YYMM")</f>
        <v/>
      </c>
    </row>
    <row r="969">
      <c r="U969" s="583">
        <f>TEXT(Q969,"YYMM")</f>
        <v/>
      </c>
      <c r="V969" s="584">
        <f>TEXT(T969,"YYMM")</f>
        <v/>
      </c>
    </row>
    <row r="970">
      <c r="U970" s="583">
        <f>TEXT(Q970,"YYMM")</f>
        <v/>
      </c>
      <c r="V970" s="584">
        <f>TEXT(T970,"YYMM")</f>
        <v/>
      </c>
    </row>
    <row r="971">
      <c r="U971" s="583">
        <f>TEXT(Q971,"YYMM")</f>
        <v/>
      </c>
      <c r="V971" s="584">
        <f>TEXT(T971,"YYMM")</f>
        <v/>
      </c>
    </row>
    <row r="972">
      <c r="U972" s="583">
        <f>TEXT(Q972,"YYMM")</f>
        <v/>
      </c>
      <c r="V972" s="584">
        <f>TEXT(T972,"YYMM")</f>
        <v/>
      </c>
    </row>
    <row r="973">
      <c r="U973" s="583">
        <f>TEXT(Q973,"YYMM")</f>
        <v/>
      </c>
      <c r="V973" s="584">
        <f>TEXT(T973,"YYMM")</f>
        <v/>
      </c>
    </row>
    <row r="974">
      <c r="U974" s="583">
        <f>TEXT(Q974,"YYMM")</f>
        <v/>
      </c>
      <c r="V974" s="584">
        <f>TEXT(T974,"YYMM")</f>
        <v/>
      </c>
    </row>
    <row r="975">
      <c r="U975" s="583">
        <f>TEXT(Q975,"YYMM")</f>
        <v/>
      </c>
      <c r="V975" s="584">
        <f>TEXT(T975,"YYMM")</f>
        <v/>
      </c>
    </row>
    <row r="976">
      <c r="U976" s="583">
        <f>TEXT(Q976,"YYMM")</f>
        <v/>
      </c>
      <c r="V976" s="584">
        <f>TEXT(T976,"YYMM")</f>
        <v/>
      </c>
    </row>
    <row r="977">
      <c r="U977" s="583">
        <f>TEXT(Q977,"YYMM")</f>
        <v/>
      </c>
      <c r="V977" s="584">
        <f>TEXT(T977,"YYMM")</f>
        <v/>
      </c>
    </row>
    <row r="978">
      <c r="U978" s="583">
        <f>TEXT(Q978,"YYMM")</f>
        <v/>
      </c>
      <c r="V978" s="584">
        <f>TEXT(T978,"YYMM")</f>
        <v/>
      </c>
    </row>
    <row r="979">
      <c r="U979" s="583">
        <f>TEXT(Q979,"YYMM")</f>
        <v/>
      </c>
      <c r="V979" s="584">
        <f>TEXT(T979,"YYMM")</f>
        <v/>
      </c>
    </row>
    <row r="980">
      <c r="U980" s="583">
        <f>TEXT(Q980,"YYMM")</f>
        <v/>
      </c>
      <c r="V980" s="584">
        <f>TEXT(T980,"YYMM")</f>
        <v/>
      </c>
    </row>
    <row r="981">
      <c r="U981" s="583">
        <f>TEXT(Q981,"YYMM")</f>
        <v/>
      </c>
      <c r="V981" s="584">
        <f>TEXT(T981,"YYMM")</f>
        <v/>
      </c>
    </row>
    <row r="982">
      <c r="U982" s="583">
        <f>TEXT(Q982,"YYMM")</f>
        <v/>
      </c>
      <c r="V982" s="584">
        <f>TEXT(T982,"YYMM")</f>
        <v/>
      </c>
    </row>
    <row r="983">
      <c r="U983" s="583">
        <f>TEXT(Q983,"YYMM")</f>
        <v/>
      </c>
      <c r="V983" s="584">
        <f>TEXT(T983,"YYMM")</f>
        <v/>
      </c>
    </row>
    <row r="984">
      <c r="U984" s="583">
        <f>TEXT(Q984,"YYMM")</f>
        <v/>
      </c>
      <c r="V984" s="584">
        <f>TEXT(T984,"YYMM")</f>
        <v/>
      </c>
    </row>
    <row r="985">
      <c r="U985" s="583">
        <f>TEXT(Q985,"YYMM")</f>
        <v/>
      </c>
      <c r="V985" s="584">
        <f>TEXT(T985,"YYMM")</f>
        <v/>
      </c>
    </row>
    <row r="986">
      <c r="U986" s="583">
        <f>TEXT(Q986,"YYMM")</f>
        <v/>
      </c>
      <c r="V986" s="584">
        <f>TEXT(T986,"YYMM")</f>
        <v/>
      </c>
    </row>
    <row r="987">
      <c r="U987" s="583">
        <f>TEXT(Q987,"YYMM")</f>
        <v/>
      </c>
      <c r="V987" s="584">
        <f>TEXT(T987,"YYMM")</f>
        <v/>
      </c>
    </row>
    <row r="988">
      <c r="U988" s="583">
        <f>TEXT(Q988,"YYMM")</f>
        <v/>
      </c>
      <c r="V988" s="584">
        <f>TEXT(T988,"YYMM")</f>
        <v/>
      </c>
    </row>
    <row r="989">
      <c r="U989" s="583">
        <f>TEXT(Q989,"YYMM")</f>
        <v/>
      </c>
      <c r="V989" s="584">
        <f>TEXT(T989,"YYMM")</f>
        <v/>
      </c>
    </row>
    <row r="990">
      <c r="U990" s="583">
        <f>TEXT(Q990,"YYMM")</f>
        <v/>
      </c>
      <c r="V990" s="584">
        <f>TEXT(T990,"YYMM")</f>
        <v/>
      </c>
    </row>
    <row r="991">
      <c r="U991" s="583">
        <f>TEXT(Q991,"YYMM")</f>
        <v/>
      </c>
      <c r="V991" s="584">
        <f>TEXT(T991,"YYMM")</f>
        <v/>
      </c>
    </row>
    <row r="992">
      <c r="U992" s="583">
        <f>TEXT(Q992,"YYMM")</f>
        <v/>
      </c>
      <c r="V992" s="584">
        <f>TEXT(T992,"YYMM")</f>
        <v/>
      </c>
    </row>
    <row r="993">
      <c r="U993" s="583">
        <f>TEXT(Q993,"YYMM")</f>
        <v/>
      </c>
      <c r="V993" s="584">
        <f>TEXT(T993,"YYMM")</f>
        <v/>
      </c>
    </row>
    <row r="994">
      <c r="U994" s="583">
        <f>TEXT(Q994,"YYMM")</f>
        <v/>
      </c>
      <c r="V994" s="584">
        <f>TEXT(T994,"YYMM")</f>
        <v/>
      </c>
    </row>
    <row r="995">
      <c r="U995" s="583">
        <f>TEXT(Q995,"YYMM")</f>
        <v/>
      </c>
      <c r="V995" s="584">
        <f>TEXT(T995,"YYMM")</f>
        <v/>
      </c>
    </row>
    <row r="996">
      <c r="U996" s="583">
        <f>TEXT(Q996,"YYMM")</f>
        <v/>
      </c>
      <c r="V996" s="584">
        <f>TEXT(T996,"YYMM")</f>
        <v/>
      </c>
    </row>
    <row r="997">
      <c r="U997" s="583">
        <f>TEXT(Q997,"YYMM")</f>
        <v/>
      </c>
      <c r="V997" s="584">
        <f>TEXT(T997,"YYMM")</f>
        <v/>
      </c>
    </row>
    <row r="998">
      <c r="U998" s="583">
        <f>TEXT(Q998,"YYMM")</f>
        <v/>
      </c>
      <c r="V998" s="584">
        <f>TEXT(T998,"YYMM")</f>
        <v/>
      </c>
    </row>
    <row r="999">
      <c r="U999" s="583">
        <f>TEXT(Q999,"YYMM")</f>
        <v/>
      </c>
      <c r="V999" s="584">
        <f>TEXT(T999,"YYMM")</f>
        <v/>
      </c>
    </row>
    <row r="1000">
      <c r="U1000" s="583">
        <f>TEXT(Q1000,"YYMM")</f>
        <v/>
      </c>
      <c r="V1000" s="584">
        <f>TEXT(T1000,"YYMM")</f>
        <v/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FFC000"/>
    <outlinePr summaryBelow="1" summaryRight="1"/>
    <pageSetUpPr/>
  </sheetPr>
  <dimension ref="B1:U7"/>
  <sheetViews>
    <sheetView showGridLines="0" zoomScale="115" zoomScaleNormal="115" workbookViewId="0">
      <pane xSplit="2" ySplit="2" topLeftCell="C3" activePane="bottomRight" state="frozen"/>
      <selection activeCell="D34" sqref="D34"/>
      <selection pane="topRight" activeCell="D34" sqref="D34"/>
      <selection pane="bottomLeft" activeCell="D34" sqref="D34"/>
      <selection pane="bottomRight" activeCell="L28" sqref="L28"/>
    </sheetView>
  </sheetViews>
  <sheetFormatPr baseColWidth="8" defaultRowHeight="16.5"/>
  <cols>
    <col width="1.125" customWidth="1" style="480" min="1" max="1"/>
    <col width="11.125" bestFit="1" customWidth="1" style="480" min="20" max="20"/>
  </cols>
  <sheetData>
    <row r="1">
      <c r="B1" s="223" t="inlineStr">
        <is>
          <t>SCM통합 지표</t>
        </is>
      </c>
      <c r="E1" s="244" t="inlineStr">
        <is>
          <t>예시</t>
        </is>
      </c>
      <c r="T1" s="245" t="inlineStr">
        <is>
          <t>예시</t>
        </is>
      </c>
    </row>
    <row r="2">
      <c r="B2" s="219" t="n"/>
      <c r="C2" s="219" t="inlineStr">
        <is>
          <t>실출고율</t>
        </is>
      </c>
      <c r="D2" s="219" t="inlineStr">
        <is>
          <t>결품률</t>
        </is>
      </c>
      <c r="E2" s="219" t="inlineStr">
        <is>
          <t>납기준수</t>
        </is>
      </c>
      <c r="F2" s="219" t="inlineStr">
        <is>
          <t>회전율</t>
        </is>
      </c>
      <c r="T2" s="220" t="inlineStr">
        <is>
          <t>구분</t>
        </is>
      </c>
      <c r="U2" s="220" t="inlineStr">
        <is>
          <t>내용</t>
        </is>
      </c>
    </row>
    <row r="3">
      <c r="B3" s="219" t="inlineStr">
        <is>
          <t>1월</t>
        </is>
      </c>
      <c r="C3" s="262">
        <f>실출고율!C14</f>
        <v/>
      </c>
      <c r="D3" s="264">
        <f>결품관리!H2</f>
        <v/>
      </c>
      <c r="E3" s="262">
        <f>납기준수관리!O3</f>
        <v/>
      </c>
      <c r="F3" s="249">
        <f>회전율관리!C6</f>
        <v/>
      </c>
      <c r="T3" t="inlineStr">
        <is>
          <t>회전율</t>
        </is>
      </c>
      <c r="U3" t="inlineStr">
        <is>
          <t xml:space="preserve">XX 재고 관리로 전월대비 XX% 개선 </t>
        </is>
      </c>
    </row>
    <row r="4">
      <c r="B4" s="219" t="inlineStr">
        <is>
          <t>2월</t>
        </is>
      </c>
      <c r="C4" s="262">
        <f>실출고율!D14</f>
        <v/>
      </c>
      <c r="D4" s="264">
        <f>결품관리!I2</f>
        <v/>
      </c>
      <c r="E4" s="262">
        <f>납기준수관리!O4</f>
        <v/>
      </c>
      <c r="F4" s="249">
        <f>회전율관리!E6</f>
        <v/>
      </c>
      <c r="T4" t="inlineStr">
        <is>
          <t>실출고율</t>
        </is>
      </c>
      <c r="U4" t="inlineStr">
        <is>
          <t>예측률 사응과 브랜드팀의 인사이트 및 시장변동성 적용 성과로 출고율 상승</t>
        </is>
      </c>
    </row>
    <row r="5">
      <c r="B5" s="219" t="inlineStr">
        <is>
          <t>3월</t>
        </is>
      </c>
      <c r="C5" s="262">
        <f>실출고율!E14</f>
        <v/>
      </c>
      <c r="D5" s="264">
        <f>결품관리!J2</f>
        <v/>
      </c>
      <c r="E5" s="262">
        <f>납기준수관리!O5</f>
        <v/>
      </c>
      <c r="F5" s="249">
        <f>회전율관리!G6</f>
        <v/>
      </c>
      <c r="T5" t="inlineStr">
        <is>
          <t>결품률</t>
        </is>
      </c>
      <c r="U5" t="inlineStr">
        <is>
          <t xml:space="preserve">물류 운송 이슈와 WMS 초기 도입에 따른 버퍼링(적응)기간으로 결품률 증가 </t>
        </is>
      </c>
    </row>
    <row r="6">
      <c r="T6" t="inlineStr">
        <is>
          <t>납기준수율</t>
        </is>
      </c>
      <c r="U6" t="inlineStr">
        <is>
          <t>생산 관리 집중과 신속한 대응으로 준수율 개선</t>
        </is>
      </c>
    </row>
    <row r="7">
      <c r="T7" t="inlineStr">
        <is>
          <t>안정성 관리</t>
        </is>
      </c>
      <c r="U7" t="inlineStr">
        <is>
          <t xml:space="preserve">시즌성 제품 판매 하락으로 Z 증가 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C000"/>
    <outlinePr summaryBelow="1" summaryRight="1"/>
    <pageSetUpPr/>
  </sheetPr>
  <dimension ref="B1:K32"/>
  <sheetViews>
    <sheetView showGridLines="0"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" sqref="B4:B7"/>
    </sheetView>
  </sheetViews>
  <sheetFormatPr baseColWidth="8" defaultRowHeight="16.5"/>
  <cols>
    <col width="0.75" customWidth="1" style="480" min="1" max="1"/>
    <col width="17.5" bestFit="1" customWidth="1" style="480" min="2" max="2"/>
    <col width="8.5" bestFit="1" customWidth="1" style="480" min="3" max="4"/>
    <col width="15.75" bestFit="1" customWidth="1" style="480" min="5" max="5"/>
    <col width="8.5" bestFit="1" customWidth="1" style="480" min="6" max="7"/>
    <col width="15.75" bestFit="1" customWidth="1" style="480" min="8" max="8"/>
    <col width="8.5" bestFit="1" customWidth="1" style="480" min="9" max="10"/>
    <col width="15.75" bestFit="1" customWidth="1" style="480" min="11" max="11"/>
  </cols>
  <sheetData>
    <row r="1">
      <c r="B1" s="245" t="inlineStr">
        <is>
          <t>예시</t>
        </is>
      </c>
    </row>
    <row r="2" customFormat="1" s="158">
      <c r="B2" s="224" t="inlineStr">
        <is>
          <t>구분</t>
        </is>
      </c>
      <c r="C2" s="224" t="inlineStr">
        <is>
          <t>1월</t>
        </is>
      </c>
      <c r="D2" s="224" t="inlineStr">
        <is>
          <t>1월</t>
        </is>
      </c>
      <c r="E2" s="224" t="inlineStr">
        <is>
          <t>1월</t>
        </is>
      </c>
      <c r="F2" s="224" t="inlineStr">
        <is>
          <t>2월</t>
        </is>
      </c>
      <c r="G2" s="224" t="inlineStr">
        <is>
          <t>2월</t>
        </is>
      </c>
      <c r="H2" s="224" t="inlineStr">
        <is>
          <t>2월</t>
        </is>
      </c>
      <c r="I2" s="224" t="inlineStr">
        <is>
          <t>3월</t>
        </is>
      </c>
      <c r="J2" s="224" t="inlineStr">
        <is>
          <t>3월</t>
        </is>
      </c>
      <c r="K2" s="224" t="inlineStr">
        <is>
          <t>3월</t>
        </is>
      </c>
    </row>
    <row r="3">
      <c r="B3" s="224" t="inlineStr">
        <is>
          <t>SKU#</t>
        </is>
      </c>
      <c r="C3" s="224" t="inlineStr">
        <is>
          <t>포캐스트</t>
        </is>
      </c>
      <c r="D3" s="224" t="inlineStr">
        <is>
          <t>실출고량</t>
        </is>
      </c>
      <c r="E3" s="224" t="inlineStr">
        <is>
          <t>계획 대비 출고량</t>
        </is>
      </c>
      <c r="F3" s="224" t="inlineStr">
        <is>
          <t>포캐스트</t>
        </is>
      </c>
      <c r="G3" s="224" t="inlineStr">
        <is>
          <t>실출고량</t>
        </is>
      </c>
      <c r="H3" s="224" t="inlineStr">
        <is>
          <t>계획 대비 출고량</t>
        </is>
      </c>
      <c r="I3" s="224" t="inlineStr">
        <is>
          <t>포캐스트</t>
        </is>
      </c>
      <c r="J3" s="224" t="inlineStr">
        <is>
          <t>실출고량</t>
        </is>
      </c>
      <c r="K3" s="224" t="inlineStr">
        <is>
          <t>계획 대비 출고량</t>
        </is>
      </c>
    </row>
    <row r="4">
      <c r="B4" s="225" t="inlineStr">
        <is>
          <t>ABC1</t>
        </is>
      </c>
      <c r="C4" s="224" t="n">
        <v>100</v>
      </c>
      <c r="D4" s="224" t="n">
        <v>80</v>
      </c>
      <c r="E4" s="226">
        <f>D4/C4</f>
        <v/>
      </c>
      <c r="F4" s="224" t="n">
        <v>200</v>
      </c>
      <c r="G4" s="224" t="n">
        <v>50</v>
      </c>
      <c r="H4" s="226">
        <f>G4/F4</f>
        <v/>
      </c>
      <c r="I4" s="224" t="n">
        <v>150</v>
      </c>
      <c r="J4" s="224" t="n">
        <v>180</v>
      </c>
      <c r="K4" s="226">
        <f>J4/I4</f>
        <v/>
      </c>
    </row>
    <row r="5">
      <c r="B5" s="225" t="inlineStr">
        <is>
          <t>ABC2</t>
        </is>
      </c>
      <c r="C5" s="224" t="n">
        <v>200</v>
      </c>
      <c r="D5" s="224" t="n">
        <v>70</v>
      </c>
      <c r="E5" s="226">
        <f>D5/C5</f>
        <v/>
      </c>
      <c r="F5" s="224" t="n">
        <v>200</v>
      </c>
      <c r="G5" s="224" t="n">
        <v>50</v>
      </c>
      <c r="H5" s="226">
        <f>G5/F5</f>
        <v/>
      </c>
      <c r="I5" s="224" t="n">
        <v>150</v>
      </c>
      <c r="J5" s="224" t="n">
        <v>180</v>
      </c>
      <c r="K5" s="226">
        <f>J5/I5</f>
        <v/>
      </c>
    </row>
    <row r="6">
      <c r="B6" s="225" t="inlineStr">
        <is>
          <t>ABC3</t>
        </is>
      </c>
      <c r="C6" s="224" t="n">
        <v>50</v>
      </c>
      <c r="D6" s="224" t="n">
        <v>40</v>
      </c>
      <c r="E6" s="226">
        <f>D6/C6</f>
        <v/>
      </c>
      <c r="F6" s="224" t="n">
        <v>100</v>
      </c>
      <c r="G6" s="224" t="n">
        <v>30</v>
      </c>
      <c r="H6" s="226">
        <f>G6/F6</f>
        <v/>
      </c>
      <c r="I6" s="224" t="n">
        <v>100</v>
      </c>
      <c r="J6" s="224" t="n">
        <v>150</v>
      </c>
      <c r="K6" s="226">
        <f>J6/I6</f>
        <v/>
      </c>
    </row>
    <row r="7">
      <c r="B7" s="225" t="inlineStr">
        <is>
          <t>ABC4</t>
        </is>
      </c>
      <c r="C7" s="224" t="n">
        <v>10</v>
      </c>
      <c r="D7" s="224" t="n">
        <v>80</v>
      </c>
      <c r="E7" s="226">
        <f>D7/C7</f>
        <v/>
      </c>
      <c r="F7" s="224" t="n">
        <v>20</v>
      </c>
      <c r="G7" s="224" t="n">
        <v>70</v>
      </c>
      <c r="H7" s="226">
        <f>G7/F7</f>
        <v/>
      </c>
      <c r="I7" s="224" t="n">
        <v>50</v>
      </c>
      <c r="J7" s="224" t="n">
        <v>80</v>
      </c>
      <c r="K7" s="226">
        <f>J7/I7</f>
        <v/>
      </c>
    </row>
    <row r="8">
      <c r="B8" s="225" t="inlineStr">
        <is>
          <t>계</t>
        </is>
      </c>
      <c r="C8" s="224">
        <f>SUM(C4:C7)</f>
        <v/>
      </c>
      <c r="D8" s="224">
        <f>SUM(D4:D7)</f>
        <v/>
      </c>
      <c r="E8" s="226">
        <f>D8/C8</f>
        <v/>
      </c>
      <c r="F8" s="224">
        <f>SUM(F4:F7)</f>
        <v/>
      </c>
      <c r="G8" s="224">
        <f>SUM(G4:G7)</f>
        <v/>
      </c>
      <c r="H8" s="226">
        <f>G8/F8</f>
        <v/>
      </c>
      <c r="I8" s="224">
        <f>SUM(I4:I7)</f>
        <v/>
      </c>
      <c r="J8" s="224">
        <f>SUM(J4:J7)</f>
        <v/>
      </c>
      <c r="K8" s="226">
        <f>J8/I8</f>
        <v/>
      </c>
    </row>
    <row r="9">
      <c r="B9" s="26" t="n"/>
      <c r="C9" s="158" t="n"/>
      <c r="D9" s="158" t="n"/>
      <c r="E9" s="242" t="n"/>
      <c r="F9" s="158" t="n"/>
      <c r="G9" s="158" t="n"/>
      <c r="H9" s="242" t="n"/>
      <c r="I9" s="158" t="n"/>
      <c r="J9" s="158" t="n"/>
      <c r="K9" s="242" t="n"/>
    </row>
    <row r="10">
      <c r="B10" s="26" t="n"/>
      <c r="C10" s="158" t="n"/>
      <c r="D10" s="158" t="n"/>
      <c r="E10" s="242" t="n"/>
      <c r="F10" s="158" t="n"/>
      <c r="G10" s="158" t="n"/>
      <c r="H10" s="242" t="n"/>
      <c r="I10" s="158" t="n"/>
      <c r="J10" s="158" t="n"/>
      <c r="K10" s="242" t="n"/>
    </row>
    <row r="11">
      <c r="B11" s="224" t="n"/>
      <c r="C11" s="224" t="inlineStr">
        <is>
          <t>1월</t>
        </is>
      </c>
      <c r="D11" s="224" t="inlineStr">
        <is>
          <t>2월</t>
        </is>
      </c>
      <c r="E11" s="224" t="inlineStr">
        <is>
          <t>3월</t>
        </is>
      </c>
    </row>
    <row r="12">
      <c r="B12" s="224" t="inlineStr">
        <is>
          <t>포캐스트</t>
        </is>
      </c>
      <c r="C12" s="224">
        <f>C8</f>
        <v/>
      </c>
      <c r="D12" s="224">
        <f>F8</f>
        <v/>
      </c>
      <c r="E12" s="224">
        <f>I8</f>
        <v/>
      </c>
    </row>
    <row r="13">
      <c r="B13" s="224" t="inlineStr">
        <is>
          <t>출고</t>
        </is>
      </c>
      <c r="C13" s="224">
        <f>D8</f>
        <v/>
      </c>
      <c r="D13" s="224">
        <f>G8</f>
        <v/>
      </c>
      <c r="E13" s="224">
        <f>J8</f>
        <v/>
      </c>
    </row>
    <row r="14">
      <c r="B14" s="224" t="inlineStr">
        <is>
          <t>실출고율</t>
        </is>
      </c>
      <c r="C14" s="243">
        <f>E8</f>
        <v/>
      </c>
      <c r="D14" s="243">
        <f>H8</f>
        <v/>
      </c>
      <c r="E14" s="243">
        <f>K8</f>
        <v/>
      </c>
    </row>
    <row r="32">
      <c r="B32" s="241" t="inlineStr">
        <is>
          <t>back</t>
        </is>
      </c>
    </row>
  </sheetData>
  <conditionalFormatting sqref="B4:B7">
    <cfRule type="duplicateValues" priority="45" dxfId="1"/>
  </conditionalFormatting>
  <conditionalFormatting sqref="B8:B10">
    <cfRule type="duplicateValues" priority="1" dxfId="1"/>
    <cfRule type="duplicateValues" priority="2" dxfId="1"/>
  </conditionalFormatting>
  <hyperlinks>
    <hyperlink ref="B32" location="Index!A1" display="back"/>
  </hyperlink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C000"/>
    <outlinePr summaryBelow="1" summaryRight="1"/>
    <pageSetUpPr/>
  </sheetPr>
  <dimension ref="B1:M27"/>
  <sheetViews>
    <sheetView showGridLines="0" zoomScale="130" zoomScaleNormal="130" workbookViewId="0">
      <pane xSplit="2" ySplit="8" topLeftCell="C9" activePane="bottomRight" state="frozen"/>
      <selection activeCell="D34" sqref="D34"/>
      <selection pane="topRight" activeCell="D34" sqref="D34"/>
      <selection pane="bottomLeft" activeCell="D34" sqref="D34"/>
      <selection pane="bottomRight" activeCell="E23" sqref="E23"/>
    </sheetView>
  </sheetViews>
  <sheetFormatPr baseColWidth="8" defaultRowHeight="16.5"/>
  <cols>
    <col width="0.5" customWidth="1" style="480" min="1" max="1"/>
    <col width="16" customWidth="1" style="480" min="2" max="2"/>
    <col width="10.875" bestFit="1" customWidth="1" style="480" min="3" max="3"/>
    <col width="10.75" bestFit="1" customWidth="1" style="256" min="4" max="4"/>
    <col width="8.5" bestFit="1" customWidth="1" style="480" min="5" max="5"/>
    <col width="6.625" bestFit="1" customWidth="1" style="480" min="6" max="6"/>
    <col width="10.125" customWidth="1" style="480" min="7" max="7"/>
    <col width="8.5" bestFit="1" customWidth="1" style="158" min="8" max="8"/>
    <col width="10.75" bestFit="1" customWidth="1" style="256" min="9" max="10"/>
    <col width="12.375" bestFit="1" customWidth="1" style="480" min="11" max="11"/>
    <col width="8.5" bestFit="1" customWidth="1" style="480" min="12" max="12"/>
  </cols>
  <sheetData>
    <row r="1">
      <c r="B1" s="210" t="inlineStr">
        <is>
          <t>결품관리 시트 (AX)</t>
        </is>
      </c>
      <c r="D1" s="258" t="inlineStr">
        <is>
          <t>예시</t>
        </is>
      </c>
      <c r="G1" s="224" t="n"/>
      <c r="H1" s="224" t="inlineStr">
        <is>
          <t>1월</t>
        </is>
      </c>
      <c r="I1" s="263" t="inlineStr">
        <is>
          <t>2월</t>
        </is>
      </c>
      <c r="J1" s="263" t="inlineStr">
        <is>
          <t>3월</t>
        </is>
      </c>
    </row>
    <row r="2">
      <c r="B2" s="210" t="n"/>
      <c r="G2" s="219" t="inlineStr">
        <is>
          <t>전체 결품률</t>
        </is>
      </c>
      <c r="H2" s="243" t="n">
        <v>0.33</v>
      </c>
      <c r="I2" s="226" t="n">
        <v>0.17</v>
      </c>
      <c r="J2" s="226" t="n">
        <v>0.33</v>
      </c>
    </row>
    <row r="3">
      <c r="B3" s="210" t="inlineStr">
        <is>
          <t>해당월</t>
        </is>
      </c>
      <c r="C3" s="256" t="n">
        <v>46082</v>
      </c>
      <c r="D3" s="259" t="inlineStr">
        <is>
          <t>기준일 입력</t>
        </is>
      </c>
      <c r="G3" s="219" t="inlineStr">
        <is>
          <t>AX 결품률</t>
        </is>
      </c>
      <c r="H3" s="226" t="n">
        <v>0</v>
      </c>
      <c r="I3" s="226" t="n">
        <v>0.33</v>
      </c>
      <c r="J3" s="226" t="n">
        <v>0.5</v>
      </c>
    </row>
    <row r="4">
      <c r="B4" s="210" t="inlineStr">
        <is>
          <t>전체 결품률</t>
        </is>
      </c>
      <c r="C4" s="255">
        <f>COUNTIFS(
 H9:H996,"Y",
 D9:D996,"&gt;="&amp;EOMONTH(C3,-1)+1,
 D9:D996,"&lt;="&amp;EOMONTH(C3,0)
)
/
COUNTIFS(
 D9:D996,"&gt;="&amp;EOMONTH(C3,-1)+1,
 D9:D996,"&lt;="&amp;EOMONTH(C3,0)
)</f>
        <v/>
      </c>
    </row>
    <row r="5">
      <c r="B5" s="210" t="inlineStr">
        <is>
          <t>AX 결품률</t>
        </is>
      </c>
      <c r="C5" s="255">
        <f>COUNTIFS(
 C9:C996,"AX",
 H9:H996,"Y",
 D9:D996,"&gt;="&amp;EOMONTH(C3,-1)+1,
 D9:D996,"&lt;="&amp;EOMONTH(C3,0)
)
/
COUNTIFS(
 C9:C996,"AX",
 D9:D996,"&gt;="&amp;EOMONTH(C3,-1)+1,
 D9:D996,"&lt;="&amp;EOMONTH(C3,0)
)</f>
        <v/>
      </c>
    </row>
    <row r="6">
      <c r="B6" s="210" t="n"/>
    </row>
    <row r="7">
      <c r="B7" s="210" t="n"/>
    </row>
    <row r="8" customFormat="1" s="158">
      <c r="B8" s="254" t="inlineStr">
        <is>
          <t>SKU#</t>
        </is>
      </c>
      <c r="C8" s="254" t="inlineStr">
        <is>
          <t>ABC/XYZ</t>
        </is>
      </c>
      <c r="D8" s="257" t="inlineStr">
        <is>
          <t>기준일</t>
        </is>
      </c>
      <c r="E8" s="254" t="inlineStr">
        <is>
          <t>기초재고</t>
        </is>
      </c>
      <c r="F8" s="254" t="inlineStr">
        <is>
          <t>출고량</t>
        </is>
      </c>
      <c r="G8" s="254" t="inlineStr">
        <is>
          <t>기말재고</t>
        </is>
      </c>
      <c r="H8" s="254" t="inlineStr">
        <is>
          <t>결품여부</t>
        </is>
      </c>
      <c r="I8" s="257" t="inlineStr">
        <is>
          <t>결품시작일</t>
        </is>
      </c>
      <c r="J8" s="257" t="inlineStr">
        <is>
          <t>결품종료일</t>
        </is>
      </c>
      <c r="K8" s="254" t="inlineStr">
        <is>
          <t>결품지속일수</t>
        </is>
      </c>
      <c r="L8" s="254" t="inlineStr">
        <is>
          <t>결품원인</t>
        </is>
      </c>
      <c r="M8" s="220" t="inlineStr">
        <is>
          <t>조치상태</t>
        </is>
      </c>
    </row>
    <row r="9">
      <c r="B9" s="214" t="inlineStr">
        <is>
          <t>ABC1</t>
        </is>
      </c>
      <c r="C9" s="158" t="inlineStr">
        <is>
          <t>AX</t>
        </is>
      </c>
      <c r="D9" s="256" t="n">
        <v>46054</v>
      </c>
      <c r="E9" t="n">
        <v>200</v>
      </c>
      <c r="F9" t="n">
        <v>50</v>
      </c>
      <c r="G9">
        <f>E9-F9</f>
        <v/>
      </c>
      <c r="H9" s="158" t="inlineStr">
        <is>
          <t>N</t>
        </is>
      </c>
      <c r="I9" s="256" t="n">
        <v>46068</v>
      </c>
      <c r="J9" s="256" t="n">
        <v>46080</v>
      </c>
      <c r="K9">
        <f>J9-I9</f>
        <v/>
      </c>
      <c r="L9" t="inlineStr">
        <is>
          <t>납기지연</t>
        </is>
      </c>
      <c r="M9" t="inlineStr">
        <is>
          <t>정상화</t>
        </is>
      </c>
    </row>
    <row r="10">
      <c r="B10" s="214" t="inlineStr">
        <is>
          <t>ABC2</t>
        </is>
      </c>
      <c r="C10" s="158" t="inlineStr">
        <is>
          <t>AX</t>
        </is>
      </c>
      <c r="D10" s="256" t="n">
        <v>46054</v>
      </c>
      <c r="E10" t="n">
        <v>100</v>
      </c>
      <c r="F10" t="n">
        <v>50</v>
      </c>
      <c r="G10">
        <f>E10-F10</f>
        <v/>
      </c>
      <c r="H10" s="158" t="inlineStr">
        <is>
          <t>N</t>
        </is>
      </c>
      <c r="I10" s="256" t="n">
        <v>46054</v>
      </c>
      <c r="J10" s="256" t="n">
        <v>46068</v>
      </c>
      <c r="K10">
        <f>J10-I10</f>
        <v/>
      </c>
      <c r="L10" t="inlineStr">
        <is>
          <t>납기지연</t>
        </is>
      </c>
      <c r="M10" t="inlineStr">
        <is>
          <t>입고대기</t>
        </is>
      </c>
    </row>
    <row r="11">
      <c r="B11" s="214" t="inlineStr">
        <is>
          <t>ABC3</t>
        </is>
      </c>
      <c r="C11" s="158" t="inlineStr">
        <is>
          <t>AX</t>
        </is>
      </c>
      <c r="D11" s="256" t="n">
        <v>46054</v>
      </c>
      <c r="E11" t="n">
        <v>50</v>
      </c>
      <c r="F11" t="n">
        <v>40</v>
      </c>
      <c r="G11">
        <f>E11-F11</f>
        <v/>
      </c>
      <c r="H11" s="158" t="inlineStr">
        <is>
          <t>Y</t>
        </is>
      </c>
      <c r="M11" t="inlineStr">
        <is>
          <t>발주진행</t>
        </is>
      </c>
    </row>
    <row r="12">
      <c r="B12" s="214" t="inlineStr">
        <is>
          <t>ABC4</t>
        </is>
      </c>
      <c r="C12" s="158" t="inlineStr">
        <is>
          <t>XY</t>
        </is>
      </c>
      <c r="D12" s="256" t="n">
        <v>46054</v>
      </c>
      <c r="E12" t="n">
        <v>50</v>
      </c>
      <c r="F12" t="n">
        <v>10</v>
      </c>
      <c r="G12">
        <f>E12-F12</f>
        <v/>
      </c>
      <c r="H12" s="158" t="inlineStr">
        <is>
          <t>N</t>
        </is>
      </c>
      <c r="M12" t="inlineStr">
        <is>
          <t>미조치</t>
        </is>
      </c>
    </row>
    <row r="13">
      <c r="B13" s="214" t="inlineStr">
        <is>
          <t>ABC5</t>
        </is>
      </c>
      <c r="C13" s="158" t="inlineStr">
        <is>
          <t>XY</t>
        </is>
      </c>
      <c r="D13" s="256" t="n">
        <v>46054</v>
      </c>
      <c r="E13" t="n">
        <v>40</v>
      </c>
      <c r="F13" t="n">
        <v>30</v>
      </c>
      <c r="G13">
        <f>E13-F13</f>
        <v/>
      </c>
      <c r="H13" s="158" t="inlineStr">
        <is>
          <t>N</t>
        </is>
      </c>
    </row>
    <row r="14">
      <c r="B14" s="214" t="inlineStr">
        <is>
          <t>ABC6</t>
        </is>
      </c>
      <c r="C14" s="158" t="inlineStr">
        <is>
          <t>XY</t>
        </is>
      </c>
      <c r="D14" s="256" t="n">
        <v>46054</v>
      </c>
      <c r="E14" t="n">
        <v>100</v>
      </c>
      <c r="F14" t="n">
        <v>50</v>
      </c>
      <c r="G14">
        <f>E14-F14</f>
        <v/>
      </c>
      <c r="H14" s="158" t="inlineStr">
        <is>
          <t>N</t>
        </is>
      </c>
    </row>
    <row r="15">
      <c r="B15" s="214" t="inlineStr">
        <is>
          <t>ABC7</t>
        </is>
      </c>
      <c r="C15" s="158" t="inlineStr">
        <is>
          <t>AX</t>
        </is>
      </c>
      <c r="D15" s="256" t="n">
        <v>46082</v>
      </c>
      <c r="E15" t="n">
        <v>150</v>
      </c>
      <c r="F15" t="n">
        <v>100</v>
      </c>
      <c r="G15">
        <f>E15-F15</f>
        <v/>
      </c>
      <c r="H15" s="158" t="inlineStr">
        <is>
          <t>N</t>
        </is>
      </c>
    </row>
    <row r="16">
      <c r="B16" s="214" t="inlineStr">
        <is>
          <t>ABC8</t>
        </is>
      </c>
      <c r="C16" s="158" t="inlineStr">
        <is>
          <t>XY</t>
        </is>
      </c>
      <c r="D16" s="256" t="n">
        <v>46082</v>
      </c>
      <c r="E16" t="n">
        <v>50</v>
      </c>
      <c r="F16" t="n">
        <v>10</v>
      </c>
      <c r="G16">
        <f>E16-F16</f>
        <v/>
      </c>
      <c r="H16" s="158" t="inlineStr">
        <is>
          <t>Y</t>
        </is>
      </c>
    </row>
    <row r="17">
      <c r="B17" s="214" t="inlineStr">
        <is>
          <t>ABC9</t>
        </is>
      </c>
      <c r="C17" s="158" t="inlineStr">
        <is>
          <t>XY</t>
        </is>
      </c>
      <c r="D17" s="256" t="n">
        <v>46082</v>
      </c>
      <c r="E17" t="n">
        <v>80</v>
      </c>
      <c r="F17" t="n">
        <v>30</v>
      </c>
      <c r="G17">
        <f>E17-F17</f>
        <v/>
      </c>
      <c r="H17" s="158" t="inlineStr">
        <is>
          <t>N</t>
        </is>
      </c>
    </row>
    <row r="18">
      <c r="B18" s="214" t="inlineStr">
        <is>
          <t>ABC10</t>
        </is>
      </c>
      <c r="C18" s="158" t="inlineStr">
        <is>
          <t>XY</t>
        </is>
      </c>
      <c r="D18" s="256" t="n">
        <v>46082</v>
      </c>
      <c r="E18" t="n">
        <v>50</v>
      </c>
      <c r="F18" t="n">
        <v>50</v>
      </c>
      <c r="G18">
        <f>E18-F18</f>
        <v/>
      </c>
      <c r="H18" s="158" t="inlineStr">
        <is>
          <t>N</t>
        </is>
      </c>
    </row>
    <row r="19">
      <c r="B19" s="214" t="inlineStr">
        <is>
          <t>ABC11</t>
        </is>
      </c>
      <c r="C19" s="158" t="inlineStr">
        <is>
          <t>AX</t>
        </is>
      </c>
      <c r="D19" s="256" t="n">
        <v>46082</v>
      </c>
      <c r="E19" t="n">
        <v>80</v>
      </c>
      <c r="F19" t="n">
        <v>10</v>
      </c>
      <c r="G19">
        <f>E19-F19</f>
        <v/>
      </c>
      <c r="H19" s="158" t="inlineStr">
        <is>
          <t>Y</t>
        </is>
      </c>
    </row>
    <row r="20">
      <c r="B20" s="214" t="inlineStr">
        <is>
          <t>ABC12</t>
        </is>
      </c>
      <c r="C20" s="158" t="inlineStr">
        <is>
          <t>XY</t>
        </is>
      </c>
      <c r="D20" s="256" t="n">
        <v>46082</v>
      </c>
      <c r="E20" t="n">
        <v>150</v>
      </c>
      <c r="F20" t="n">
        <v>30</v>
      </c>
      <c r="G20">
        <f>E20-F20</f>
        <v/>
      </c>
      <c r="H20" s="158" t="inlineStr">
        <is>
          <t>N</t>
        </is>
      </c>
    </row>
    <row r="21">
      <c r="B21" s="214" t="inlineStr">
        <is>
          <t>ABC13</t>
        </is>
      </c>
      <c r="C21" s="158" t="inlineStr">
        <is>
          <t>XY</t>
        </is>
      </c>
      <c r="D21" s="256" t="n">
        <v>46023</v>
      </c>
      <c r="E21" t="n">
        <v>50</v>
      </c>
      <c r="F21" t="n">
        <v>50</v>
      </c>
      <c r="G21">
        <f>E21-F21</f>
        <v/>
      </c>
      <c r="H21" s="158" t="inlineStr">
        <is>
          <t>Y</t>
        </is>
      </c>
    </row>
    <row r="22">
      <c r="B22" s="214" t="inlineStr">
        <is>
          <t>ABC14</t>
        </is>
      </c>
      <c r="C22" s="158" t="inlineStr">
        <is>
          <t>XY</t>
        </is>
      </c>
      <c r="D22" s="256" t="n">
        <v>46023</v>
      </c>
      <c r="E22" t="n">
        <v>80</v>
      </c>
      <c r="F22" t="n">
        <v>10</v>
      </c>
      <c r="G22">
        <f>E22-F22</f>
        <v/>
      </c>
      <c r="H22" s="158" t="inlineStr">
        <is>
          <t>N</t>
        </is>
      </c>
    </row>
    <row r="23">
      <c r="B23" s="214" t="inlineStr">
        <is>
          <t>ABC15</t>
        </is>
      </c>
      <c r="C23" s="158" t="inlineStr">
        <is>
          <t>XY</t>
        </is>
      </c>
      <c r="D23" s="256" t="n">
        <v>46023</v>
      </c>
      <c r="E23" t="n">
        <v>150</v>
      </c>
      <c r="F23" t="n">
        <v>30</v>
      </c>
      <c r="G23">
        <f>E23-F23</f>
        <v/>
      </c>
      <c r="H23" s="158" t="inlineStr">
        <is>
          <t>Y</t>
        </is>
      </c>
    </row>
    <row r="24">
      <c r="B24" s="214" t="inlineStr">
        <is>
          <t>ABC16</t>
        </is>
      </c>
      <c r="C24" s="158" t="inlineStr">
        <is>
          <t>AX</t>
        </is>
      </c>
      <c r="D24" s="256" t="n">
        <v>46023</v>
      </c>
      <c r="E24" t="n">
        <v>50</v>
      </c>
      <c r="F24" t="n">
        <v>50</v>
      </c>
      <c r="G24">
        <f>E24-F24</f>
        <v/>
      </c>
      <c r="H24" s="158" t="inlineStr">
        <is>
          <t>N</t>
        </is>
      </c>
    </row>
    <row r="25">
      <c r="B25" s="214" t="inlineStr">
        <is>
          <t>ABC17</t>
        </is>
      </c>
      <c r="C25" s="158" t="inlineStr">
        <is>
          <t>XY</t>
        </is>
      </c>
      <c r="D25" s="256" t="n">
        <v>46023</v>
      </c>
      <c r="E25" t="n">
        <v>80</v>
      </c>
      <c r="F25" t="n">
        <v>10</v>
      </c>
      <c r="G25">
        <f>E25-F25</f>
        <v/>
      </c>
      <c r="H25" s="158" t="inlineStr">
        <is>
          <t>N</t>
        </is>
      </c>
    </row>
    <row r="26">
      <c r="B26" s="214" t="inlineStr">
        <is>
          <t>ABC18</t>
        </is>
      </c>
      <c r="C26" s="158" t="inlineStr">
        <is>
          <t>XY</t>
        </is>
      </c>
      <c r="D26" s="256" t="n">
        <v>46023</v>
      </c>
      <c r="E26" t="n">
        <v>50</v>
      </c>
      <c r="F26" t="n">
        <v>30</v>
      </c>
      <c r="G26">
        <f>E26-F26</f>
        <v/>
      </c>
      <c r="H26" s="158" t="inlineStr">
        <is>
          <t>N</t>
        </is>
      </c>
    </row>
    <row r="27">
      <c r="C27" s="158" t="n"/>
    </row>
  </sheetData>
  <conditionalFormatting sqref="B9:B26">
    <cfRule type="duplicateValues" priority="5" dxfId="1"/>
    <cfRule type="duplicateValues" priority="6" dxfId="1"/>
  </conditionalFormatting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FFC000"/>
    <outlinePr summaryBelow="1" summaryRight="1"/>
    <pageSetUpPr/>
  </sheetPr>
  <dimension ref="B1:M1048576"/>
  <sheetViews>
    <sheetView showGridLines="0" zoomScale="175" zoomScaleNormal="175" workbookViewId="0">
      <pane xSplit="2" ySplit="2" topLeftCell="C3" activePane="bottomRight" state="frozen"/>
      <selection activeCell="D34" sqref="D34"/>
      <selection pane="topRight" activeCell="D34" sqref="D34"/>
      <selection pane="bottomLeft" activeCell="D34" sqref="D34"/>
      <selection pane="bottomRight" activeCell="B3" sqref="B3:B5"/>
    </sheetView>
  </sheetViews>
  <sheetFormatPr baseColWidth="8" defaultRowHeight="16.5"/>
  <cols>
    <col width="0.5" customWidth="1" style="480" min="1" max="1"/>
    <col width="17.875" bestFit="1" customWidth="1" style="480" min="2" max="2"/>
    <col width="9.625" bestFit="1" customWidth="1" style="480" min="3" max="3"/>
    <col width="9.625" customWidth="1" style="480" min="4" max="4"/>
    <col width="9.625" bestFit="1" customWidth="1" style="480" min="5" max="5"/>
    <col width="9.625" customWidth="1" style="480" min="6" max="6"/>
    <col width="9.625" bestFit="1" customWidth="1" style="480" min="7" max="7"/>
    <col width="10.25" bestFit="1" customWidth="1" style="480" min="8" max="8"/>
  </cols>
  <sheetData>
    <row r="1">
      <c r="B1" s="245" t="inlineStr">
        <is>
          <t>회전율 관리 예시</t>
        </is>
      </c>
    </row>
    <row r="2">
      <c r="B2" s="224" t="inlineStr">
        <is>
          <t>SKU#</t>
        </is>
      </c>
      <c r="C2" s="224" t="inlineStr">
        <is>
          <t>1월_회전율</t>
        </is>
      </c>
      <c r="D2" s="224" t="inlineStr">
        <is>
          <t>1월_회전일</t>
        </is>
      </c>
      <c r="E2" s="224" t="inlineStr">
        <is>
          <t>2월_회전율</t>
        </is>
      </c>
      <c r="F2" s="224" t="inlineStr">
        <is>
          <t>2월_회전일</t>
        </is>
      </c>
      <c r="G2" s="224" t="inlineStr">
        <is>
          <t>3월_회전율</t>
        </is>
      </c>
      <c r="H2" s="224" t="inlineStr">
        <is>
          <t>3월_회전일</t>
        </is>
      </c>
    </row>
    <row r="3">
      <c r="B3" s="225" t="inlineStr">
        <is>
          <t>ABC1</t>
        </is>
      </c>
      <c r="C3" s="248" t="n">
        <v>0.0215148835838491</v>
      </c>
      <c r="D3" s="508">
        <f>30/C3</f>
        <v/>
      </c>
      <c r="E3" s="248" t="n">
        <v>0.1</v>
      </c>
      <c r="F3" s="508">
        <f>365/E3</f>
        <v/>
      </c>
      <c r="G3" s="248" t="n">
        <v>0.07000000000000001</v>
      </c>
      <c r="H3" s="508">
        <f>30/G3</f>
        <v/>
      </c>
    </row>
    <row r="4">
      <c r="B4" s="225" t="inlineStr">
        <is>
          <t>ABC2</t>
        </is>
      </c>
      <c r="C4" s="248" t="n">
        <v>0.01174749469680345</v>
      </c>
      <c r="D4" s="508">
        <f>30/C4</f>
        <v/>
      </c>
      <c r="E4" s="248" t="n">
        <v>0.09505208333333333</v>
      </c>
      <c r="F4" s="508">
        <f>365/E4</f>
        <v/>
      </c>
      <c r="G4" s="248" t="n">
        <v>0.7</v>
      </c>
      <c r="H4" s="508">
        <f>30/G4</f>
        <v/>
      </c>
    </row>
    <row r="5">
      <c r="B5" s="225" t="inlineStr">
        <is>
          <t>ABC3</t>
        </is>
      </c>
      <c r="C5" s="248" t="n">
        <v>0.5</v>
      </c>
      <c r="D5" s="508">
        <f>30/C5</f>
        <v/>
      </c>
      <c r="E5" s="248" t="n">
        <v>0.9</v>
      </c>
      <c r="F5" s="508">
        <f>365/E5</f>
        <v/>
      </c>
      <c r="G5" s="248" t="n">
        <v>0.8</v>
      </c>
      <c r="H5" s="508">
        <f>30/G5</f>
        <v/>
      </c>
    </row>
    <row r="6" customFormat="1" s="220">
      <c r="B6" s="219" t="inlineStr">
        <is>
          <t>평균</t>
        </is>
      </c>
      <c r="C6" s="249">
        <f>AVERAGE(C3:C5)</f>
        <v/>
      </c>
      <c r="D6" s="508">
        <f>30/C6</f>
        <v/>
      </c>
      <c r="E6" s="249">
        <f>AVERAGE(E3:E5)</f>
        <v/>
      </c>
      <c r="F6" s="508">
        <f>30/E6</f>
        <v/>
      </c>
      <c r="G6" s="249">
        <f>AVERAGE(G3:G5)</f>
        <v/>
      </c>
      <c r="H6" s="508">
        <f>30/G6</f>
        <v/>
      </c>
    </row>
    <row r="7">
      <c r="C7" s="507">
        <f>C6*12</f>
        <v/>
      </c>
      <c r="D7" s="507" t="n"/>
      <c r="E7" s="507">
        <f>E6*12</f>
        <v/>
      </c>
      <c r="F7" s="507" t="n"/>
      <c r="G7" s="507">
        <f>G6*12</f>
        <v/>
      </c>
      <c r="H7" s="585">
        <f>30/G7</f>
        <v/>
      </c>
      <c r="K7" s="213" t="n"/>
      <c r="L7" s="213" t="inlineStr">
        <is>
          <t>회전율</t>
        </is>
      </c>
      <c r="M7" s="213" t="inlineStr">
        <is>
          <t>회전일</t>
        </is>
      </c>
    </row>
    <row r="8">
      <c r="K8" s="213" t="inlineStr">
        <is>
          <t>1월</t>
        </is>
      </c>
      <c r="L8" s="246">
        <f>C6</f>
        <v/>
      </c>
      <c r="M8" s="586">
        <f>D6</f>
        <v/>
      </c>
    </row>
    <row r="9">
      <c r="D9" s="511" t="n"/>
      <c r="K9" s="213" t="inlineStr">
        <is>
          <t>2월</t>
        </is>
      </c>
      <c r="L9" s="246">
        <f>E6</f>
        <v/>
      </c>
      <c r="M9" s="586">
        <f>F6</f>
        <v/>
      </c>
    </row>
    <row r="10">
      <c r="K10" s="213" t="inlineStr">
        <is>
          <t>3월</t>
        </is>
      </c>
      <c r="L10" s="246">
        <f>G6</f>
        <v/>
      </c>
      <c r="M10" s="586">
        <f>H6</f>
        <v/>
      </c>
    </row>
    <row r="23">
      <c r="B23" t="inlineStr">
        <is>
          <t>회전율 : 일정기간 동안 몇번 판매되는지</t>
        </is>
      </c>
    </row>
    <row r="24">
      <c r="B24" t="inlineStr">
        <is>
          <t>회전일 : 소진대기 까지 걸리는 기간</t>
        </is>
      </c>
    </row>
    <row r="27">
      <c r="B27" s="241" t="inlineStr">
        <is>
          <t>back</t>
        </is>
      </c>
    </row>
    <row r="1048576">
      <c r="D1048576" s="507">
        <f>365/C1048576</f>
        <v/>
      </c>
    </row>
  </sheetData>
  <conditionalFormatting sqref="B3:B5">
    <cfRule type="duplicateValues" priority="3" dxfId="1"/>
  </conditionalFormatting>
  <hyperlinks>
    <hyperlink ref="B27" location="Index!A1" display="back"/>
  </hyperlink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FFC000"/>
    <outlinePr summaryBelow="1" summaryRight="1"/>
    <pageSetUpPr/>
  </sheetPr>
  <dimension ref="B1:P24"/>
  <sheetViews>
    <sheetView showGridLines="0" zoomScale="130" zoomScaleNormal="130" workbookViewId="0">
      <selection activeCell="D3" sqref="D3:D5"/>
    </sheetView>
  </sheetViews>
  <sheetFormatPr baseColWidth="8" defaultRowHeight="16.5"/>
  <cols>
    <col width="0.625" customWidth="1" style="480" min="1" max="1"/>
    <col width="8.875" bestFit="1" customWidth="1" style="480" min="2" max="2"/>
    <col width="8.625" customWidth="1" style="480" min="3" max="4"/>
    <col width="10.875" customWidth="1" style="480" min="5" max="5"/>
    <col width="10.625" customWidth="1" style="480" min="6" max="6"/>
    <col width="6.625" customWidth="1" style="480" min="7" max="7"/>
    <col width="10.625" customWidth="1" style="480" min="8" max="9"/>
    <col width="8.875" customWidth="1" style="480" min="10" max="12"/>
    <col width="10.5" customWidth="1" style="480" min="13" max="13"/>
    <col width="11.625" customWidth="1" style="480" min="14" max="14"/>
    <col width="10.375" customWidth="1" style="480" min="15" max="15"/>
    <col width="5.75" bestFit="1" customWidth="1" style="480" min="16" max="16"/>
  </cols>
  <sheetData>
    <row r="1" ht="16.5" customHeight="1" s="480">
      <c r="B1" s="245" t="inlineStr">
        <is>
          <t>납기준수율 관리 예시</t>
        </is>
      </c>
    </row>
    <row r="2" ht="33" customFormat="1" customHeight="1" s="227">
      <c r="B2" s="236" t="inlineStr">
        <is>
          <t>요청일(월)</t>
        </is>
      </c>
      <c r="C2" s="234" t="inlineStr">
        <is>
          <t>코드</t>
        </is>
      </c>
      <c r="D2" s="234" t="inlineStr">
        <is>
          <t>품명</t>
        </is>
      </c>
      <c r="E2" s="235" t="inlineStr">
        <is>
          <t>발주일</t>
        </is>
      </c>
      <c r="F2" s="235" t="inlineStr">
        <is>
          <t>요청일</t>
        </is>
      </c>
      <c r="G2" s="236" t="inlineStr">
        <is>
          <t>발주량</t>
        </is>
      </c>
      <c r="H2" s="235" t="inlineStr">
        <is>
          <t>1차 입고일</t>
        </is>
      </c>
      <c r="I2" s="235" t="inlineStr">
        <is>
          <t>2차 입고일</t>
        </is>
      </c>
      <c r="J2" s="236" t="inlineStr">
        <is>
          <t>1차
리드타임</t>
        </is>
      </c>
      <c r="K2" s="236" t="inlineStr">
        <is>
          <t>지연일수</t>
        </is>
      </c>
      <c r="L2" s="236" t="inlineStr">
        <is>
          <t>리드타임
(기준)</t>
        </is>
      </c>
      <c r="M2" s="236" t="inlineStr">
        <is>
          <t>총리드타임</t>
        </is>
      </c>
      <c r="N2" s="236" t="inlineStr">
        <is>
          <t>총지연일수</t>
        </is>
      </c>
      <c r="O2" s="236" t="inlineStr">
        <is>
          <t>납기준수율</t>
        </is>
      </c>
      <c r="P2" s="236" t="inlineStr">
        <is>
          <t>생산 CAPA</t>
        </is>
      </c>
    </row>
    <row r="3" customFormat="1" s="228">
      <c r="B3" s="231" t="inlineStr">
        <is>
          <t>1월</t>
        </is>
      </c>
      <c r="C3" s="233" t="inlineStr">
        <is>
          <t>ABC1</t>
        </is>
      </c>
      <c r="D3" s="237" t="n"/>
      <c r="E3" s="229" t="n">
        <v>46001</v>
      </c>
      <c r="F3" s="238" t="n">
        <v>46037</v>
      </c>
      <c r="G3" s="587" t="n">
        <v>500</v>
      </c>
      <c r="H3" s="238" t="n">
        <v>46054</v>
      </c>
      <c r="I3" s="238" t="n">
        <v>46063</v>
      </c>
      <c r="J3" s="240">
        <f>IFERROR(DATEDIF($E$3,H3,"D"),"")</f>
        <v/>
      </c>
      <c r="K3" s="240">
        <f>IFERROR(DATEDIF(F3,H3,"D"),"0")</f>
        <v/>
      </c>
      <c r="L3" s="240">
        <f>IFERROR(DATEDIF(E3,F3,"D"),"")</f>
        <v/>
      </c>
      <c r="M3" s="240">
        <f>IFERROR(DATEDIF(E3,I3,"D"),"")</f>
        <v/>
      </c>
      <c r="N3" s="240">
        <f>M3-L3</f>
        <v/>
      </c>
      <c r="O3" s="230">
        <f>IF(L3&lt;M3,L3/M3,"100%")</f>
        <v/>
      </c>
      <c r="P3" s="588">
        <f>IF(O3&gt;100%,G3,G3*O3)</f>
        <v/>
      </c>
    </row>
    <row r="4" customFormat="1" s="228">
      <c r="B4" s="231" t="inlineStr">
        <is>
          <t>2월</t>
        </is>
      </c>
      <c r="C4" s="233" t="inlineStr">
        <is>
          <t>ABC2</t>
        </is>
      </c>
      <c r="D4" s="237" t="n"/>
      <c r="E4" s="229" t="n">
        <v>46032</v>
      </c>
      <c r="F4" s="238" t="n">
        <v>46068</v>
      </c>
      <c r="G4" s="587" t="n">
        <v>300</v>
      </c>
      <c r="H4" s="238" t="n">
        <v>46073</v>
      </c>
      <c r="I4" s="238" t="inlineStr">
        <is>
          <t>-</t>
        </is>
      </c>
      <c r="J4" s="240">
        <f>IFERROR(DATEDIF($E$4,H4,"D"),"")</f>
        <v/>
      </c>
      <c r="K4" s="240">
        <f>IFERROR(DATEDIF(F4,H4,"D"),"0")</f>
        <v/>
      </c>
      <c r="L4" s="240">
        <f>IFERROR(DATEDIF(E4,F4,"D"),"")</f>
        <v/>
      </c>
      <c r="M4" s="240">
        <f>IFERROR(DATEDIF(E4,H4,"D"),"")</f>
        <v/>
      </c>
      <c r="N4" s="240">
        <f>M4-L4</f>
        <v/>
      </c>
      <c r="O4" s="230">
        <f>IF(L4&lt;M4,L4/M4,"100%")</f>
        <v/>
      </c>
      <c r="P4" s="588">
        <f>IF(O4&gt;100%,G4,G4*O4)</f>
        <v/>
      </c>
    </row>
    <row r="5" customFormat="1" s="228">
      <c r="B5" s="231" t="inlineStr">
        <is>
          <t>3월</t>
        </is>
      </c>
      <c r="C5" s="233" t="inlineStr">
        <is>
          <t>ABC3</t>
        </is>
      </c>
      <c r="D5" s="237" t="n"/>
      <c r="E5" s="229" t="n">
        <v>46063</v>
      </c>
      <c r="F5" s="238" t="n">
        <v>46096</v>
      </c>
      <c r="G5" s="587" t="n">
        <v>200</v>
      </c>
      <c r="H5" s="238" t="n">
        <v>46099</v>
      </c>
      <c r="I5" s="238" t="n">
        <v>46111</v>
      </c>
      <c r="J5" s="240">
        <f>IFERROR(DATEDIF(E5,H5,"D"),"")</f>
        <v/>
      </c>
      <c r="K5" s="240">
        <f>IFERROR(DATEDIF(F5,H5,"D"),"0")</f>
        <v/>
      </c>
      <c r="L5" s="240">
        <f>IFERROR(DATEDIF(E5,F5,"D"),"")</f>
        <v/>
      </c>
      <c r="M5" s="240">
        <f>IFERROR(DATEDIF(E5,I5,"D"),"")</f>
        <v/>
      </c>
      <c r="N5" s="240">
        <f>M5-L5</f>
        <v/>
      </c>
      <c r="O5" s="230">
        <f>IF(L5&lt;M5,L5/M5,"100%")</f>
        <v/>
      </c>
      <c r="P5" s="588">
        <f>IF(O5&gt;100%,G5,G5*O5)</f>
        <v/>
      </c>
    </row>
    <row r="24">
      <c r="B24" s="241" t="inlineStr">
        <is>
          <t>back</t>
        </is>
      </c>
    </row>
  </sheetData>
  <conditionalFormatting sqref="C3:C5">
    <cfRule type="duplicateValues" priority="5" dxfId="1"/>
    <cfRule type="duplicateValues" priority="6" dxfId="1"/>
  </conditionalFormatting>
  <hyperlinks>
    <hyperlink ref="B24" location="Index!A1" display="back"/>
  </hyperlink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FC000"/>
    <outlinePr summaryBelow="1" summaryRight="1"/>
    <pageSetUpPr/>
  </sheetPr>
  <dimension ref="B1:N27"/>
  <sheetViews>
    <sheetView showGridLines="0" zoomScale="130" zoomScaleNormal="130" workbookViewId="0">
      <pane xSplit="2" ySplit="1" topLeftCell="C2" activePane="bottomRight" state="frozen"/>
      <selection activeCell="D34" sqref="D34"/>
      <selection pane="topRight" activeCell="D34" sqref="D34"/>
      <selection pane="bottomLeft" activeCell="D34" sqref="D34"/>
      <selection pane="bottomRight" activeCell="K31" sqref="K31"/>
    </sheetView>
  </sheetViews>
  <sheetFormatPr baseColWidth="8" defaultColWidth="35.875" defaultRowHeight="16.5"/>
  <cols>
    <col width="0.625" customWidth="1" style="480" min="1" max="1"/>
    <col width="5.125" customWidth="1" style="480" min="2" max="2"/>
    <col width="7.125" customWidth="1" style="480" min="3" max="3"/>
    <col width="7" customWidth="1" style="480" min="4" max="4"/>
    <col width="8.25" customWidth="1" style="480" min="5" max="5"/>
    <col width="7.375" customWidth="1" style="480" min="6" max="6"/>
    <col width="9.125" bestFit="1" customWidth="1" style="480" min="7" max="7"/>
    <col width="9.125" customWidth="1" style="480" min="8" max="8"/>
    <col width="2.875" customWidth="1" style="480" min="9" max="9"/>
    <col width="13.625" customWidth="1" style="480" min="10" max="10"/>
    <col width="24.625" bestFit="1" customWidth="1" style="480" min="11" max="11"/>
    <col width="9.125" bestFit="1" customWidth="1" style="480" min="12" max="12"/>
    <col width="13.75" bestFit="1" customWidth="1" style="480" min="13" max="13"/>
    <col width="29.375" bestFit="1" customWidth="1" style="480" min="14" max="14"/>
  </cols>
  <sheetData>
    <row r="1">
      <c r="B1" s="223" t="inlineStr">
        <is>
          <t>XYZ 증감에 따른 관리 포인트 예시</t>
        </is>
      </c>
      <c r="C1" s="135" t="n"/>
      <c r="D1" s="244" t="n"/>
      <c r="E1" s="158" t="n"/>
      <c r="F1" s="158" t="n"/>
    </row>
    <row r="2">
      <c r="B2" s="224" t="inlineStr">
        <is>
          <t>SKU</t>
        </is>
      </c>
      <c r="C2" s="224" t="inlineStr">
        <is>
          <t>전월 등급</t>
        </is>
      </c>
      <c r="D2" s="224" t="inlineStr">
        <is>
          <t>당월 등급</t>
        </is>
      </c>
      <c r="E2" s="224" t="inlineStr">
        <is>
          <t>중요도 증감</t>
        </is>
      </c>
      <c r="F2" s="224" t="inlineStr">
        <is>
          <t>안정성 증감</t>
        </is>
      </c>
      <c r="G2" s="253" t="inlineStr">
        <is>
          <t>관리 신호</t>
        </is>
      </c>
      <c r="J2" s="250" t="inlineStr">
        <is>
          <t>전월 → 당월</t>
        </is>
      </c>
      <c r="K2" s="250" t="inlineStr">
        <is>
          <t>해석되는 신호</t>
        </is>
      </c>
      <c r="L2" s="250" t="inlineStr">
        <is>
          <t>리스크</t>
        </is>
      </c>
      <c r="M2" s="250" t="inlineStr">
        <is>
          <t>관리 방향</t>
        </is>
      </c>
      <c r="N2" s="250" t="inlineStr">
        <is>
          <t>실행 방안</t>
        </is>
      </c>
    </row>
    <row r="3">
      <c r="B3" s="247" t="inlineStr">
        <is>
          <t>ABC1</t>
        </is>
      </c>
      <c r="C3" s="224" t="inlineStr">
        <is>
          <t>AX</t>
        </is>
      </c>
      <c r="D3" s="224" t="inlineStr">
        <is>
          <t>AY</t>
        </is>
      </c>
      <c r="E3" s="224">
        <f>IF(LEFT(D3,1)="A",3,IF(LEFT(D3,1)="B",2,1))
 - IF(LEFT(C3,1)="A",3,IF(LEFT(C3,1)="B",2,1))</f>
        <v/>
      </c>
      <c r="F3" s="224">
        <f>IF(RIGHT(D3,1)="X",3,IF(RIGHT(D3,1)="Y",2,1))
 - IF(RIGHT(C3,1)="X",3,IF(RIGHT(C3,1)="Y",2,1))</f>
        <v/>
      </c>
      <c r="G3" s="224">
        <f>IF(
   AND(LEFT(D3,1)="A", F3&lt;0),
   "위험",
   IF(
      F3&lt;0,
      "관찰",
      IF(
         F3&gt;0,
         "개선",
         "유지"
      )
   )
)</f>
        <v/>
      </c>
      <c r="J3" s="251" t="inlineStr">
        <is>
          <t>AX → AY</t>
        </is>
      </c>
      <c r="K3" s="252" t="inlineStr">
        <is>
          <t>핵심 SKU 수요 흔들림 시작</t>
        </is>
      </c>
      <c r="L3" s="252" t="inlineStr">
        <is>
          <t>높음</t>
        </is>
      </c>
      <c r="M3" s="252" t="inlineStr">
        <is>
          <t>선제 관리</t>
        </is>
      </c>
      <c r="N3" s="252" t="inlineStr">
        <is>
          <t>안전재고 재산정, 발주 주기 단축</t>
        </is>
      </c>
    </row>
    <row r="4">
      <c r="B4" s="247" t="inlineStr">
        <is>
          <t>ABC2</t>
        </is>
      </c>
      <c r="C4" s="224" t="inlineStr">
        <is>
          <t>BY</t>
        </is>
      </c>
      <c r="D4" s="224" t="inlineStr">
        <is>
          <t>BZ</t>
        </is>
      </c>
      <c r="E4" s="224">
        <f>IF(LEFT(D4,1)="A",3,IF(LEFT(D4,1)="B",2,1))
 - IF(LEFT(C4,1)="A",3,IF(LEFT(C4,1)="B",2,1))</f>
        <v/>
      </c>
      <c r="F4" s="224">
        <f>IF(RIGHT(D4,1)="X",3,IF(RIGHT(D4,1)="Y",2,1))
 - IF(RIGHT(C4,1)="X",3,IF(RIGHT(C4,1)="Y",2,1))</f>
        <v/>
      </c>
      <c r="G4" s="224">
        <f>IF(
   AND(LEFT(D4,1)="A", F4&lt;0),
   "위험",
   IF(
      F4&lt;0,
      "관찰",
      IF(
         F4&gt;0,
         "개선",
         "유지"
      )
   )
)</f>
        <v/>
      </c>
      <c r="J4" s="251" t="inlineStr">
        <is>
          <t>AY → AZ</t>
        </is>
      </c>
      <c r="K4" s="252" t="inlineStr">
        <is>
          <t>고중요 SKU 예측 불가</t>
        </is>
      </c>
      <c r="L4" s="252" t="inlineStr">
        <is>
          <t>매우 높음</t>
        </is>
      </c>
      <c r="M4" s="252" t="inlineStr">
        <is>
          <t>집중 통제</t>
        </is>
      </c>
      <c r="N4" s="252" t="inlineStr">
        <is>
          <t>정량발주 중단, 수기 관리</t>
        </is>
      </c>
    </row>
    <row r="5">
      <c r="B5" s="247" t="inlineStr">
        <is>
          <t>ABC3</t>
        </is>
      </c>
      <c r="C5" s="224" t="inlineStr">
        <is>
          <t>BX</t>
        </is>
      </c>
      <c r="D5" s="224" t="inlineStr">
        <is>
          <t>AX</t>
        </is>
      </c>
      <c r="E5" s="224">
        <f>IF(LEFT(D5,1)="A",3,IF(LEFT(D5,1)="B",2,1))
 - IF(LEFT(C5,1)="A",3,IF(LEFT(C5,1)="B",2,1))</f>
        <v/>
      </c>
      <c r="F5" s="224">
        <f>IF(RIGHT(D5,1)="X",3,IF(RIGHT(D5,1)="Y",2,1))
- IF(RIGHT(C5,1)="X",3,IF(RIGHT(C5,1)="Y",2,1))</f>
        <v/>
      </c>
      <c r="G5" s="224">
        <f>IF(
AND(LEFT(D5,1)="A", F5&lt;0),
"위험",
IF(
F5&lt;0,
"관찰",
IF(
F5&gt;0,
"개선",
"유지"
)
)
)</f>
        <v/>
      </c>
      <c r="J5" s="251" t="inlineStr">
        <is>
          <t>AX → AZ</t>
        </is>
      </c>
      <c r="K5" s="252" t="inlineStr">
        <is>
          <t>최상위 위험 전환</t>
        </is>
      </c>
      <c r="L5" s="252" t="inlineStr">
        <is>
          <t>치명</t>
        </is>
      </c>
      <c r="M5" s="252" t="inlineStr">
        <is>
          <t>구조 재검토</t>
        </is>
      </c>
      <c r="N5" s="252" t="inlineStr">
        <is>
          <t>판매/상품 구조 재설계</t>
        </is>
      </c>
    </row>
    <row r="6">
      <c r="B6" s="245" t="inlineStr">
        <is>
          <t>예시</t>
        </is>
      </c>
      <c r="C6" s="158" t="n"/>
      <c r="D6" s="158" t="n"/>
      <c r="E6" s="158" t="n"/>
      <c r="F6" s="158" t="n"/>
      <c r="G6" s="158" t="n"/>
      <c r="J6" s="251" t="inlineStr">
        <is>
          <t>BX → BY</t>
        </is>
      </c>
      <c r="K6" s="252" t="inlineStr">
        <is>
          <t>중간 SKU 불안정 진입</t>
        </is>
      </c>
      <c r="L6" s="252" t="inlineStr">
        <is>
          <t>중간</t>
        </is>
      </c>
      <c r="M6" s="252" t="inlineStr">
        <is>
          <t>추적 관리</t>
        </is>
      </c>
      <c r="N6" s="252" t="inlineStr">
        <is>
          <t>발주 횟수 증가</t>
        </is>
      </c>
    </row>
    <row r="7">
      <c r="C7" s="158" t="n"/>
      <c r="D7" s="158" t="n"/>
      <c r="E7" s="158" t="n"/>
      <c r="F7" s="158" t="n"/>
      <c r="G7" s="158" t="n"/>
      <c r="J7" s="251" t="inlineStr">
        <is>
          <t>BY → BZ</t>
        </is>
      </c>
      <c r="K7" s="252" t="inlineStr">
        <is>
          <t>관리 효율 저하</t>
        </is>
      </c>
      <c r="L7" s="252" t="inlineStr">
        <is>
          <t>중간</t>
        </is>
      </c>
      <c r="M7" s="252" t="inlineStr">
        <is>
          <t>유지 여부 판단</t>
        </is>
      </c>
      <c r="N7" s="252" t="inlineStr">
        <is>
          <t>재고 축소, C등급 검토</t>
        </is>
      </c>
    </row>
    <row r="8">
      <c r="C8" s="158" t="n"/>
      <c r="D8" s="158" t="n"/>
      <c r="E8" s="158" t="n"/>
      <c r="F8" s="158" t="n"/>
      <c r="G8" s="158" t="n"/>
      <c r="J8" s="251" t="inlineStr">
        <is>
          <t>CZ → CY</t>
        </is>
      </c>
      <c r="K8" s="252" t="inlineStr">
        <is>
          <t>죽은 SKU 회복 신호</t>
        </is>
      </c>
      <c r="L8" s="252" t="inlineStr">
        <is>
          <t>낮음</t>
        </is>
      </c>
      <c r="M8" s="252" t="inlineStr">
        <is>
          <t>관찰</t>
        </is>
      </c>
      <c r="N8" s="252" t="inlineStr">
        <is>
          <t>테스트 발주</t>
        </is>
      </c>
    </row>
    <row r="9">
      <c r="C9" s="158" t="n"/>
      <c r="D9" s="158" t="n"/>
      <c r="E9" s="158" t="n"/>
      <c r="F9" s="158" t="n"/>
      <c r="G9" s="158" t="n"/>
      <c r="J9" s="251" t="inlineStr">
        <is>
          <t>CY → CX</t>
        </is>
      </c>
      <c r="K9" s="252" t="inlineStr">
        <is>
          <t>안정 SKU 전환</t>
        </is>
      </c>
      <c r="L9" s="252" t="inlineStr">
        <is>
          <t>낮음</t>
        </is>
      </c>
      <c r="M9" s="252" t="inlineStr">
        <is>
          <t>성장 관리</t>
        </is>
      </c>
      <c r="N9" s="252" t="inlineStr">
        <is>
          <t>BX 승급 후보</t>
        </is>
      </c>
    </row>
    <row r="10">
      <c r="C10" s="158" t="n"/>
      <c r="D10" s="158" t="n"/>
      <c r="E10" s="158" t="n"/>
      <c r="F10" s="158" t="n"/>
      <c r="G10" s="158" t="n"/>
      <c r="J10" s="251" t="inlineStr">
        <is>
          <t>BX → AX</t>
        </is>
      </c>
      <c r="K10" s="252" t="inlineStr">
        <is>
          <t>핵심 SKU 성장</t>
        </is>
      </c>
      <c r="L10" s="252" t="inlineStr">
        <is>
          <t>높음</t>
        </is>
      </c>
      <c r="M10" s="252" t="inlineStr">
        <is>
          <t>관리 상향</t>
        </is>
      </c>
      <c r="N10" s="252" t="inlineStr">
        <is>
          <t>안전재고·발주 정책 강화</t>
        </is>
      </c>
    </row>
    <row r="11" ht="33" customHeight="1" s="480">
      <c r="C11" s="158" t="n"/>
      <c r="D11" s="158" t="n"/>
      <c r="E11" s="158" t="n"/>
      <c r="F11" s="158" t="n"/>
      <c r="G11" s="158" t="n"/>
      <c r="J11" s="251" t="inlineStr">
        <is>
          <t>AZ → AY / AX</t>
        </is>
      </c>
      <c r="K11" s="252" t="inlineStr">
        <is>
          <t>리스크 해소</t>
        </is>
      </c>
      <c r="L11" s="252" t="inlineStr">
        <is>
          <t>매우 긍정</t>
        </is>
      </c>
      <c r="M11" s="252" t="inlineStr">
        <is>
          <t>정상화</t>
        </is>
      </c>
      <c r="N11" s="252" t="inlineStr">
        <is>
          <t>표준 발주 복귀</t>
        </is>
      </c>
    </row>
    <row r="12">
      <c r="C12" s="158" t="n"/>
      <c r="D12" s="158" t="n"/>
      <c r="E12" s="158" t="n"/>
      <c r="F12" s="158" t="n"/>
      <c r="G12" s="158" t="n"/>
    </row>
    <row r="13" customFormat="1" s="158">
      <c r="B13" s="224" t="n"/>
      <c r="C13" s="224" t="inlineStr">
        <is>
          <t>1월</t>
        </is>
      </c>
      <c r="D13" s="224" t="inlineStr">
        <is>
          <t>2월</t>
        </is>
      </c>
      <c r="E13" s="224" t="inlineStr">
        <is>
          <t>3월</t>
        </is>
      </c>
      <c r="F13" s="224" t="inlineStr">
        <is>
          <t>1월</t>
        </is>
      </c>
      <c r="G13" s="224" t="inlineStr">
        <is>
          <t>2월</t>
        </is>
      </c>
      <c r="H13" s="224" t="inlineStr">
        <is>
          <t>3월</t>
        </is>
      </c>
      <c r="J13" s="210" t="inlineStr">
        <is>
          <t>XYZ 활용 목적:</t>
        </is>
      </c>
    </row>
    <row r="14">
      <c r="B14" s="213" t="inlineStr">
        <is>
          <t>X</t>
        </is>
      </c>
      <c r="C14" s="224" t="n">
        <v>43</v>
      </c>
      <c r="D14" s="224" t="n">
        <v>40</v>
      </c>
      <c r="E14" s="224" t="n">
        <v>30</v>
      </c>
      <c r="F14" s="213">
        <f>C14&amp;"("&amp;ROUND(C14/$C$17*100,0)&amp;"%)"</f>
        <v/>
      </c>
      <c r="G14" s="213">
        <f>D14&amp;"("&amp;ROUND(D14/$D$17*100,0)&amp;"%)"</f>
        <v/>
      </c>
      <c r="H14" s="213">
        <f>E14&amp;"("&amp;ROUND(E14/$E$17*100,0)&amp;"%)"</f>
        <v/>
      </c>
      <c r="J14" s="215" t="inlineStr">
        <is>
          <t>X(변동성 낮음) :  수요예측 용이 (정량발주, 낮은 안전재고)</t>
        </is>
      </c>
    </row>
    <row r="15">
      <c r="B15" s="213" t="inlineStr">
        <is>
          <t>Y</t>
        </is>
      </c>
      <c r="C15" s="224" t="n">
        <v>74</v>
      </c>
      <c r="D15" s="224" t="n">
        <v>55</v>
      </c>
      <c r="E15" s="224" t="n">
        <v>58</v>
      </c>
      <c r="F15" s="213">
        <f>C15&amp;"("&amp;ROUND(C15/$C$17*100,0)&amp;"%)"</f>
        <v/>
      </c>
      <c r="G15" s="213">
        <f>D15&amp;"("&amp;ROUND(D15/$D$17*100,0)&amp;"%)"</f>
        <v/>
      </c>
      <c r="H15" s="213">
        <f>E15&amp;"("&amp;ROUND(E15/$E$17*100,0)&amp;"%)"</f>
        <v/>
      </c>
      <c r="J15" s="215" t="inlineStr">
        <is>
          <t>Y(중간 변동성) : 어느정도 예측가능 (적정 안전재고, 주기적 검토)</t>
        </is>
      </c>
      <c r="K15" s="268" t="n"/>
      <c r="L15" s="268" t="n"/>
      <c r="M15" s="268" t="n"/>
    </row>
    <row r="16">
      <c r="B16" s="213" t="inlineStr">
        <is>
          <t>Z</t>
        </is>
      </c>
      <c r="C16" s="224" t="n">
        <v>291</v>
      </c>
      <c r="D16" s="224" t="n">
        <v>313</v>
      </c>
      <c r="E16" s="224" t="n">
        <v>320</v>
      </c>
      <c r="F16" s="213">
        <f>C16&amp;"("&amp;ROUND(C16/$C$17*100,0)&amp;"%)"</f>
        <v/>
      </c>
      <c r="G16" s="213">
        <f>D16&amp;"("&amp;ROUND(D16/$D$17*100,0)&amp;"%)"</f>
        <v/>
      </c>
      <c r="H16" s="213">
        <f>E16&amp;"("&amp;ROUND(E16/$E$17*100,0)&amp;"%)"</f>
        <v/>
      </c>
      <c r="J16" s="215" t="inlineStr">
        <is>
          <t>Z(높은 변동성) : 수요예측 어려움 (높은 안전재고 또는 주문확정 후 생산방식 검토)</t>
        </is>
      </c>
      <c r="K16" s="269" t="n"/>
      <c r="L16" s="269" t="n"/>
      <c r="M16" s="269" t="n"/>
    </row>
    <row r="17">
      <c r="B17" s="213" t="inlineStr">
        <is>
          <t>계</t>
        </is>
      </c>
      <c r="C17" s="224">
        <f>SUM(C14:C16)</f>
        <v/>
      </c>
      <c r="D17" s="224">
        <f>SUM(D14:D16)</f>
        <v/>
      </c>
      <c r="E17" s="224">
        <f>SUM(E14:E16)</f>
        <v/>
      </c>
      <c r="F17" s="213">
        <f>C17&amp;"("&amp;ROUND(C17/$C$17*100,0)&amp;"%)"</f>
        <v/>
      </c>
      <c r="G17" s="213">
        <f>D17&amp;"("&amp;ROUND(D17/$D$17*100,0)&amp;"%)"</f>
        <v/>
      </c>
      <c r="H17" s="213">
        <f>E17&amp;"("&amp;ROUND(E17/$E$17*100,0)&amp;"%)"</f>
        <v/>
      </c>
      <c r="J17" s="269" t="n"/>
      <c r="K17" s="269" t="n"/>
      <c r="L17" s="269" t="n"/>
      <c r="M17" s="269" t="n"/>
    </row>
    <row r="18">
      <c r="C18" s="158" t="n"/>
      <c r="D18" s="158" t="n"/>
      <c r="E18" s="158" t="n"/>
      <c r="F18" s="158" t="n"/>
      <c r="G18" s="158" t="n"/>
      <c r="J18" s="269" t="n"/>
      <c r="K18" s="269" t="n"/>
      <c r="L18" s="269" t="n"/>
      <c r="M18" s="269" t="n"/>
    </row>
    <row r="19">
      <c r="C19" s="158" t="n"/>
      <c r="D19" s="158" t="n"/>
      <c r="E19" s="158" t="n"/>
      <c r="F19" s="158" t="n"/>
      <c r="G19" s="158" t="n"/>
    </row>
    <row r="27">
      <c r="B27" s="241" t="inlineStr">
        <is>
          <t>back</t>
        </is>
      </c>
    </row>
  </sheetData>
  <conditionalFormatting sqref="B3:B5">
    <cfRule type="duplicateValues" priority="12" dxfId="1"/>
    <cfRule type="duplicateValues" priority="13" dxfId="1"/>
  </conditionalFormatting>
  <conditionalFormatting sqref="G3:G12 G18:G19">
    <cfRule type="expression" priority="1" dxfId="0">
      <formula>$G3="위험"</formula>
    </cfRule>
  </conditionalFormatting>
  <hyperlinks>
    <hyperlink ref="B27" location="Index!A1" display="back"/>
  </hyperlink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2026-01-21T14:23:30Z</dcterms:created>
  <dcterms:modified xmlns:dcterms="http://purl.org/dc/terms/" xmlns:xsi="http://www.w3.org/2001/XMLSchema-instance" xsi:type="dcterms:W3CDTF">2026-02-05T11:06:54Z</dcterms:modified>
  <cp:lastModifiedBy>나</cp:lastModifiedBy>
  <cp:lastPrinted>2026-01-25T13:06:06Z</cp:lastPrinted>
</cp:coreProperties>
</file>